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sel\Downloads\"/>
    </mc:Choice>
  </mc:AlternateContent>
  <xr:revisionPtr revIDLastSave="0" documentId="8_{16C58A58-7A2C-4540-9AC6-C001A84AF1A1}" xr6:coauthVersionLast="47" xr6:coauthVersionMax="47" xr10:uidLastSave="{00000000-0000-0000-0000-000000000000}"/>
  <bookViews>
    <workbookView xWindow="-108" yWindow="-108" windowWidth="23256" windowHeight="12456" xr2:uid="{B275022F-1C1C-4C40-87FB-494BA723265E}"/>
  </bookViews>
  <sheets>
    <sheet name="Day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</calcChain>
</file>

<file path=xl/sharedStrings.xml><?xml version="1.0" encoding="utf-8"?>
<sst xmlns="http://schemas.openxmlformats.org/spreadsheetml/2006/main" count="3524" uniqueCount="78">
  <si>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</si>
  <si>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</si>
  <si>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</si>
  <si>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</si>
  <si>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</si>
  <si>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</si>
  <si>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</si>
  <si>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</si>
  <si>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</si>
  <si>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</si>
  <si>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</si>
  <si>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</si>
  <si>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</si>
  <si>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</si>
  <si>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</si>
  <si>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</si>
  <si>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</si>
  <si>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</si>
  <si>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</si>
  <si>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</si>
  <si>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</si>
  <si>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</si>
  <si>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</si>
  <si>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</si>
  <si>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</si>
  <si>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</si>
  <si>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</si>
  <si>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</si>
  <si>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</si>
  <si>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</si>
  <si>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</si>
  <si>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</si>
  <si>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</si>
  <si>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</si>
  <si>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</si>
  <si>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</si>
  <si>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</si>
  <si>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</si>
  <si>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</si>
  <si>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</si>
  <si>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</si>
  <si>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</si>
  <si>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</si>
  <si>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</si>
  <si>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</si>
  <si>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</si>
  <si>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</si>
  <si>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</si>
  <si>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</si>
  <si>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</si>
  <si>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</si>
  <si>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</si>
  <si>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</si>
  <si>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</si>
  <si>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</si>
  <si>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</si>
  <si>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</si>
  <si>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</si>
  <si>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</si>
  <si>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</si>
  <si>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</si>
  <si>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</si>
  <si>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</si>
  <si>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</si>
  <si>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</si>
  <si>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</si>
  <si>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</si>
  <si>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</si>
  <si>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</si>
  <si>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</si>
  <si>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</si>
  <si>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High value order</t>
  </si>
  <si>
    <t>Bulk Order</t>
  </si>
  <si>
    <t>Priority channel</t>
  </si>
  <si>
    <t>Status</t>
  </si>
  <si>
    <t>Website Order</t>
  </si>
  <si>
    <t>Category</t>
  </si>
  <si>
    <t>Order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</si>
</sst>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X501"/>
  <sheetViews>
    <sheetView tabSelected="1" workbookViewId="0">
      <selection activeCell="Y1" sqref="Y1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  <col min="15" max="15" width="9" bestFit="1" customWidth="1"/>
    <col min="16" max="16" width="9.88671875" style="1" customWidth="1"/>
    <col min="17" max="17" width="15.21875" style="1" customWidth="1"/>
    <col min="18" max="18" width="9.5546875" style="1" customWidth="1"/>
    <col min="19" max="19" width="13.88671875" style="1" customWidth="1"/>
    <col min="20" max="20" width="14.33203125" style="1" customWidth="1"/>
    <col min="21" max="21" width="12.5546875" style="1" customWidth="1"/>
    <col min="22" max="22" width="12.6640625" customWidth="1"/>
    <col min="23" max="23" width="8.88671875" style="1"/>
    <col min="24" max="24" width="16.5546875" style="1" customWidth="1"/>
  </cols>
  <sheetData>
    <row r="1" spans="1:2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70</v>
      </c>
      <c r="Q1" s="3" t="s">
        <v>71</v>
      </c>
      <c r="R1" s="3" t="s">
        <v>72</v>
      </c>
      <c r="S1" s="3" t="s">
        <v>73</v>
      </c>
      <c r="T1" s="3" t="s">
        <v>74</v>
      </c>
      <c r="U1" s="3" t="s">
        <v>75</v>
      </c>
      <c r="V1" s="4" t="s">
        <v>75</v>
      </c>
      <c r="W1" s="3" t="s">
        <v>76</v>
      </c>
      <c r="X1" s="3" t="s">
        <v>77</v>
      </c>
    </row>
    <row r="2" spans="1:24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5">
        <v>19907.09</v>
      </c>
      <c r="P2" s="1">
        <f>L2*M2</f>
        <v>19907.09</v>
      </c>
      <c r="Q2" s="1" t="str">
        <f>IF(AND(L2&gt;5,O2&gt;10000),"Yes","No")</f>
        <v>Yes</v>
      </c>
      <c r="R2" s="1" t="str">
        <f>IF(AND(L2&gt;=8,N2&gt;=10),"Yes","No")</f>
        <v>No</v>
      </c>
      <c r="S2" s="1" t="str">
        <f>IF(OR(G2="Mobile App",G2="Website"),"Yes","No")</f>
        <v>Yes</v>
      </c>
      <c r="T2" s="1" t="str">
        <f>IF(AND(L2&lt;3,O2&lt;1000),"Special attention","Normal")</f>
        <v>Normal</v>
      </c>
      <c r="U2" s="1" t="str">
        <f>IF(NOT(G2="Website"),"No","Yes")</f>
        <v>No</v>
      </c>
      <c r="V2" s="5" t="str">
        <f>IF(G2&lt;&gt;"Website","No","Yes")</f>
        <v>No</v>
      </c>
      <c r="W2" s="1" t="str">
        <f>IF(AND(O2&gt;15000,OR(I2="Electronics",I2="Beauty")),"Premium","Regular")</f>
        <v>Regular</v>
      </c>
      <c r="X2" s="1" t="str">
        <f>IF(AND(L2&gt;=8,NOT(N2=0%)),"Non Dis Bulk Order","Discounted")</f>
        <v>Discounted</v>
      </c>
    </row>
    <row r="3" spans="1:24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5">
        <v>21590.720000000001</v>
      </c>
      <c r="P3" s="1">
        <f t="shared" ref="P3:P66" si="0">L3*M3</f>
        <v>22727.07</v>
      </c>
      <c r="Q3" s="1" t="str">
        <f t="shared" ref="Q3:Q66" si="1">IF(AND(L3&gt;5,O3&gt;10000),"Yes","No")</f>
        <v>Yes</v>
      </c>
      <c r="R3" s="1" t="str">
        <f t="shared" ref="R3:R66" si="2">IF(AND(L3&gt;=8,N3&gt;=10),"Yes","No")</f>
        <v>No</v>
      </c>
      <c r="S3" s="1" t="str">
        <f t="shared" ref="S3:S66" si="3">IF(OR(G3="Mobile App",G3="Website"),"Yes","No")</f>
        <v>Yes</v>
      </c>
      <c r="T3" s="1" t="str">
        <f t="shared" ref="T3:T66" si="4">IF(AND(L3&lt;3,O3&lt;1000),"Special attention","Normal")</f>
        <v>Normal</v>
      </c>
      <c r="U3" s="1" t="str">
        <f t="shared" ref="U3:U66" si="5">IF(NOT(G3="Website"),"No","Yes")</f>
        <v>Yes</v>
      </c>
      <c r="V3" s="5" t="str">
        <f t="shared" ref="V3:V66" si="6">IF(G3&lt;&gt;"Website","No","Yes")</f>
        <v>Yes</v>
      </c>
      <c r="W3" s="1" t="str">
        <f t="shared" ref="W3:W66" si="7">IF(AND(O3&gt;15000,OR(I3="Electronics",I3="Beauty")),"Premium","Regular")</f>
        <v>Regular</v>
      </c>
      <c r="X3" s="1" t="str">
        <f t="shared" ref="X3:X66" si="8">IF(AND(L3&gt;=8,NOT(N3=0%)),"Non Dis Bulk Order","Discounted")</f>
        <v>Non Dis Bulk Order</v>
      </c>
    </row>
    <row r="4" spans="1:24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5">
        <v>17719.13</v>
      </c>
      <c r="P4" s="1">
        <f t="shared" si="0"/>
        <v>20846.04</v>
      </c>
      <c r="Q4" s="1" t="str">
        <f t="shared" si="1"/>
        <v>Yes</v>
      </c>
      <c r="R4" s="1" t="str">
        <f t="shared" si="2"/>
        <v>No</v>
      </c>
      <c r="S4" s="1" t="str">
        <f t="shared" si="3"/>
        <v>No</v>
      </c>
      <c r="T4" s="1" t="str">
        <f t="shared" si="4"/>
        <v>Normal</v>
      </c>
      <c r="U4" s="1" t="str">
        <f t="shared" si="5"/>
        <v>No</v>
      </c>
      <c r="V4" s="5" t="str">
        <f t="shared" si="6"/>
        <v>No</v>
      </c>
      <c r="W4" s="1" t="str">
        <f t="shared" si="7"/>
        <v>Regular</v>
      </c>
      <c r="X4" s="1" t="str">
        <f t="shared" si="8"/>
        <v>Discounted</v>
      </c>
    </row>
    <row r="5" spans="1:24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5">
        <v>857.47</v>
      </c>
      <c r="P5" s="1">
        <f t="shared" si="0"/>
        <v>1008.79</v>
      </c>
      <c r="Q5" s="1" t="str">
        <f t="shared" si="1"/>
        <v>No</v>
      </c>
      <c r="R5" s="1" t="str">
        <f t="shared" si="2"/>
        <v>No</v>
      </c>
      <c r="S5" s="1" t="str">
        <f t="shared" si="3"/>
        <v>Yes</v>
      </c>
      <c r="T5" s="1" t="str">
        <f t="shared" si="4"/>
        <v>Special attention</v>
      </c>
      <c r="U5" s="1" t="str">
        <f t="shared" si="5"/>
        <v>Yes</v>
      </c>
      <c r="V5" s="5" t="str">
        <f t="shared" si="6"/>
        <v>Yes</v>
      </c>
      <c r="W5" s="1" t="str">
        <f t="shared" si="7"/>
        <v>Regular</v>
      </c>
      <c r="X5" s="1" t="str">
        <f t="shared" si="8"/>
        <v>Discounted</v>
      </c>
    </row>
    <row r="6" spans="1:24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5">
        <v>19664.23</v>
      </c>
      <c r="P6" s="1">
        <f t="shared" si="0"/>
        <v>24580.289999999997</v>
      </c>
      <c r="Q6" s="1" t="str">
        <f t="shared" si="1"/>
        <v>Yes</v>
      </c>
      <c r="R6" s="1" t="str">
        <f t="shared" si="2"/>
        <v>No</v>
      </c>
      <c r="S6" s="1" t="str">
        <f t="shared" si="3"/>
        <v>No</v>
      </c>
      <c r="T6" s="1" t="str">
        <f t="shared" si="4"/>
        <v>Normal</v>
      </c>
      <c r="U6" s="1" t="str">
        <f t="shared" si="5"/>
        <v>No</v>
      </c>
      <c r="V6" s="5" t="str">
        <f t="shared" si="6"/>
        <v>No</v>
      </c>
      <c r="W6" s="1" t="str">
        <f t="shared" si="7"/>
        <v>Regular</v>
      </c>
      <c r="X6" s="1" t="str">
        <f t="shared" si="8"/>
        <v>Discounted</v>
      </c>
    </row>
    <row r="7" spans="1:24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5">
        <v>8611.7800000000007</v>
      </c>
      <c r="P7" s="1">
        <f t="shared" si="0"/>
        <v>9568.6500000000015</v>
      </c>
      <c r="Q7" s="1" t="str">
        <f t="shared" si="1"/>
        <v>No</v>
      </c>
      <c r="R7" s="1" t="str">
        <f t="shared" si="2"/>
        <v>No</v>
      </c>
      <c r="S7" s="1" t="str">
        <f t="shared" si="3"/>
        <v>Yes</v>
      </c>
      <c r="T7" s="1" t="str">
        <f t="shared" si="4"/>
        <v>Normal</v>
      </c>
      <c r="U7" s="1" t="str">
        <f t="shared" si="5"/>
        <v>Yes</v>
      </c>
      <c r="V7" s="5" t="str">
        <f t="shared" si="6"/>
        <v>Yes</v>
      </c>
      <c r="W7" s="1" t="str">
        <f t="shared" si="7"/>
        <v>Regular</v>
      </c>
      <c r="X7" s="1" t="str">
        <f t="shared" si="8"/>
        <v>Discounted</v>
      </c>
    </row>
    <row r="8" spans="1:24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5">
        <v>13636.89</v>
      </c>
      <c r="P8" s="1">
        <f t="shared" si="0"/>
        <v>15152.1</v>
      </c>
      <c r="Q8" s="1" t="str">
        <f t="shared" si="1"/>
        <v>No</v>
      </c>
      <c r="R8" s="1" t="str">
        <f t="shared" si="2"/>
        <v>No</v>
      </c>
      <c r="S8" s="1" t="str">
        <f t="shared" si="3"/>
        <v>Yes</v>
      </c>
      <c r="T8" s="1" t="str">
        <f t="shared" si="4"/>
        <v>Normal</v>
      </c>
      <c r="U8" s="1" t="str">
        <f t="shared" si="5"/>
        <v>No</v>
      </c>
      <c r="V8" s="5" t="str">
        <f t="shared" si="6"/>
        <v>No</v>
      </c>
      <c r="W8" s="1" t="str">
        <f t="shared" si="7"/>
        <v>Regular</v>
      </c>
      <c r="X8" s="1" t="str">
        <f t="shared" si="8"/>
        <v>Discounted</v>
      </c>
    </row>
    <row r="9" spans="1:24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5">
        <v>8318.99</v>
      </c>
      <c r="P9" s="1">
        <f t="shared" si="0"/>
        <v>9243.32</v>
      </c>
      <c r="Q9" s="1" t="str">
        <f t="shared" si="1"/>
        <v>No</v>
      </c>
      <c r="R9" s="1" t="str">
        <f t="shared" si="2"/>
        <v>No</v>
      </c>
      <c r="S9" s="1" t="str">
        <f t="shared" si="3"/>
        <v>Yes</v>
      </c>
      <c r="T9" s="1" t="str">
        <f t="shared" si="4"/>
        <v>Normal</v>
      </c>
      <c r="U9" s="1" t="str">
        <f t="shared" si="5"/>
        <v>Yes</v>
      </c>
      <c r="V9" s="5" t="str">
        <f t="shared" si="6"/>
        <v>Yes</v>
      </c>
      <c r="W9" s="1" t="str">
        <f t="shared" si="7"/>
        <v>Regular</v>
      </c>
      <c r="X9" s="1" t="str">
        <f t="shared" si="8"/>
        <v>Discounted</v>
      </c>
    </row>
    <row r="10" spans="1:24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5">
        <v>4666.67</v>
      </c>
      <c r="P10" s="1">
        <f t="shared" si="0"/>
        <v>5490.2</v>
      </c>
      <c r="Q10" s="1" t="str">
        <f t="shared" si="1"/>
        <v>No</v>
      </c>
      <c r="R10" s="1" t="str">
        <f t="shared" si="2"/>
        <v>No</v>
      </c>
      <c r="S10" s="1" t="str">
        <f t="shared" si="3"/>
        <v>Yes</v>
      </c>
      <c r="T10" s="1" t="str">
        <f t="shared" si="4"/>
        <v>Normal</v>
      </c>
      <c r="U10" s="1" t="str">
        <f t="shared" si="5"/>
        <v>Yes</v>
      </c>
      <c r="V10" s="5" t="str">
        <f t="shared" si="6"/>
        <v>Yes</v>
      </c>
      <c r="W10" s="1" t="str">
        <f t="shared" si="7"/>
        <v>Regular</v>
      </c>
      <c r="X10" s="1" t="str">
        <f t="shared" si="8"/>
        <v>Discounted</v>
      </c>
    </row>
    <row r="11" spans="1:24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5">
        <v>7122.64</v>
      </c>
      <c r="P11" s="1">
        <f t="shared" si="0"/>
        <v>8903.3000000000011</v>
      </c>
      <c r="Q11" s="1" t="str">
        <f t="shared" si="1"/>
        <v>No</v>
      </c>
      <c r="R11" s="1" t="str">
        <f t="shared" si="2"/>
        <v>No</v>
      </c>
      <c r="S11" s="1" t="str">
        <f t="shared" si="3"/>
        <v>Yes</v>
      </c>
      <c r="T11" s="1" t="str">
        <f t="shared" si="4"/>
        <v>Normal</v>
      </c>
      <c r="U11" s="1" t="str">
        <f t="shared" si="5"/>
        <v>Yes</v>
      </c>
      <c r="V11" s="5" t="str">
        <f t="shared" si="6"/>
        <v>Yes</v>
      </c>
      <c r="W11" s="1" t="str">
        <f t="shared" si="7"/>
        <v>Regular</v>
      </c>
      <c r="X11" s="1" t="str">
        <f t="shared" si="8"/>
        <v>Discounted</v>
      </c>
    </row>
    <row r="12" spans="1:24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5">
        <v>19231.5</v>
      </c>
      <c r="P12" s="1">
        <f t="shared" si="0"/>
        <v>19231.5</v>
      </c>
      <c r="Q12" s="1" t="str">
        <f t="shared" si="1"/>
        <v>Yes</v>
      </c>
      <c r="R12" s="1" t="str">
        <f t="shared" si="2"/>
        <v>No</v>
      </c>
      <c r="S12" s="1" t="str">
        <f t="shared" si="3"/>
        <v>Yes</v>
      </c>
      <c r="T12" s="1" t="str">
        <f t="shared" si="4"/>
        <v>Normal</v>
      </c>
      <c r="U12" s="1" t="str">
        <f t="shared" si="5"/>
        <v>No</v>
      </c>
      <c r="V12" s="5" t="str">
        <f t="shared" si="6"/>
        <v>No</v>
      </c>
      <c r="W12" s="1" t="str">
        <f t="shared" si="7"/>
        <v>Premium</v>
      </c>
      <c r="X12" s="1" t="str">
        <f t="shared" si="8"/>
        <v>Discounted</v>
      </c>
    </row>
    <row r="13" spans="1:24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5">
        <v>1552.39</v>
      </c>
      <c r="P13" s="1">
        <f t="shared" si="0"/>
        <v>1634.1000000000001</v>
      </c>
      <c r="Q13" s="1" t="str">
        <f t="shared" si="1"/>
        <v>No</v>
      </c>
      <c r="R13" s="1" t="str">
        <f t="shared" si="2"/>
        <v>No</v>
      </c>
      <c r="S13" s="1" t="str">
        <f t="shared" si="3"/>
        <v>Yes</v>
      </c>
      <c r="T13" s="1" t="str">
        <f t="shared" si="4"/>
        <v>Normal</v>
      </c>
      <c r="U13" s="1" t="str">
        <f t="shared" si="5"/>
        <v>Yes</v>
      </c>
      <c r="V13" s="5" t="str">
        <f t="shared" si="6"/>
        <v>Yes</v>
      </c>
      <c r="W13" s="1" t="str">
        <f t="shared" si="7"/>
        <v>Regular</v>
      </c>
      <c r="X13" s="1" t="str">
        <f t="shared" si="8"/>
        <v>Discounted</v>
      </c>
    </row>
    <row r="14" spans="1:24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5">
        <v>25287.200000000001</v>
      </c>
      <c r="P14" s="1">
        <f t="shared" si="0"/>
        <v>25287.200000000001</v>
      </c>
      <c r="Q14" s="1" t="str">
        <f t="shared" si="1"/>
        <v>Yes</v>
      </c>
      <c r="R14" s="1" t="str">
        <f t="shared" si="2"/>
        <v>No</v>
      </c>
      <c r="S14" s="1" t="str">
        <f t="shared" si="3"/>
        <v>Yes</v>
      </c>
      <c r="T14" s="1" t="str">
        <f t="shared" si="4"/>
        <v>Normal</v>
      </c>
      <c r="U14" s="1" t="str">
        <f t="shared" si="5"/>
        <v>No</v>
      </c>
      <c r="V14" s="5" t="str">
        <f t="shared" si="6"/>
        <v>No</v>
      </c>
      <c r="W14" s="1" t="str">
        <f t="shared" si="7"/>
        <v>Regular</v>
      </c>
      <c r="X14" s="1" t="str">
        <f t="shared" si="8"/>
        <v>Discounted</v>
      </c>
    </row>
    <row r="15" spans="1:24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5">
        <v>7305.04</v>
      </c>
      <c r="P15" s="1">
        <f t="shared" si="0"/>
        <v>8594.16</v>
      </c>
      <c r="Q15" s="1" t="str">
        <f t="shared" si="1"/>
        <v>No</v>
      </c>
      <c r="R15" s="1" t="str">
        <f t="shared" si="2"/>
        <v>Yes</v>
      </c>
      <c r="S15" s="1" t="str">
        <f t="shared" si="3"/>
        <v>No</v>
      </c>
      <c r="T15" s="1" t="str">
        <f t="shared" si="4"/>
        <v>Normal</v>
      </c>
      <c r="U15" s="1" t="str">
        <f t="shared" si="5"/>
        <v>No</v>
      </c>
      <c r="V15" s="5" t="str">
        <f t="shared" si="6"/>
        <v>No</v>
      </c>
      <c r="W15" s="1" t="str">
        <f t="shared" si="7"/>
        <v>Regular</v>
      </c>
      <c r="X15" s="1" t="str">
        <f t="shared" si="8"/>
        <v>Non Dis Bulk Order</v>
      </c>
    </row>
    <row r="16" spans="1:24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5">
        <v>5715.28</v>
      </c>
      <c r="P16" s="1">
        <f t="shared" si="0"/>
        <v>6350.31</v>
      </c>
      <c r="Q16" s="1" t="str">
        <f t="shared" si="1"/>
        <v>No</v>
      </c>
      <c r="R16" s="1" t="str">
        <f t="shared" si="2"/>
        <v>Yes</v>
      </c>
      <c r="S16" s="1" t="str">
        <f t="shared" si="3"/>
        <v>Yes</v>
      </c>
      <c r="T16" s="1" t="str">
        <f t="shared" si="4"/>
        <v>Normal</v>
      </c>
      <c r="U16" s="1" t="str">
        <f t="shared" si="5"/>
        <v>Yes</v>
      </c>
      <c r="V16" s="5" t="str">
        <f t="shared" si="6"/>
        <v>Yes</v>
      </c>
      <c r="W16" s="1" t="str">
        <f t="shared" si="7"/>
        <v>Regular</v>
      </c>
      <c r="X16" s="1" t="str">
        <f t="shared" si="8"/>
        <v>Non Dis Bulk Order</v>
      </c>
    </row>
    <row r="17" spans="1:24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5">
        <v>4525.42</v>
      </c>
      <c r="P17" s="1">
        <f t="shared" si="0"/>
        <v>4763.6000000000004</v>
      </c>
      <c r="Q17" s="1" t="str">
        <f t="shared" si="1"/>
        <v>No</v>
      </c>
      <c r="R17" s="1" t="str">
        <f t="shared" si="2"/>
        <v>No</v>
      </c>
      <c r="S17" s="1" t="str">
        <f t="shared" si="3"/>
        <v>Yes</v>
      </c>
      <c r="T17" s="1" t="str">
        <f t="shared" si="4"/>
        <v>Normal</v>
      </c>
      <c r="U17" s="1" t="str">
        <f t="shared" si="5"/>
        <v>No</v>
      </c>
      <c r="V17" s="5" t="str">
        <f t="shared" si="6"/>
        <v>No</v>
      </c>
      <c r="W17" s="1" t="str">
        <f t="shared" si="7"/>
        <v>Regular</v>
      </c>
      <c r="X17" s="1" t="str">
        <f t="shared" si="8"/>
        <v>Non Dis Bulk Order</v>
      </c>
    </row>
    <row r="18" spans="1:24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5">
        <v>433.35</v>
      </c>
      <c r="P18" s="1">
        <f t="shared" si="0"/>
        <v>509.82</v>
      </c>
      <c r="Q18" s="1" t="str">
        <f t="shared" si="1"/>
        <v>No</v>
      </c>
      <c r="R18" s="1" t="str">
        <f t="shared" si="2"/>
        <v>No</v>
      </c>
      <c r="S18" s="1" t="str">
        <f t="shared" si="3"/>
        <v>Yes</v>
      </c>
      <c r="T18" s="1" t="str">
        <f t="shared" si="4"/>
        <v>Special attention</v>
      </c>
      <c r="U18" s="1" t="str">
        <f t="shared" si="5"/>
        <v>No</v>
      </c>
      <c r="V18" s="5" t="str">
        <f t="shared" si="6"/>
        <v>No</v>
      </c>
      <c r="W18" s="1" t="str">
        <f t="shared" si="7"/>
        <v>Regular</v>
      </c>
      <c r="X18" s="1" t="str">
        <f t="shared" si="8"/>
        <v>Discounted</v>
      </c>
    </row>
    <row r="19" spans="1:24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5">
        <v>1840.94</v>
      </c>
      <c r="P19" s="1">
        <f t="shared" si="0"/>
        <v>2165.81</v>
      </c>
      <c r="Q19" s="1" t="str">
        <f t="shared" si="1"/>
        <v>No</v>
      </c>
      <c r="R19" s="1" t="str">
        <f t="shared" si="2"/>
        <v>No</v>
      </c>
      <c r="S19" s="1" t="str">
        <f t="shared" si="3"/>
        <v>Yes</v>
      </c>
      <c r="T19" s="1" t="str">
        <f t="shared" si="4"/>
        <v>Normal</v>
      </c>
      <c r="U19" s="1" t="str">
        <f t="shared" si="5"/>
        <v>Yes</v>
      </c>
      <c r="V19" s="5" t="str">
        <f t="shared" si="6"/>
        <v>Yes</v>
      </c>
      <c r="W19" s="1" t="str">
        <f t="shared" si="7"/>
        <v>Regular</v>
      </c>
      <c r="X19" s="1" t="str">
        <f t="shared" si="8"/>
        <v>Discounted</v>
      </c>
    </row>
    <row r="20" spans="1:24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5">
        <v>1683.51</v>
      </c>
      <c r="P20" s="1">
        <f t="shared" si="0"/>
        <v>1980.6</v>
      </c>
      <c r="Q20" s="1" t="str">
        <f t="shared" si="1"/>
        <v>No</v>
      </c>
      <c r="R20" s="1" t="str">
        <f t="shared" si="2"/>
        <v>No</v>
      </c>
      <c r="S20" s="1" t="str">
        <f t="shared" si="3"/>
        <v>No</v>
      </c>
      <c r="T20" s="1" t="str">
        <f t="shared" si="4"/>
        <v>Normal</v>
      </c>
      <c r="U20" s="1" t="str">
        <f t="shared" si="5"/>
        <v>No</v>
      </c>
      <c r="V20" s="5" t="str">
        <f t="shared" si="6"/>
        <v>No</v>
      </c>
      <c r="W20" s="1" t="str">
        <f t="shared" si="7"/>
        <v>Regular</v>
      </c>
      <c r="X20" s="1" t="str">
        <f t="shared" si="8"/>
        <v>Discounted</v>
      </c>
    </row>
    <row r="21" spans="1:24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5">
        <v>7522.69</v>
      </c>
      <c r="P21" s="1">
        <f t="shared" si="0"/>
        <v>7918.62</v>
      </c>
      <c r="Q21" s="1" t="str">
        <f t="shared" si="1"/>
        <v>No</v>
      </c>
      <c r="R21" s="1" t="str">
        <f t="shared" si="2"/>
        <v>No</v>
      </c>
      <c r="S21" s="1" t="str">
        <f t="shared" si="3"/>
        <v>Yes</v>
      </c>
      <c r="T21" s="1" t="str">
        <f t="shared" si="4"/>
        <v>Normal</v>
      </c>
      <c r="U21" s="1" t="str">
        <f t="shared" si="5"/>
        <v>No</v>
      </c>
      <c r="V21" s="5" t="str">
        <f t="shared" si="6"/>
        <v>No</v>
      </c>
      <c r="W21" s="1" t="str">
        <f t="shared" si="7"/>
        <v>Regular</v>
      </c>
      <c r="X21" s="1" t="str">
        <f t="shared" si="8"/>
        <v>Discounted</v>
      </c>
    </row>
    <row r="22" spans="1:24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5">
        <v>6730.5</v>
      </c>
      <c r="P22" s="1">
        <f t="shared" si="0"/>
        <v>7084.74</v>
      </c>
      <c r="Q22" s="1" t="str">
        <f t="shared" si="1"/>
        <v>No</v>
      </c>
      <c r="R22" s="1" t="str">
        <f t="shared" si="2"/>
        <v>No</v>
      </c>
      <c r="S22" s="1" t="str">
        <f t="shared" si="3"/>
        <v>Yes</v>
      </c>
      <c r="T22" s="1" t="str">
        <f t="shared" si="4"/>
        <v>Normal</v>
      </c>
      <c r="U22" s="1" t="str">
        <f t="shared" si="5"/>
        <v>Yes</v>
      </c>
      <c r="V22" s="5" t="str">
        <f t="shared" si="6"/>
        <v>Yes</v>
      </c>
      <c r="W22" s="1" t="str">
        <f t="shared" si="7"/>
        <v>Regular</v>
      </c>
      <c r="X22" s="1" t="str">
        <f t="shared" si="8"/>
        <v>Discounted</v>
      </c>
    </row>
    <row r="23" spans="1:24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5">
        <v>3812.82</v>
      </c>
      <c r="P23" s="1">
        <f t="shared" si="0"/>
        <v>4766.0200000000004</v>
      </c>
      <c r="Q23" s="1" t="str">
        <f t="shared" si="1"/>
        <v>No</v>
      </c>
      <c r="R23" s="1" t="str">
        <f t="shared" si="2"/>
        <v>No</v>
      </c>
      <c r="S23" s="1" t="str">
        <f t="shared" si="3"/>
        <v>No</v>
      </c>
      <c r="T23" s="1" t="str">
        <f t="shared" si="4"/>
        <v>Normal</v>
      </c>
      <c r="U23" s="1" t="str">
        <f t="shared" si="5"/>
        <v>No</v>
      </c>
      <c r="V23" s="5" t="str">
        <f t="shared" si="6"/>
        <v>No</v>
      </c>
      <c r="W23" s="1" t="str">
        <f t="shared" si="7"/>
        <v>Regular</v>
      </c>
      <c r="X23" s="1" t="str">
        <f t="shared" si="8"/>
        <v>Discounted</v>
      </c>
    </row>
    <row r="24" spans="1:24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5">
        <v>4482.78</v>
      </c>
      <c r="P24" s="1">
        <f t="shared" si="0"/>
        <v>5603.48</v>
      </c>
      <c r="Q24" s="1" t="str">
        <f t="shared" si="1"/>
        <v>No</v>
      </c>
      <c r="R24" s="1" t="str">
        <f t="shared" si="2"/>
        <v>No</v>
      </c>
      <c r="S24" s="1" t="str">
        <f t="shared" si="3"/>
        <v>Yes</v>
      </c>
      <c r="T24" s="1" t="str">
        <f t="shared" si="4"/>
        <v>Normal</v>
      </c>
      <c r="U24" s="1" t="str">
        <f t="shared" si="5"/>
        <v>No</v>
      </c>
      <c r="V24" s="5" t="str">
        <f t="shared" si="6"/>
        <v>No</v>
      </c>
      <c r="W24" s="1" t="str">
        <f t="shared" si="7"/>
        <v>Regular</v>
      </c>
      <c r="X24" s="1" t="str">
        <f t="shared" si="8"/>
        <v>Discounted</v>
      </c>
    </row>
    <row r="25" spans="1:24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5">
        <v>3606.31</v>
      </c>
      <c r="P25" s="1">
        <f t="shared" si="0"/>
        <v>3606.31</v>
      </c>
      <c r="Q25" s="1" t="str">
        <f t="shared" si="1"/>
        <v>No</v>
      </c>
      <c r="R25" s="1" t="str">
        <f t="shared" si="2"/>
        <v>No</v>
      </c>
      <c r="S25" s="1" t="str">
        <f t="shared" si="3"/>
        <v>Yes</v>
      </c>
      <c r="T25" s="1" t="str">
        <f t="shared" si="4"/>
        <v>Normal</v>
      </c>
      <c r="U25" s="1" t="str">
        <f t="shared" si="5"/>
        <v>No</v>
      </c>
      <c r="V25" s="5" t="str">
        <f t="shared" si="6"/>
        <v>No</v>
      </c>
      <c r="W25" s="1" t="str">
        <f t="shared" si="7"/>
        <v>Regular</v>
      </c>
      <c r="X25" s="1" t="str">
        <f t="shared" si="8"/>
        <v>Discounted</v>
      </c>
    </row>
    <row r="26" spans="1:24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5">
        <v>17207.96</v>
      </c>
      <c r="P26" s="1">
        <f t="shared" si="0"/>
        <v>18113.64</v>
      </c>
      <c r="Q26" s="1" t="str">
        <f t="shared" si="1"/>
        <v>Yes</v>
      </c>
      <c r="R26" s="1" t="str">
        <f t="shared" si="2"/>
        <v>No</v>
      </c>
      <c r="S26" s="1" t="str">
        <f t="shared" si="3"/>
        <v>No</v>
      </c>
      <c r="T26" s="1" t="str">
        <f t="shared" si="4"/>
        <v>Normal</v>
      </c>
      <c r="U26" s="1" t="str">
        <f t="shared" si="5"/>
        <v>No</v>
      </c>
      <c r="V26" s="5" t="str">
        <f t="shared" si="6"/>
        <v>No</v>
      </c>
      <c r="W26" s="1" t="str">
        <f t="shared" si="7"/>
        <v>Regular</v>
      </c>
      <c r="X26" s="1" t="str">
        <f t="shared" si="8"/>
        <v>Discounted</v>
      </c>
    </row>
    <row r="27" spans="1:24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5">
        <v>3798.68</v>
      </c>
      <c r="P27" s="1">
        <f t="shared" si="0"/>
        <v>3998.61</v>
      </c>
      <c r="Q27" s="1" t="str">
        <f t="shared" si="1"/>
        <v>No</v>
      </c>
      <c r="R27" s="1" t="str">
        <f t="shared" si="2"/>
        <v>No</v>
      </c>
      <c r="S27" s="1" t="str">
        <f t="shared" si="3"/>
        <v>No</v>
      </c>
      <c r="T27" s="1" t="str">
        <f t="shared" si="4"/>
        <v>Normal</v>
      </c>
      <c r="U27" s="1" t="str">
        <f t="shared" si="5"/>
        <v>No</v>
      </c>
      <c r="V27" s="5" t="str">
        <f t="shared" si="6"/>
        <v>No</v>
      </c>
      <c r="W27" s="1" t="str">
        <f t="shared" si="7"/>
        <v>Regular</v>
      </c>
      <c r="X27" s="1" t="str">
        <f t="shared" si="8"/>
        <v>Non Dis Bulk Order</v>
      </c>
    </row>
    <row r="28" spans="1:24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5">
        <v>10257.58</v>
      </c>
      <c r="P28" s="1">
        <f t="shared" si="0"/>
        <v>10797.45</v>
      </c>
      <c r="Q28" s="1" t="str">
        <f t="shared" si="1"/>
        <v>No</v>
      </c>
      <c r="R28" s="1" t="str">
        <f t="shared" si="2"/>
        <v>No</v>
      </c>
      <c r="S28" s="1" t="str">
        <f t="shared" si="3"/>
        <v>Yes</v>
      </c>
      <c r="T28" s="1" t="str">
        <f t="shared" si="4"/>
        <v>Normal</v>
      </c>
      <c r="U28" s="1" t="str">
        <f t="shared" si="5"/>
        <v>Yes</v>
      </c>
      <c r="V28" s="5" t="str">
        <f t="shared" si="6"/>
        <v>Yes</v>
      </c>
      <c r="W28" s="1" t="str">
        <f t="shared" si="7"/>
        <v>Regular</v>
      </c>
      <c r="X28" s="1" t="str">
        <f t="shared" si="8"/>
        <v>Discounted</v>
      </c>
    </row>
    <row r="29" spans="1:24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5">
        <v>15391.82</v>
      </c>
      <c r="P29" s="1">
        <f t="shared" si="0"/>
        <v>19239.78</v>
      </c>
      <c r="Q29" s="1" t="str">
        <f t="shared" si="1"/>
        <v>Yes</v>
      </c>
      <c r="R29" s="1" t="str">
        <f t="shared" si="2"/>
        <v>No</v>
      </c>
      <c r="S29" s="1" t="str">
        <f t="shared" si="3"/>
        <v>Yes</v>
      </c>
      <c r="T29" s="1" t="str">
        <f t="shared" si="4"/>
        <v>Normal</v>
      </c>
      <c r="U29" s="1" t="str">
        <f t="shared" si="5"/>
        <v>Yes</v>
      </c>
      <c r="V29" s="5" t="str">
        <f t="shared" si="6"/>
        <v>Yes</v>
      </c>
      <c r="W29" s="1" t="str">
        <f t="shared" si="7"/>
        <v>Premium</v>
      </c>
      <c r="X29" s="1" t="str">
        <f t="shared" si="8"/>
        <v>Discounted</v>
      </c>
    </row>
    <row r="30" spans="1:24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5">
        <v>1936.65</v>
      </c>
      <c r="P30" s="1">
        <f t="shared" si="0"/>
        <v>2278.41</v>
      </c>
      <c r="Q30" s="1" t="str">
        <f t="shared" si="1"/>
        <v>No</v>
      </c>
      <c r="R30" s="1" t="str">
        <f t="shared" si="2"/>
        <v>No</v>
      </c>
      <c r="S30" s="1" t="str">
        <f t="shared" si="3"/>
        <v>Yes</v>
      </c>
      <c r="T30" s="1" t="str">
        <f t="shared" si="4"/>
        <v>Normal</v>
      </c>
      <c r="U30" s="1" t="str">
        <f t="shared" si="5"/>
        <v>No</v>
      </c>
      <c r="V30" s="5" t="str">
        <f t="shared" si="6"/>
        <v>No</v>
      </c>
      <c r="W30" s="1" t="str">
        <f t="shared" si="7"/>
        <v>Regular</v>
      </c>
      <c r="X30" s="1" t="str">
        <f t="shared" si="8"/>
        <v>Discounted</v>
      </c>
    </row>
    <row r="31" spans="1:24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5">
        <v>314.44</v>
      </c>
      <c r="P31" s="1">
        <f t="shared" si="0"/>
        <v>349.38</v>
      </c>
      <c r="Q31" s="1" t="str">
        <f t="shared" si="1"/>
        <v>No</v>
      </c>
      <c r="R31" s="1" t="str">
        <f t="shared" si="2"/>
        <v>No</v>
      </c>
      <c r="S31" s="1" t="str">
        <f t="shared" si="3"/>
        <v>No</v>
      </c>
      <c r="T31" s="1" t="str">
        <f t="shared" si="4"/>
        <v>Special attention</v>
      </c>
      <c r="U31" s="1" t="str">
        <f t="shared" si="5"/>
        <v>No</v>
      </c>
      <c r="V31" s="5" t="str">
        <f t="shared" si="6"/>
        <v>No</v>
      </c>
      <c r="W31" s="1" t="str">
        <f t="shared" si="7"/>
        <v>Regular</v>
      </c>
      <c r="X31" s="1" t="str">
        <f t="shared" si="8"/>
        <v>Discounted</v>
      </c>
    </row>
    <row r="32" spans="1:24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5">
        <v>9182.6</v>
      </c>
      <c r="P32" s="1">
        <f t="shared" si="0"/>
        <v>11478.25</v>
      </c>
      <c r="Q32" s="1" t="str">
        <f t="shared" si="1"/>
        <v>No</v>
      </c>
      <c r="R32" s="1" t="str">
        <f t="shared" si="2"/>
        <v>No</v>
      </c>
      <c r="S32" s="1" t="str">
        <f t="shared" si="3"/>
        <v>No</v>
      </c>
      <c r="T32" s="1" t="str">
        <f t="shared" si="4"/>
        <v>Normal</v>
      </c>
      <c r="U32" s="1" t="str">
        <f t="shared" si="5"/>
        <v>No</v>
      </c>
      <c r="V32" s="5" t="str">
        <f t="shared" si="6"/>
        <v>No</v>
      </c>
      <c r="W32" s="1" t="str">
        <f t="shared" si="7"/>
        <v>Regular</v>
      </c>
      <c r="X32" s="1" t="str">
        <f t="shared" si="8"/>
        <v>Discounted</v>
      </c>
    </row>
    <row r="33" spans="1:24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5">
        <v>2852.81</v>
      </c>
      <c r="P33" s="1">
        <f t="shared" si="0"/>
        <v>3002.96</v>
      </c>
      <c r="Q33" s="1" t="str">
        <f t="shared" si="1"/>
        <v>No</v>
      </c>
      <c r="R33" s="1" t="str">
        <f t="shared" si="2"/>
        <v>No</v>
      </c>
      <c r="S33" s="1" t="str">
        <f t="shared" si="3"/>
        <v>No</v>
      </c>
      <c r="T33" s="1" t="str">
        <f t="shared" si="4"/>
        <v>Normal</v>
      </c>
      <c r="U33" s="1" t="str">
        <f t="shared" si="5"/>
        <v>No</v>
      </c>
      <c r="V33" s="5" t="str">
        <f t="shared" si="6"/>
        <v>No</v>
      </c>
      <c r="W33" s="1" t="str">
        <f t="shared" si="7"/>
        <v>Regular</v>
      </c>
      <c r="X33" s="1" t="str">
        <f t="shared" si="8"/>
        <v>Discounted</v>
      </c>
    </row>
    <row r="34" spans="1:24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5">
        <v>18833.810000000001</v>
      </c>
      <c r="P34" s="1">
        <f t="shared" si="0"/>
        <v>23542.26</v>
      </c>
      <c r="Q34" s="1" t="str">
        <f t="shared" si="1"/>
        <v>Yes</v>
      </c>
      <c r="R34" s="1" t="str">
        <f t="shared" si="2"/>
        <v>No</v>
      </c>
      <c r="S34" s="1" t="str">
        <f t="shared" si="3"/>
        <v>Yes</v>
      </c>
      <c r="T34" s="1" t="str">
        <f t="shared" si="4"/>
        <v>Normal</v>
      </c>
      <c r="U34" s="1" t="str">
        <f t="shared" si="5"/>
        <v>No</v>
      </c>
      <c r="V34" s="5" t="str">
        <f t="shared" si="6"/>
        <v>No</v>
      </c>
      <c r="W34" s="1" t="str">
        <f t="shared" si="7"/>
        <v>Regular</v>
      </c>
      <c r="X34" s="1" t="str">
        <f t="shared" si="8"/>
        <v>Discounted</v>
      </c>
    </row>
    <row r="35" spans="1:24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5">
        <v>9177.5400000000009</v>
      </c>
      <c r="P35" s="1">
        <f t="shared" si="0"/>
        <v>9177.5399999999991</v>
      </c>
      <c r="Q35" s="1" t="str">
        <f t="shared" si="1"/>
        <v>No</v>
      </c>
      <c r="R35" s="1" t="str">
        <f t="shared" si="2"/>
        <v>No</v>
      </c>
      <c r="S35" s="1" t="str">
        <f t="shared" si="3"/>
        <v>No</v>
      </c>
      <c r="T35" s="1" t="str">
        <f t="shared" si="4"/>
        <v>Normal</v>
      </c>
      <c r="U35" s="1" t="str">
        <f t="shared" si="5"/>
        <v>No</v>
      </c>
      <c r="V35" s="5" t="str">
        <f t="shared" si="6"/>
        <v>No</v>
      </c>
      <c r="W35" s="1" t="str">
        <f t="shared" si="7"/>
        <v>Regular</v>
      </c>
      <c r="X35" s="1" t="str">
        <f t="shared" si="8"/>
        <v>Discounted</v>
      </c>
    </row>
    <row r="36" spans="1:24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5">
        <v>24369.86</v>
      </c>
      <c r="P36" s="1">
        <f t="shared" si="0"/>
        <v>25652.48</v>
      </c>
      <c r="Q36" s="1" t="str">
        <f t="shared" si="1"/>
        <v>Yes</v>
      </c>
      <c r="R36" s="1" t="str">
        <f t="shared" si="2"/>
        <v>No</v>
      </c>
      <c r="S36" s="1" t="str">
        <f t="shared" si="3"/>
        <v>No</v>
      </c>
      <c r="T36" s="1" t="str">
        <f t="shared" si="4"/>
        <v>Normal</v>
      </c>
      <c r="U36" s="1" t="str">
        <f t="shared" si="5"/>
        <v>No</v>
      </c>
      <c r="V36" s="5" t="str">
        <f t="shared" si="6"/>
        <v>No</v>
      </c>
      <c r="W36" s="1" t="str">
        <f t="shared" si="7"/>
        <v>Regular</v>
      </c>
      <c r="X36" s="1" t="str">
        <f t="shared" si="8"/>
        <v>Discounted</v>
      </c>
    </row>
    <row r="37" spans="1:24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5">
        <v>11639.5</v>
      </c>
      <c r="P37" s="1">
        <f t="shared" si="0"/>
        <v>11639.5</v>
      </c>
      <c r="Q37" s="1" t="str">
        <f t="shared" si="1"/>
        <v>No</v>
      </c>
      <c r="R37" s="1" t="str">
        <f t="shared" si="2"/>
        <v>No</v>
      </c>
      <c r="S37" s="1" t="str">
        <f t="shared" si="3"/>
        <v>Yes</v>
      </c>
      <c r="T37" s="1" t="str">
        <f t="shared" si="4"/>
        <v>Normal</v>
      </c>
      <c r="U37" s="1" t="str">
        <f t="shared" si="5"/>
        <v>No</v>
      </c>
      <c r="V37" s="5" t="str">
        <f t="shared" si="6"/>
        <v>No</v>
      </c>
      <c r="W37" s="1" t="str">
        <f t="shared" si="7"/>
        <v>Regular</v>
      </c>
      <c r="X37" s="1" t="str">
        <f t="shared" si="8"/>
        <v>Discounted</v>
      </c>
    </row>
    <row r="38" spans="1:24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5">
        <v>3242.5</v>
      </c>
      <c r="P38" s="1">
        <f t="shared" si="0"/>
        <v>3413.16</v>
      </c>
      <c r="Q38" s="1" t="str">
        <f t="shared" si="1"/>
        <v>No</v>
      </c>
      <c r="R38" s="1" t="str">
        <f t="shared" si="2"/>
        <v>No</v>
      </c>
      <c r="S38" s="1" t="str">
        <f t="shared" si="3"/>
        <v>Yes</v>
      </c>
      <c r="T38" s="1" t="str">
        <f t="shared" si="4"/>
        <v>Normal</v>
      </c>
      <c r="U38" s="1" t="str">
        <f t="shared" si="5"/>
        <v>Yes</v>
      </c>
      <c r="V38" s="5" t="str">
        <f t="shared" si="6"/>
        <v>Yes</v>
      </c>
      <c r="W38" s="1" t="str">
        <f t="shared" si="7"/>
        <v>Regular</v>
      </c>
      <c r="X38" s="1" t="str">
        <f t="shared" si="8"/>
        <v>Discounted</v>
      </c>
    </row>
    <row r="39" spans="1:24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5">
        <v>3849.78</v>
      </c>
      <c r="P39" s="1">
        <f t="shared" si="0"/>
        <v>4812.22</v>
      </c>
      <c r="Q39" s="1" t="str">
        <f t="shared" si="1"/>
        <v>No</v>
      </c>
      <c r="R39" s="1" t="str">
        <f t="shared" si="2"/>
        <v>No</v>
      </c>
      <c r="S39" s="1" t="str">
        <f t="shared" si="3"/>
        <v>Yes</v>
      </c>
      <c r="T39" s="1" t="str">
        <f t="shared" si="4"/>
        <v>Normal</v>
      </c>
      <c r="U39" s="1" t="str">
        <f t="shared" si="5"/>
        <v>Yes</v>
      </c>
      <c r="V39" s="5" t="str">
        <f t="shared" si="6"/>
        <v>Yes</v>
      </c>
      <c r="W39" s="1" t="str">
        <f t="shared" si="7"/>
        <v>Regular</v>
      </c>
      <c r="X39" s="1" t="str">
        <f t="shared" si="8"/>
        <v>Discounted</v>
      </c>
    </row>
    <row r="40" spans="1:24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5">
        <v>14098.05</v>
      </c>
      <c r="P40" s="1">
        <f t="shared" si="0"/>
        <v>16585.940000000002</v>
      </c>
      <c r="Q40" s="1" t="str">
        <f t="shared" si="1"/>
        <v>Yes</v>
      </c>
      <c r="R40" s="1" t="str">
        <f t="shared" si="2"/>
        <v>No</v>
      </c>
      <c r="S40" s="1" t="str">
        <f t="shared" si="3"/>
        <v>Yes</v>
      </c>
      <c r="T40" s="1" t="str">
        <f t="shared" si="4"/>
        <v>Normal</v>
      </c>
      <c r="U40" s="1" t="str">
        <f t="shared" si="5"/>
        <v>No</v>
      </c>
      <c r="V40" s="5" t="str">
        <f t="shared" si="6"/>
        <v>No</v>
      </c>
      <c r="W40" s="1" t="str">
        <f t="shared" si="7"/>
        <v>Regular</v>
      </c>
      <c r="X40" s="1" t="str">
        <f t="shared" si="8"/>
        <v>Discounted</v>
      </c>
    </row>
    <row r="41" spans="1:24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5">
        <v>16649.55</v>
      </c>
      <c r="P41" s="1">
        <f t="shared" si="0"/>
        <v>18499.5</v>
      </c>
      <c r="Q41" s="1" t="str">
        <f t="shared" si="1"/>
        <v>Yes</v>
      </c>
      <c r="R41" s="1" t="str">
        <f t="shared" si="2"/>
        <v>No</v>
      </c>
      <c r="S41" s="1" t="str">
        <f t="shared" si="3"/>
        <v>No</v>
      </c>
      <c r="T41" s="1" t="str">
        <f t="shared" si="4"/>
        <v>Normal</v>
      </c>
      <c r="U41" s="1" t="str">
        <f t="shared" si="5"/>
        <v>No</v>
      </c>
      <c r="V41" s="5" t="str">
        <f t="shared" si="6"/>
        <v>No</v>
      </c>
      <c r="W41" s="1" t="str">
        <f t="shared" si="7"/>
        <v>Regular</v>
      </c>
      <c r="X41" s="1" t="str">
        <f t="shared" si="8"/>
        <v>Discounted</v>
      </c>
    </row>
    <row r="42" spans="1:24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5">
        <v>25270.400000000001</v>
      </c>
      <c r="P42" s="1">
        <f t="shared" si="0"/>
        <v>25270.400000000001</v>
      </c>
      <c r="Q42" s="1" t="str">
        <f t="shared" si="1"/>
        <v>Yes</v>
      </c>
      <c r="R42" s="1" t="str">
        <f t="shared" si="2"/>
        <v>No</v>
      </c>
      <c r="S42" s="1" t="str">
        <f t="shared" si="3"/>
        <v>Yes</v>
      </c>
      <c r="T42" s="1" t="str">
        <f t="shared" si="4"/>
        <v>Normal</v>
      </c>
      <c r="U42" s="1" t="str">
        <f t="shared" si="5"/>
        <v>No</v>
      </c>
      <c r="V42" s="5" t="str">
        <f t="shared" si="6"/>
        <v>No</v>
      </c>
      <c r="W42" s="1" t="str">
        <f t="shared" si="7"/>
        <v>Premium</v>
      </c>
      <c r="X42" s="1" t="str">
        <f t="shared" si="8"/>
        <v>Discounted</v>
      </c>
    </row>
    <row r="43" spans="1:24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5">
        <v>3877.34</v>
      </c>
      <c r="P43" s="1">
        <f t="shared" si="0"/>
        <v>4846.68</v>
      </c>
      <c r="Q43" s="1" t="str">
        <f t="shared" si="1"/>
        <v>No</v>
      </c>
      <c r="R43" s="1" t="str">
        <f t="shared" si="2"/>
        <v>No</v>
      </c>
      <c r="S43" s="1" t="str">
        <f t="shared" si="3"/>
        <v>Yes</v>
      </c>
      <c r="T43" s="1" t="str">
        <f t="shared" si="4"/>
        <v>Normal</v>
      </c>
      <c r="U43" s="1" t="str">
        <f t="shared" si="5"/>
        <v>Yes</v>
      </c>
      <c r="V43" s="5" t="str">
        <f t="shared" si="6"/>
        <v>Yes</v>
      </c>
      <c r="W43" s="1" t="str">
        <f t="shared" si="7"/>
        <v>Regular</v>
      </c>
      <c r="X43" s="1" t="str">
        <f t="shared" si="8"/>
        <v>Discounted</v>
      </c>
    </row>
    <row r="44" spans="1:24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5">
        <v>3979.49</v>
      </c>
      <c r="P44" s="1">
        <f t="shared" si="0"/>
        <v>4681.75</v>
      </c>
      <c r="Q44" s="1" t="str">
        <f t="shared" si="1"/>
        <v>No</v>
      </c>
      <c r="R44" s="1" t="str">
        <f t="shared" si="2"/>
        <v>No</v>
      </c>
      <c r="S44" s="1" t="str">
        <f t="shared" si="3"/>
        <v>Yes</v>
      </c>
      <c r="T44" s="1" t="str">
        <f t="shared" si="4"/>
        <v>Normal</v>
      </c>
      <c r="U44" s="1" t="str">
        <f t="shared" si="5"/>
        <v>Yes</v>
      </c>
      <c r="V44" s="5" t="str">
        <f t="shared" si="6"/>
        <v>Yes</v>
      </c>
      <c r="W44" s="1" t="str">
        <f t="shared" si="7"/>
        <v>Regular</v>
      </c>
      <c r="X44" s="1" t="str">
        <f t="shared" si="8"/>
        <v>Discounted</v>
      </c>
    </row>
    <row r="45" spans="1:24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5">
        <v>686.43</v>
      </c>
      <c r="P45" s="1">
        <f t="shared" si="0"/>
        <v>858.04</v>
      </c>
      <c r="Q45" s="1" t="str">
        <f t="shared" si="1"/>
        <v>No</v>
      </c>
      <c r="R45" s="1" t="str">
        <f t="shared" si="2"/>
        <v>No</v>
      </c>
      <c r="S45" s="1" t="str">
        <f t="shared" si="3"/>
        <v>Yes</v>
      </c>
      <c r="T45" s="1" t="str">
        <f t="shared" si="4"/>
        <v>Normal</v>
      </c>
      <c r="U45" s="1" t="str">
        <f t="shared" si="5"/>
        <v>No</v>
      </c>
      <c r="V45" s="5" t="str">
        <f t="shared" si="6"/>
        <v>No</v>
      </c>
      <c r="W45" s="1" t="str">
        <f t="shared" si="7"/>
        <v>Regular</v>
      </c>
      <c r="X45" s="1" t="str">
        <f t="shared" si="8"/>
        <v>Discounted</v>
      </c>
    </row>
    <row r="46" spans="1:24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5">
        <v>2764.92</v>
      </c>
      <c r="P46" s="1">
        <f t="shared" si="0"/>
        <v>2764.92</v>
      </c>
      <c r="Q46" s="1" t="str">
        <f t="shared" si="1"/>
        <v>No</v>
      </c>
      <c r="R46" s="1" t="str">
        <f t="shared" si="2"/>
        <v>No</v>
      </c>
      <c r="S46" s="1" t="str">
        <f t="shared" si="3"/>
        <v>Yes</v>
      </c>
      <c r="T46" s="1" t="str">
        <f t="shared" si="4"/>
        <v>Normal</v>
      </c>
      <c r="U46" s="1" t="str">
        <f t="shared" si="5"/>
        <v>No</v>
      </c>
      <c r="V46" s="5" t="str">
        <f t="shared" si="6"/>
        <v>No</v>
      </c>
      <c r="W46" s="1" t="str">
        <f t="shared" si="7"/>
        <v>Regular</v>
      </c>
      <c r="X46" s="1" t="str">
        <f t="shared" si="8"/>
        <v>Discounted</v>
      </c>
    </row>
    <row r="47" spans="1:24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5">
        <v>3202.49</v>
      </c>
      <c r="P47" s="1">
        <f t="shared" si="0"/>
        <v>3558.32</v>
      </c>
      <c r="Q47" s="1" t="str">
        <f t="shared" si="1"/>
        <v>No</v>
      </c>
      <c r="R47" s="1" t="str">
        <f t="shared" si="2"/>
        <v>Yes</v>
      </c>
      <c r="S47" s="1" t="str">
        <f t="shared" si="3"/>
        <v>Yes</v>
      </c>
      <c r="T47" s="1" t="str">
        <f t="shared" si="4"/>
        <v>Normal</v>
      </c>
      <c r="U47" s="1" t="str">
        <f t="shared" si="5"/>
        <v>Yes</v>
      </c>
      <c r="V47" s="5" t="str">
        <f t="shared" si="6"/>
        <v>Yes</v>
      </c>
      <c r="W47" s="1" t="str">
        <f t="shared" si="7"/>
        <v>Regular</v>
      </c>
      <c r="X47" s="1" t="str">
        <f t="shared" si="8"/>
        <v>Non Dis Bulk Order</v>
      </c>
    </row>
    <row r="48" spans="1:24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5">
        <v>1415.94</v>
      </c>
      <c r="P48" s="1">
        <f t="shared" si="0"/>
        <v>1769.93</v>
      </c>
      <c r="Q48" s="1" t="str">
        <f t="shared" si="1"/>
        <v>No</v>
      </c>
      <c r="R48" s="1" t="str">
        <f t="shared" si="2"/>
        <v>No</v>
      </c>
      <c r="S48" s="1" t="str">
        <f t="shared" si="3"/>
        <v>Yes</v>
      </c>
      <c r="T48" s="1" t="str">
        <f t="shared" si="4"/>
        <v>Normal</v>
      </c>
      <c r="U48" s="1" t="str">
        <f t="shared" si="5"/>
        <v>No</v>
      </c>
      <c r="V48" s="5" t="str">
        <f t="shared" si="6"/>
        <v>No</v>
      </c>
      <c r="W48" s="1" t="str">
        <f t="shared" si="7"/>
        <v>Regular</v>
      </c>
      <c r="X48" s="1" t="str">
        <f t="shared" si="8"/>
        <v>Discounted</v>
      </c>
    </row>
    <row r="49" spans="1:24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5">
        <v>11715.78</v>
      </c>
      <c r="P49" s="1">
        <f t="shared" si="0"/>
        <v>12332.4</v>
      </c>
      <c r="Q49" s="1" t="str">
        <f t="shared" si="1"/>
        <v>No</v>
      </c>
      <c r="R49" s="1" t="str">
        <f t="shared" si="2"/>
        <v>No</v>
      </c>
      <c r="S49" s="1" t="str">
        <f t="shared" si="3"/>
        <v>Yes</v>
      </c>
      <c r="T49" s="1" t="str">
        <f t="shared" si="4"/>
        <v>Normal</v>
      </c>
      <c r="U49" s="1" t="str">
        <f t="shared" si="5"/>
        <v>Yes</v>
      </c>
      <c r="V49" s="5" t="str">
        <f t="shared" si="6"/>
        <v>Yes</v>
      </c>
      <c r="W49" s="1" t="str">
        <f t="shared" si="7"/>
        <v>Regular</v>
      </c>
      <c r="X49" s="1" t="str">
        <f t="shared" si="8"/>
        <v>Discounted</v>
      </c>
    </row>
    <row r="50" spans="1:24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5">
        <v>19165.14</v>
      </c>
      <c r="P50" s="1">
        <f t="shared" si="0"/>
        <v>22547.22</v>
      </c>
      <c r="Q50" s="1" t="str">
        <f t="shared" si="1"/>
        <v>Yes</v>
      </c>
      <c r="R50" s="1" t="str">
        <f t="shared" si="2"/>
        <v>No</v>
      </c>
      <c r="S50" s="1" t="str">
        <f t="shared" si="3"/>
        <v>Yes</v>
      </c>
      <c r="T50" s="1" t="str">
        <f t="shared" si="4"/>
        <v>Normal</v>
      </c>
      <c r="U50" s="1" t="str">
        <f t="shared" si="5"/>
        <v>No</v>
      </c>
      <c r="V50" s="5" t="str">
        <f t="shared" si="6"/>
        <v>No</v>
      </c>
      <c r="W50" s="1" t="str">
        <f t="shared" si="7"/>
        <v>Regular</v>
      </c>
      <c r="X50" s="1" t="str">
        <f t="shared" si="8"/>
        <v>Discounted</v>
      </c>
    </row>
    <row r="51" spans="1:24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5">
        <v>6482.11</v>
      </c>
      <c r="P51" s="1">
        <f t="shared" si="0"/>
        <v>8102.64</v>
      </c>
      <c r="Q51" s="1" t="str">
        <f t="shared" si="1"/>
        <v>No</v>
      </c>
      <c r="R51" s="1" t="str">
        <f t="shared" si="2"/>
        <v>No</v>
      </c>
      <c r="S51" s="1" t="str">
        <f t="shared" si="3"/>
        <v>Yes</v>
      </c>
      <c r="T51" s="1" t="str">
        <f t="shared" si="4"/>
        <v>Normal</v>
      </c>
      <c r="U51" s="1" t="str">
        <f t="shared" si="5"/>
        <v>No</v>
      </c>
      <c r="V51" s="5" t="str">
        <f t="shared" si="6"/>
        <v>No</v>
      </c>
      <c r="W51" s="1" t="str">
        <f t="shared" si="7"/>
        <v>Regular</v>
      </c>
      <c r="X51" s="1" t="str">
        <f t="shared" si="8"/>
        <v>Discounted</v>
      </c>
    </row>
    <row r="52" spans="1:24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5">
        <v>4724.3900000000003</v>
      </c>
      <c r="P52" s="1">
        <f t="shared" si="0"/>
        <v>5558.0999999999995</v>
      </c>
      <c r="Q52" s="1" t="str">
        <f t="shared" si="1"/>
        <v>No</v>
      </c>
      <c r="R52" s="1" t="str">
        <f t="shared" si="2"/>
        <v>No</v>
      </c>
      <c r="S52" s="1" t="str">
        <f t="shared" si="3"/>
        <v>Yes</v>
      </c>
      <c r="T52" s="1" t="str">
        <f t="shared" si="4"/>
        <v>Normal</v>
      </c>
      <c r="U52" s="1" t="str">
        <f t="shared" si="5"/>
        <v>No</v>
      </c>
      <c r="V52" s="5" t="str">
        <f t="shared" si="6"/>
        <v>No</v>
      </c>
      <c r="W52" s="1" t="str">
        <f t="shared" si="7"/>
        <v>Regular</v>
      </c>
      <c r="X52" s="1" t="str">
        <f t="shared" si="8"/>
        <v>Discounted</v>
      </c>
    </row>
    <row r="53" spans="1:24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5">
        <v>7605.28</v>
      </c>
      <c r="P53" s="1">
        <f t="shared" si="0"/>
        <v>8005.5599999999995</v>
      </c>
      <c r="Q53" s="1" t="str">
        <f t="shared" si="1"/>
        <v>No</v>
      </c>
      <c r="R53" s="1" t="str">
        <f t="shared" si="2"/>
        <v>No</v>
      </c>
      <c r="S53" s="1" t="str">
        <f t="shared" si="3"/>
        <v>Yes</v>
      </c>
      <c r="T53" s="1" t="str">
        <f t="shared" si="4"/>
        <v>Normal</v>
      </c>
      <c r="U53" s="1" t="str">
        <f t="shared" si="5"/>
        <v>Yes</v>
      </c>
      <c r="V53" s="5" t="str">
        <f t="shared" si="6"/>
        <v>Yes</v>
      </c>
      <c r="W53" s="1" t="str">
        <f t="shared" si="7"/>
        <v>Regular</v>
      </c>
      <c r="X53" s="1" t="str">
        <f t="shared" si="8"/>
        <v>Discounted</v>
      </c>
    </row>
    <row r="54" spans="1:24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5">
        <v>11403.31</v>
      </c>
      <c r="P54" s="1">
        <f t="shared" si="0"/>
        <v>12670.35</v>
      </c>
      <c r="Q54" s="1" t="str">
        <f t="shared" si="1"/>
        <v>No</v>
      </c>
      <c r="R54" s="1" t="str">
        <f t="shared" si="2"/>
        <v>No</v>
      </c>
      <c r="S54" s="1" t="str">
        <f t="shared" si="3"/>
        <v>Yes</v>
      </c>
      <c r="T54" s="1" t="str">
        <f t="shared" si="4"/>
        <v>Normal</v>
      </c>
      <c r="U54" s="1" t="str">
        <f t="shared" si="5"/>
        <v>No</v>
      </c>
      <c r="V54" s="5" t="str">
        <f t="shared" si="6"/>
        <v>No</v>
      </c>
      <c r="W54" s="1" t="str">
        <f t="shared" si="7"/>
        <v>Regular</v>
      </c>
      <c r="X54" s="1" t="str">
        <f t="shared" si="8"/>
        <v>Discounted</v>
      </c>
    </row>
    <row r="55" spans="1:24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5">
        <v>10286.06</v>
      </c>
      <c r="P55" s="1">
        <f t="shared" si="0"/>
        <v>11428.96</v>
      </c>
      <c r="Q55" s="1" t="str">
        <f t="shared" si="1"/>
        <v>Yes</v>
      </c>
      <c r="R55" s="1" t="str">
        <f t="shared" si="2"/>
        <v>Yes</v>
      </c>
      <c r="S55" s="1" t="str">
        <f t="shared" si="3"/>
        <v>Yes</v>
      </c>
      <c r="T55" s="1" t="str">
        <f t="shared" si="4"/>
        <v>Normal</v>
      </c>
      <c r="U55" s="1" t="str">
        <f t="shared" si="5"/>
        <v>Yes</v>
      </c>
      <c r="V55" s="5" t="str">
        <f t="shared" si="6"/>
        <v>Yes</v>
      </c>
      <c r="W55" s="1" t="str">
        <f t="shared" si="7"/>
        <v>Regular</v>
      </c>
      <c r="X55" s="1" t="str">
        <f t="shared" si="8"/>
        <v>Non Dis Bulk Order</v>
      </c>
    </row>
    <row r="56" spans="1:24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5">
        <v>7074.06</v>
      </c>
      <c r="P56" s="1">
        <f t="shared" si="0"/>
        <v>7446.38</v>
      </c>
      <c r="Q56" s="1" t="str">
        <f t="shared" si="1"/>
        <v>No</v>
      </c>
      <c r="R56" s="1" t="str">
        <f t="shared" si="2"/>
        <v>No</v>
      </c>
      <c r="S56" s="1" t="str">
        <f t="shared" si="3"/>
        <v>Yes</v>
      </c>
      <c r="T56" s="1" t="str">
        <f t="shared" si="4"/>
        <v>Normal</v>
      </c>
      <c r="U56" s="1" t="str">
        <f t="shared" si="5"/>
        <v>Yes</v>
      </c>
      <c r="V56" s="5" t="str">
        <f t="shared" si="6"/>
        <v>Yes</v>
      </c>
      <c r="W56" s="1" t="str">
        <f t="shared" si="7"/>
        <v>Regular</v>
      </c>
      <c r="X56" s="1" t="str">
        <f t="shared" si="8"/>
        <v>Discounted</v>
      </c>
    </row>
    <row r="57" spans="1:24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5">
        <v>17353.87</v>
      </c>
      <c r="P57" s="1">
        <f t="shared" si="0"/>
        <v>20416.32</v>
      </c>
      <c r="Q57" s="1" t="str">
        <f t="shared" si="1"/>
        <v>Yes</v>
      </c>
      <c r="R57" s="1" t="str">
        <f t="shared" si="2"/>
        <v>No</v>
      </c>
      <c r="S57" s="1" t="str">
        <f t="shared" si="3"/>
        <v>Yes</v>
      </c>
      <c r="T57" s="1" t="str">
        <f t="shared" si="4"/>
        <v>Normal</v>
      </c>
      <c r="U57" s="1" t="str">
        <f t="shared" si="5"/>
        <v>No</v>
      </c>
      <c r="V57" s="5" t="str">
        <f t="shared" si="6"/>
        <v>No</v>
      </c>
      <c r="W57" s="1" t="str">
        <f t="shared" si="7"/>
        <v>Regular</v>
      </c>
      <c r="X57" s="1" t="str">
        <f t="shared" si="8"/>
        <v>Discounted</v>
      </c>
    </row>
    <row r="58" spans="1:24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5">
        <v>7288.78</v>
      </c>
      <c r="P58" s="1">
        <f t="shared" si="0"/>
        <v>9110.9700000000012</v>
      </c>
      <c r="Q58" s="1" t="str">
        <f t="shared" si="1"/>
        <v>No</v>
      </c>
      <c r="R58" s="1" t="str">
        <f t="shared" si="2"/>
        <v>Yes</v>
      </c>
      <c r="S58" s="1" t="str">
        <f t="shared" si="3"/>
        <v>Yes</v>
      </c>
      <c r="T58" s="1" t="str">
        <f t="shared" si="4"/>
        <v>Normal</v>
      </c>
      <c r="U58" s="1" t="str">
        <f t="shared" si="5"/>
        <v>No</v>
      </c>
      <c r="V58" s="5" t="str">
        <f t="shared" si="6"/>
        <v>No</v>
      </c>
      <c r="W58" s="1" t="str">
        <f t="shared" si="7"/>
        <v>Regular</v>
      </c>
      <c r="X58" s="1" t="str">
        <f t="shared" si="8"/>
        <v>Non Dis Bulk Order</v>
      </c>
    </row>
    <row r="59" spans="1:24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5">
        <v>8137.32</v>
      </c>
      <c r="P59" s="1">
        <f t="shared" si="0"/>
        <v>8565.6</v>
      </c>
      <c r="Q59" s="1" t="str">
        <f t="shared" si="1"/>
        <v>No</v>
      </c>
      <c r="R59" s="1" t="str">
        <f t="shared" si="2"/>
        <v>No</v>
      </c>
      <c r="S59" s="1" t="str">
        <f t="shared" si="3"/>
        <v>Yes</v>
      </c>
      <c r="T59" s="1" t="str">
        <f t="shared" si="4"/>
        <v>Normal</v>
      </c>
      <c r="U59" s="1" t="str">
        <f t="shared" si="5"/>
        <v>Yes</v>
      </c>
      <c r="V59" s="5" t="str">
        <f t="shared" si="6"/>
        <v>Yes</v>
      </c>
      <c r="W59" s="1" t="str">
        <f t="shared" si="7"/>
        <v>Regular</v>
      </c>
      <c r="X59" s="1" t="str">
        <f t="shared" si="8"/>
        <v>Non Dis Bulk Order</v>
      </c>
    </row>
    <row r="60" spans="1:24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5">
        <v>16978.88</v>
      </c>
      <c r="P60" s="1">
        <f t="shared" si="0"/>
        <v>16978.88</v>
      </c>
      <c r="Q60" s="1" t="str">
        <f t="shared" si="1"/>
        <v>Yes</v>
      </c>
      <c r="R60" s="1" t="str">
        <f t="shared" si="2"/>
        <v>No</v>
      </c>
      <c r="S60" s="1" t="str">
        <f t="shared" si="3"/>
        <v>Yes</v>
      </c>
      <c r="T60" s="1" t="str">
        <f t="shared" si="4"/>
        <v>Normal</v>
      </c>
      <c r="U60" s="1" t="str">
        <f t="shared" si="5"/>
        <v>Yes</v>
      </c>
      <c r="V60" s="5" t="str">
        <f t="shared" si="6"/>
        <v>Yes</v>
      </c>
      <c r="W60" s="1" t="str">
        <f t="shared" si="7"/>
        <v>Premium</v>
      </c>
      <c r="X60" s="1" t="str">
        <f t="shared" si="8"/>
        <v>Discounted</v>
      </c>
    </row>
    <row r="61" spans="1:24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5">
        <v>21272.1</v>
      </c>
      <c r="P61" s="1">
        <f t="shared" si="0"/>
        <v>25026</v>
      </c>
      <c r="Q61" s="1" t="str">
        <f t="shared" si="1"/>
        <v>Yes</v>
      </c>
      <c r="R61" s="1" t="str">
        <f t="shared" si="2"/>
        <v>Yes</v>
      </c>
      <c r="S61" s="1" t="str">
        <f t="shared" si="3"/>
        <v>No</v>
      </c>
      <c r="T61" s="1" t="str">
        <f t="shared" si="4"/>
        <v>Normal</v>
      </c>
      <c r="U61" s="1" t="str">
        <f t="shared" si="5"/>
        <v>No</v>
      </c>
      <c r="V61" s="5" t="str">
        <f t="shared" si="6"/>
        <v>No</v>
      </c>
      <c r="W61" s="1" t="str">
        <f t="shared" si="7"/>
        <v>Regular</v>
      </c>
      <c r="X61" s="1" t="str">
        <f t="shared" si="8"/>
        <v>Non Dis Bulk Order</v>
      </c>
    </row>
    <row r="62" spans="1:24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5">
        <v>2013.23</v>
      </c>
      <c r="P62" s="1">
        <f t="shared" si="0"/>
        <v>2236.92</v>
      </c>
      <c r="Q62" s="1" t="str">
        <f t="shared" si="1"/>
        <v>No</v>
      </c>
      <c r="R62" s="1" t="str">
        <f t="shared" si="2"/>
        <v>No</v>
      </c>
      <c r="S62" s="1" t="str">
        <f t="shared" si="3"/>
        <v>Yes</v>
      </c>
      <c r="T62" s="1" t="str">
        <f t="shared" si="4"/>
        <v>Normal</v>
      </c>
      <c r="U62" s="1" t="str">
        <f t="shared" si="5"/>
        <v>Yes</v>
      </c>
      <c r="V62" s="5" t="str">
        <f t="shared" si="6"/>
        <v>Yes</v>
      </c>
      <c r="W62" s="1" t="str">
        <f t="shared" si="7"/>
        <v>Regular</v>
      </c>
      <c r="X62" s="1" t="str">
        <f t="shared" si="8"/>
        <v>Discounted</v>
      </c>
    </row>
    <row r="63" spans="1:24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5">
        <v>21426.98</v>
      </c>
      <c r="P63" s="1">
        <f t="shared" si="0"/>
        <v>22554.720000000001</v>
      </c>
      <c r="Q63" s="1" t="str">
        <f t="shared" si="1"/>
        <v>Yes</v>
      </c>
      <c r="R63" s="1" t="str">
        <f t="shared" si="2"/>
        <v>No</v>
      </c>
      <c r="S63" s="1" t="str">
        <f t="shared" si="3"/>
        <v>No</v>
      </c>
      <c r="T63" s="1" t="str">
        <f t="shared" si="4"/>
        <v>Normal</v>
      </c>
      <c r="U63" s="1" t="str">
        <f t="shared" si="5"/>
        <v>No</v>
      </c>
      <c r="V63" s="5" t="str">
        <f t="shared" si="6"/>
        <v>No</v>
      </c>
      <c r="W63" s="1" t="str">
        <f t="shared" si="7"/>
        <v>Premium</v>
      </c>
      <c r="X63" s="1" t="str">
        <f t="shared" si="8"/>
        <v>Non Dis Bulk Order</v>
      </c>
    </row>
    <row r="64" spans="1:24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5">
        <v>14286.83</v>
      </c>
      <c r="P64" s="1">
        <f t="shared" si="0"/>
        <v>15874.26</v>
      </c>
      <c r="Q64" s="1" t="str">
        <f t="shared" si="1"/>
        <v>Yes</v>
      </c>
      <c r="R64" s="1" t="str">
        <f t="shared" si="2"/>
        <v>No</v>
      </c>
      <c r="S64" s="1" t="str">
        <f t="shared" si="3"/>
        <v>No</v>
      </c>
      <c r="T64" s="1" t="str">
        <f t="shared" si="4"/>
        <v>Normal</v>
      </c>
      <c r="U64" s="1" t="str">
        <f t="shared" si="5"/>
        <v>No</v>
      </c>
      <c r="V64" s="5" t="str">
        <f t="shared" si="6"/>
        <v>No</v>
      </c>
      <c r="W64" s="1" t="str">
        <f t="shared" si="7"/>
        <v>Regular</v>
      </c>
      <c r="X64" s="1" t="str">
        <f t="shared" si="8"/>
        <v>Discounted</v>
      </c>
    </row>
    <row r="65" spans="1:24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5">
        <v>1770.04</v>
      </c>
      <c r="P65" s="1">
        <f t="shared" si="0"/>
        <v>2082.4</v>
      </c>
      <c r="Q65" s="1" t="str">
        <f t="shared" si="1"/>
        <v>No</v>
      </c>
      <c r="R65" s="1" t="str">
        <f t="shared" si="2"/>
        <v>No</v>
      </c>
      <c r="S65" s="1" t="str">
        <f t="shared" si="3"/>
        <v>No</v>
      </c>
      <c r="T65" s="1" t="str">
        <f t="shared" si="4"/>
        <v>Normal</v>
      </c>
      <c r="U65" s="1" t="str">
        <f t="shared" si="5"/>
        <v>No</v>
      </c>
      <c r="V65" s="5" t="str">
        <f t="shared" si="6"/>
        <v>No</v>
      </c>
      <c r="W65" s="1" t="str">
        <f t="shared" si="7"/>
        <v>Regular</v>
      </c>
      <c r="X65" s="1" t="str">
        <f t="shared" si="8"/>
        <v>Discounted</v>
      </c>
    </row>
    <row r="66" spans="1:24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5">
        <v>4991.78</v>
      </c>
      <c r="P66" s="1">
        <f t="shared" si="0"/>
        <v>5546.42</v>
      </c>
      <c r="Q66" s="1" t="str">
        <f t="shared" si="1"/>
        <v>No</v>
      </c>
      <c r="R66" s="1" t="str">
        <f t="shared" si="2"/>
        <v>No</v>
      </c>
      <c r="S66" s="1" t="str">
        <f t="shared" si="3"/>
        <v>Yes</v>
      </c>
      <c r="T66" s="1" t="str">
        <f t="shared" si="4"/>
        <v>Normal</v>
      </c>
      <c r="U66" s="1" t="str">
        <f t="shared" si="5"/>
        <v>No</v>
      </c>
      <c r="V66" s="5" t="str">
        <f t="shared" si="6"/>
        <v>No</v>
      </c>
      <c r="W66" s="1" t="str">
        <f t="shared" si="7"/>
        <v>Regular</v>
      </c>
      <c r="X66" s="1" t="str">
        <f t="shared" si="8"/>
        <v>Discounted</v>
      </c>
    </row>
    <row r="67" spans="1:24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5">
        <v>28649.8</v>
      </c>
      <c r="P67" s="1">
        <f t="shared" ref="P67:P130" si="9">L67*M67</f>
        <v>30157.68</v>
      </c>
      <c r="Q67" s="1" t="str">
        <f t="shared" ref="Q67:Q130" si="10">IF(AND(L67&gt;5,O67&gt;10000),"Yes","No")</f>
        <v>Yes</v>
      </c>
      <c r="R67" s="1" t="str">
        <f t="shared" ref="R67:R130" si="11">IF(AND(L67&gt;=8,N67&gt;=10),"Yes","No")</f>
        <v>No</v>
      </c>
      <c r="S67" s="1" t="str">
        <f t="shared" ref="S67:S130" si="12">IF(OR(G67="Mobile App",G67="Website"),"Yes","No")</f>
        <v>Yes</v>
      </c>
      <c r="T67" s="1" t="str">
        <f t="shared" ref="T67:T130" si="13">IF(AND(L67&lt;3,O67&lt;1000),"Special attention","Normal")</f>
        <v>Normal</v>
      </c>
      <c r="U67" s="1" t="str">
        <f t="shared" ref="U67:U130" si="14">IF(NOT(G67="Website"),"No","Yes")</f>
        <v>No</v>
      </c>
      <c r="V67" s="5" t="str">
        <f t="shared" ref="V67:V130" si="15">IF(G67&lt;&gt;"Website","No","Yes")</f>
        <v>No</v>
      </c>
      <c r="W67" s="1" t="str">
        <f t="shared" ref="W67:W130" si="16">IF(AND(O67&gt;15000,OR(I67="Electronics",I67="Beauty")),"Premium","Regular")</f>
        <v>Regular</v>
      </c>
      <c r="X67" s="1" t="str">
        <f t="shared" ref="X67:X130" si="17">IF(AND(L67&gt;=8,NOT(N67=0%)),"Non Dis Bulk Order","Discounted")</f>
        <v>Non Dis Bulk Order</v>
      </c>
    </row>
    <row r="68" spans="1:24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5">
        <v>280.61</v>
      </c>
      <c r="P68" s="1">
        <f t="shared" si="9"/>
        <v>330.13</v>
      </c>
      <c r="Q68" s="1" t="str">
        <f t="shared" si="10"/>
        <v>No</v>
      </c>
      <c r="R68" s="1" t="str">
        <f t="shared" si="11"/>
        <v>No</v>
      </c>
      <c r="S68" s="1" t="str">
        <f t="shared" si="12"/>
        <v>Yes</v>
      </c>
      <c r="T68" s="1" t="str">
        <f t="shared" si="13"/>
        <v>Special attention</v>
      </c>
      <c r="U68" s="1" t="str">
        <f t="shared" si="14"/>
        <v>Yes</v>
      </c>
      <c r="V68" s="5" t="str">
        <f t="shared" si="15"/>
        <v>Yes</v>
      </c>
      <c r="W68" s="1" t="str">
        <f t="shared" si="16"/>
        <v>Regular</v>
      </c>
      <c r="X68" s="1" t="str">
        <f t="shared" si="17"/>
        <v>Discounted</v>
      </c>
    </row>
    <row r="69" spans="1:24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5">
        <v>8283.9599999999991</v>
      </c>
      <c r="P69" s="1">
        <f t="shared" si="9"/>
        <v>8283.9600000000009</v>
      </c>
      <c r="Q69" s="1" t="str">
        <f t="shared" si="10"/>
        <v>No</v>
      </c>
      <c r="R69" s="1" t="str">
        <f t="shared" si="11"/>
        <v>No</v>
      </c>
      <c r="S69" s="1" t="str">
        <f t="shared" si="12"/>
        <v>No</v>
      </c>
      <c r="T69" s="1" t="str">
        <f t="shared" si="13"/>
        <v>Normal</v>
      </c>
      <c r="U69" s="1" t="str">
        <f t="shared" si="14"/>
        <v>No</v>
      </c>
      <c r="V69" s="5" t="str">
        <f t="shared" si="15"/>
        <v>No</v>
      </c>
      <c r="W69" s="1" t="str">
        <f t="shared" si="16"/>
        <v>Regular</v>
      </c>
      <c r="X69" s="1" t="str">
        <f t="shared" si="17"/>
        <v>Discounted</v>
      </c>
    </row>
    <row r="70" spans="1:24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5">
        <v>10470.790000000001</v>
      </c>
      <c r="P70" s="1">
        <f t="shared" si="9"/>
        <v>11021.880000000001</v>
      </c>
      <c r="Q70" s="1" t="str">
        <f t="shared" si="10"/>
        <v>Yes</v>
      </c>
      <c r="R70" s="1" t="str">
        <f t="shared" si="11"/>
        <v>No</v>
      </c>
      <c r="S70" s="1" t="str">
        <f t="shared" si="12"/>
        <v>Yes</v>
      </c>
      <c r="T70" s="1" t="str">
        <f t="shared" si="13"/>
        <v>Normal</v>
      </c>
      <c r="U70" s="1" t="str">
        <f t="shared" si="14"/>
        <v>No</v>
      </c>
      <c r="V70" s="5" t="str">
        <f t="shared" si="15"/>
        <v>No</v>
      </c>
      <c r="W70" s="1" t="str">
        <f t="shared" si="16"/>
        <v>Regular</v>
      </c>
      <c r="X70" s="1" t="str">
        <f t="shared" si="17"/>
        <v>Discounted</v>
      </c>
    </row>
    <row r="71" spans="1:24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5">
        <v>11558.88</v>
      </c>
      <c r="P71" s="1">
        <f t="shared" si="9"/>
        <v>14448.6</v>
      </c>
      <c r="Q71" s="1" t="str">
        <f t="shared" si="10"/>
        <v>No</v>
      </c>
      <c r="R71" s="1" t="str">
        <f t="shared" si="11"/>
        <v>No</v>
      </c>
      <c r="S71" s="1" t="str">
        <f t="shared" si="12"/>
        <v>Yes</v>
      </c>
      <c r="T71" s="1" t="str">
        <f t="shared" si="13"/>
        <v>Normal</v>
      </c>
      <c r="U71" s="1" t="str">
        <f t="shared" si="14"/>
        <v>No</v>
      </c>
      <c r="V71" s="5" t="str">
        <f t="shared" si="15"/>
        <v>No</v>
      </c>
      <c r="W71" s="1" t="str">
        <f t="shared" si="16"/>
        <v>Regular</v>
      </c>
      <c r="X71" s="1" t="str">
        <f t="shared" si="17"/>
        <v>Discounted</v>
      </c>
    </row>
    <row r="72" spans="1:24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5">
        <v>10985.92</v>
      </c>
      <c r="P72" s="1">
        <f t="shared" si="9"/>
        <v>11564.130000000001</v>
      </c>
      <c r="Q72" s="1" t="str">
        <f t="shared" si="10"/>
        <v>No</v>
      </c>
      <c r="R72" s="1" t="str">
        <f t="shared" si="11"/>
        <v>No</v>
      </c>
      <c r="S72" s="1" t="str">
        <f t="shared" si="12"/>
        <v>Yes</v>
      </c>
      <c r="T72" s="1" t="str">
        <f t="shared" si="13"/>
        <v>Normal</v>
      </c>
      <c r="U72" s="1" t="str">
        <f t="shared" si="14"/>
        <v>No</v>
      </c>
      <c r="V72" s="5" t="str">
        <f t="shared" si="15"/>
        <v>No</v>
      </c>
      <c r="W72" s="1" t="str">
        <f t="shared" si="16"/>
        <v>Regular</v>
      </c>
      <c r="X72" s="1" t="str">
        <f t="shared" si="17"/>
        <v>Discounted</v>
      </c>
    </row>
    <row r="73" spans="1:24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5">
        <v>4742.59</v>
      </c>
      <c r="P73" s="1">
        <f t="shared" si="9"/>
        <v>5579.5199999999995</v>
      </c>
      <c r="Q73" s="1" t="str">
        <f t="shared" si="10"/>
        <v>No</v>
      </c>
      <c r="R73" s="1" t="str">
        <f t="shared" si="11"/>
        <v>No</v>
      </c>
      <c r="S73" s="1" t="str">
        <f t="shared" si="12"/>
        <v>Yes</v>
      </c>
      <c r="T73" s="1" t="str">
        <f t="shared" si="13"/>
        <v>Normal</v>
      </c>
      <c r="U73" s="1" t="str">
        <f t="shared" si="14"/>
        <v>No</v>
      </c>
      <c r="V73" s="5" t="str">
        <f t="shared" si="15"/>
        <v>No</v>
      </c>
      <c r="W73" s="1" t="str">
        <f t="shared" si="16"/>
        <v>Regular</v>
      </c>
      <c r="X73" s="1" t="str">
        <f t="shared" si="17"/>
        <v>Discounted</v>
      </c>
    </row>
    <row r="74" spans="1:24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5">
        <v>2885.73</v>
      </c>
      <c r="P74" s="1">
        <f t="shared" si="9"/>
        <v>3037.61</v>
      </c>
      <c r="Q74" s="1" t="str">
        <f t="shared" si="10"/>
        <v>No</v>
      </c>
      <c r="R74" s="1" t="str">
        <f t="shared" si="11"/>
        <v>No</v>
      </c>
      <c r="S74" s="1" t="str">
        <f t="shared" si="12"/>
        <v>Yes</v>
      </c>
      <c r="T74" s="1" t="str">
        <f t="shared" si="13"/>
        <v>Normal</v>
      </c>
      <c r="U74" s="1" t="str">
        <f t="shared" si="14"/>
        <v>No</v>
      </c>
      <c r="V74" s="5" t="str">
        <f t="shared" si="15"/>
        <v>No</v>
      </c>
      <c r="W74" s="1" t="str">
        <f t="shared" si="16"/>
        <v>Regular</v>
      </c>
      <c r="X74" s="1" t="str">
        <f t="shared" si="17"/>
        <v>Discounted</v>
      </c>
    </row>
    <row r="75" spans="1:24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5">
        <v>6590.67</v>
      </c>
      <c r="P75" s="1">
        <f t="shared" si="9"/>
        <v>6590.67</v>
      </c>
      <c r="Q75" s="1" t="str">
        <f t="shared" si="10"/>
        <v>No</v>
      </c>
      <c r="R75" s="1" t="str">
        <f t="shared" si="11"/>
        <v>No</v>
      </c>
      <c r="S75" s="1" t="str">
        <f t="shared" si="12"/>
        <v>No</v>
      </c>
      <c r="T75" s="1" t="str">
        <f t="shared" si="13"/>
        <v>Normal</v>
      </c>
      <c r="U75" s="1" t="str">
        <f t="shared" si="14"/>
        <v>No</v>
      </c>
      <c r="V75" s="5" t="str">
        <f t="shared" si="15"/>
        <v>No</v>
      </c>
      <c r="W75" s="1" t="str">
        <f t="shared" si="16"/>
        <v>Regular</v>
      </c>
      <c r="X75" s="1" t="str">
        <f t="shared" si="17"/>
        <v>Discounted</v>
      </c>
    </row>
    <row r="76" spans="1:24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5">
        <v>8881.84</v>
      </c>
      <c r="P76" s="1">
        <f t="shared" si="9"/>
        <v>8881.84</v>
      </c>
      <c r="Q76" s="1" t="str">
        <f t="shared" si="10"/>
        <v>No</v>
      </c>
      <c r="R76" s="1" t="str">
        <f t="shared" si="11"/>
        <v>No</v>
      </c>
      <c r="S76" s="1" t="str">
        <f t="shared" si="12"/>
        <v>No</v>
      </c>
      <c r="T76" s="1" t="str">
        <f t="shared" si="13"/>
        <v>Normal</v>
      </c>
      <c r="U76" s="1" t="str">
        <f t="shared" si="14"/>
        <v>No</v>
      </c>
      <c r="V76" s="5" t="str">
        <f t="shared" si="15"/>
        <v>No</v>
      </c>
      <c r="W76" s="1" t="str">
        <f t="shared" si="16"/>
        <v>Regular</v>
      </c>
      <c r="X76" s="1" t="str">
        <f t="shared" si="17"/>
        <v>Discounted</v>
      </c>
    </row>
    <row r="77" spans="1:24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5">
        <v>4882.72</v>
      </c>
      <c r="P77" s="1">
        <f t="shared" si="9"/>
        <v>6103.4000000000005</v>
      </c>
      <c r="Q77" s="1" t="str">
        <f t="shared" si="10"/>
        <v>No</v>
      </c>
      <c r="R77" s="1" t="str">
        <f t="shared" si="11"/>
        <v>No</v>
      </c>
      <c r="S77" s="1" t="str">
        <f t="shared" si="12"/>
        <v>No</v>
      </c>
      <c r="T77" s="1" t="str">
        <f t="shared" si="13"/>
        <v>Normal</v>
      </c>
      <c r="U77" s="1" t="str">
        <f t="shared" si="14"/>
        <v>No</v>
      </c>
      <c r="V77" s="5" t="str">
        <f t="shared" si="15"/>
        <v>No</v>
      </c>
      <c r="W77" s="1" t="str">
        <f t="shared" si="16"/>
        <v>Regular</v>
      </c>
      <c r="X77" s="1" t="str">
        <f t="shared" si="17"/>
        <v>Discounted</v>
      </c>
    </row>
    <row r="78" spans="1:24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5">
        <v>2660.26</v>
      </c>
      <c r="P78" s="1">
        <f t="shared" si="9"/>
        <v>2955.84</v>
      </c>
      <c r="Q78" s="1" t="str">
        <f t="shared" si="10"/>
        <v>No</v>
      </c>
      <c r="R78" s="1" t="str">
        <f t="shared" si="11"/>
        <v>No</v>
      </c>
      <c r="S78" s="1" t="str">
        <f t="shared" si="12"/>
        <v>No</v>
      </c>
      <c r="T78" s="1" t="str">
        <f t="shared" si="13"/>
        <v>Normal</v>
      </c>
      <c r="U78" s="1" t="str">
        <f t="shared" si="14"/>
        <v>No</v>
      </c>
      <c r="V78" s="5" t="str">
        <f t="shared" si="15"/>
        <v>No</v>
      </c>
      <c r="W78" s="1" t="str">
        <f t="shared" si="16"/>
        <v>Regular</v>
      </c>
      <c r="X78" s="1" t="str">
        <f t="shared" si="17"/>
        <v>Discounted</v>
      </c>
    </row>
    <row r="79" spans="1:24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5">
        <v>6419.98</v>
      </c>
      <c r="P79" s="1">
        <f t="shared" si="9"/>
        <v>7552.92</v>
      </c>
      <c r="Q79" s="1" t="str">
        <f t="shared" si="10"/>
        <v>No</v>
      </c>
      <c r="R79" s="1" t="str">
        <f t="shared" si="11"/>
        <v>No</v>
      </c>
      <c r="S79" s="1" t="str">
        <f t="shared" si="12"/>
        <v>Yes</v>
      </c>
      <c r="T79" s="1" t="str">
        <f t="shared" si="13"/>
        <v>Normal</v>
      </c>
      <c r="U79" s="1" t="str">
        <f t="shared" si="14"/>
        <v>Yes</v>
      </c>
      <c r="V79" s="5" t="str">
        <f t="shared" si="15"/>
        <v>Yes</v>
      </c>
      <c r="W79" s="1" t="str">
        <f t="shared" si="16"/>
        <v>Regular</v>
      </c>
      <c r="X79" s="1" t="str">
        <f t="shared" si="17"/>
        <v>Discounted</v>
      </c>
    </row>
    <row r="80" spans="1:24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5">
        <v>9740.4</v>
      </c>
      <c r="P80" s="1">
        <f t="shared" si="9"/>
        <v>11459.300000000001</v>
      </c>
      <c r="Q80" s="1" t="str">
        <f t="shared" si="10"/>
        <v>No</v>
      </c>
      <c r="R80" s="1" t="str">
        <f t="shared" si="11"/>
        <v>No</v>
      </c>
      <c r="S80" s="1" t="str">
        <f t="shared" si="12"/>
        <v>No</v>
      </c>
      <c r="T80" s="1" t="str">
        <f t="shared" si="13"/>
        <v>Normal</v>
      </c>
      <c r="U80" s="1" t="str">
        <f t="shared" si="14"/>
        <v>No</v>
      </c>
      <c r="V80" s="5" t="str">
        <f t="shared" si="15"/>
        <v>No</v>
      </c>
      <c r="W80" s="1" t="str">
        <f t="shared" si="16"/>
        <v>Regular</v>
      </c>
      <c r="X80" s="1" t="str">
        <f t="shared" si="17"/>
        <v>Discounted</v>
      </c>
    </row>
    <row r="81" spans="1:24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5">
        <v>708.07</v>
      </c>
      <c r="P81" s="1">
        <f t="shared" si="9"/>
        <v>786.75</v>
      </c>
      <c r="Q81" s="1" t="str">
        <f t="shared" si="10"/>
        <v>No</v>
      </c>
      <c r="R81" s="1" t="str">
        <f t="shared" si="11"/>
        <v>No</v>
      </c>
      <c r="S81" s="1" t="str">
        <f t="shared" si="12"/>
        <v>Yes</v>
      </c>
      <c r="T81" s="1" t="str">
        <f t="shared" si="13"/>
        <v>Normal</v>
      </c>
      <c r="U81" s="1" t="str">
        <f t="shared" si="14"/>
        <v>No</v>
      </c>
      <c r="V81" s="5" t="str">
        <f t="shared" si="15"/>
        <v>No</v>
      </c>
      <c r="W81" s="1" t="str">
        <f t="shared" si="16"/>
        <v>Regular</v>
      </c>
      <c r="X81" s="1" t="str">
        <f t="shared" si="17"/>
        <v>Discounted</v>
      </c>
    </row>
    <row r="82" spans="1:24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5">
        <v>21857.46</v>
      </c>
      <c r="P82" s="1">
        <f t="shared" si="9"/>
        <v>21857.46</v>
      </c>
      <c r="Q82" s="1" t="str">
        <f t="shared" si="10"/>
        <v>Yes</v>
      </c>
      <c r="R82" s="1" t="str">
        <f t="shared" si="11"/>
        <v>No</v>
      </c>
      <c r="S82" s="1" t="str">
        <f t="shared" si="12"/>
        <v>No</v>
      </c>
      <c r="T82" s="1" t="str">
        <f t="shared" si="13"/>
        <v>Normal</v>
      </c>
      <c r="U82" s="1" t="str">
        <f t="shared" si="14"/>
        <v>No</v>
      </c>
      <c r="V82" s="5" t="str">
        <f t="shared" si="15"/>
        <v>No</v>
      </c>
      <c r="W82" s="1" t="str">
        <f t="shared" si="16"/>
        <v>Regular</v>
      </c>
      <c r="X82" s="1" t="str">
        <f t="shared" si="17"/>
        <v>Discounted</v>
      </c>
    </row>
    <row r="83" spans="1:24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5">
        <v>4510.1400000000003</v>
      </c>
      <c r="P83" s="1">
        <f t="shared" si="9"/>
        <v>4510.1400000000003</v>
      </c>
      <c r="Q83" s="1" t="str">
        <f t="shared" si="10"/>
        <v>No</v>
      </c>
      <c r="R83" s="1" t="str">
        <f t="shared" si="11"/>
        <v>No</v>
      </c>
      <c r="S83" s="1" t="str">
        <f t="shared" si="12"/>
        <v>Yes</v>
      </c>
      <c r="T83" s="1" t="str">
        <f t="shared" si="13"/>
        <v>Normal</v>
      </c>
      <c r="U83" s="1" t="str">
        <f t="shared" si="14"/>
        <v>Yes</v>
      </c>
      <c r="V83" s="5" t="str">
        <f t="shared" si="15"/>
        <v>Yes</v>
      </c>
      <c r="W83" s="1" t="str">
        <f t="shared" si="16"/>
        <v>Regular</v>
      </c>
      <c r="X83" s="1" t="str">
        <f t="shared" si="17"/>
        <v>Discounted</v>
      </c>
    </row>
    <row r="84" spans="1:24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5">
        <v>7579.78</v>
      </c>
      <c r="P84" s="1">
        <f t="shared" si="9"/>
        <v>7978.72</v>
      </c>
      <c r="Q84" s="1" t="str">
        <f t="shared" si="10"/>
        <v>No</v>
      </c>
      <c r="R84" s="1" t="str">
        <f t="shared" si="11"/>
        <v>No</v>
      </c>
      <c r="S84" s="1" t="str">
        <f t="shared" si="12"/>
        <v>Yes</v>
      </c>
      <c r="T84" s="1" t="str">
        <f t="shared" si="13"/>
        <v>Normal</v>
      </c>
      <c r="U84" s="1" t="str">
        <f t="shared" si="14"/>
        <v>No</v>
      </c>
      <c r="V84" s="5" t="str">
        <f t="shared" si="15"/>
        <v>No</v>
      </c>
      <c r="W84" s="1" t="str">
        <f t="shared" si="16"/>
        <v>Regular</v>
      </c>
      <c r="X84" s="1" t="str">
        <f t="shared" si="17"/>
        <v>Non Dis Bulk Order</v>
      </c>
    </row>
    <row r="85" spans="1:24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5">
        <v>3432.58</v>
      </c>
      <c r="P85" s="1">
        <f t="shared" si="9"/>
        <v>4290.72</v>
      </c>
      <c r="Q85" s="1" t="str">
        <f t="shared" si="10"/>
        <v>No</v>
      </c>
      <c r="R85" s="1" t="str">
        <f t="shared" si="11"/>
        <v>No</v>
      </c>
      <c r="S85" s="1" t="str">
        <f t="shared" si="12"/>
        <v>No</v>
      </c>
      <c r="T85" s="1" t="str">
        <f t="shared" si="13"/>
        <v>Normal</v>
      </c>
      <c r="U85" s="1" t="str">
        <f t="shared" si="14"/>
        <v>No</v>
      </c>
      <c r="V85" s="5" t="str">
        <f t="shared" si="15"/>
        <v>No</v>
      </c>
      <c r="W85" s="1" t="str">
        <f t="shared" si="16"/>
        <v>Regular</v>
      </c>
      <c r="X85" s="1" t="str">
        <f t="shared" si="17"/>
        <v>Discounted</v>
      </c>
    </row>
    <row r="86" spans="1:24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5">
        <v>2307.15</v>
      </c>
      <c r="P86" s="1">
        <f t="shared" si="9"/>
        <v>2883.94</v>
      </c>
      <c r="Q86" s="1" t="str">
        <f t="shared" si="10"/>
        <v>No</v>
      </c>
      <c r="R86" s="1" t="str">
        <f t="shared" si="11"/>
        <v>No</v>
      </c>
      <c r="S86" s="1" t="str">
        <f t="shared" si="12"/>
        <v>No</v>
      </c>
      <c r="T86" s="1" t="str">
        <f t="shared" si="13"/>
        <v>Normal</v>
      </c>
      <c r="U86" s="1" t="str">
        <f t="shared" si="14"/>
        <v>No</v>
      </c>
      <c r="V86" s="5" t="str">
        <f t="shared" si="15"/>
        <v>No</v>
      </c>
      <c r="W86" s="1" t="str">
        <f t="shared" si="16"/>
        <v>Regular</v>
      </c>
      <c r="X86" s="1" t="str">
        <f t="shared" si="17"/>
        <v>Discounted</v>
      </c>
    </row>
    <row r="87" spans="1:24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5">
        <v>1659.39</v>
      </c>
      <c r="P87" s="1">
        <f t="shared" si="9"/>
        <v>2074.2399999999998</v>
      </c>
      <c r="Q87" s="1" t="str">
        <f t="shared" si="10"/>
        <v>No</v>
      </c>
      <c r="R87" s="1" t="str">
        <f t="shared" si="11"/>
        <v>No</v>
      </c>
      <c r="S87" s="1" t="str">
        <f t="shared" si="12"/>
        <v>No</v>
      </c>
      <c r="T87" s="1" t="str">
        <f t="shared" si="13"/>
        <v>Normal</v>
      </c>
      <c r="U87" s="1" t="str">
        <f t="shared" si="14"/>
        <v>No</v>
      </c>
      <c r="V87" s="5" t="str">
        <f t="shared" si="15"/>
        <v>No</v>
      </c>
      <c r="W87" s="1" t="str">
        <f t="shared" si="16"/>
        <v>Regular</v>
      </c>
      <c r="X87" s="1" t="str">
        <f t="shared" si="17"/>
        <v>Discounted</v>
      </c>
    </row>
    <row r="88" spans="1:24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5">
        <v>9131.25</v>
      </c>
      <c r="P88" s="1">
        <f t="shared" si="9"/>
        <v>9611.84</v>
      </c>
      <c r="Q88" s="1" t="str">
        <f t="shared" si="10"/>
        <v>No</v>
      </c>
      <c r="R88" s="1" t="str">
        <f t="shared" si="11"/>
        <v>No</v>
      </c>
      <c r="S88" s="1" t="str">
        <f t="shared" si="12"/>
        <v>Yes</v>
      </c>
      <c r="T88" s="1" t="str">
        <f t="shared" si="13"/>
        <v>Normal</v>
      </c>
      <c r="U88" s="1" t="str">
        <f t="shared" si="14"/>
        <v>No</v>
      </c>
      <c r="V88" s="5" t="str">
        <f t="shared" si="15"/>
        <v>No</v>
      </c>
      <c r="W88" s="1" t="str">
        <f t="shared" si="16"/>
        <v>Regular</v>
      </c>
      <c r="X88" s="1" t="str">
        <f t="shared" si="17"/>
        <v>Discounted</v>
      </c>
    </row>
    <row r="89" spans="1:24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5">
        <v>9310.56</v>
      </c>
      <c r="P89" s="1">
        <f t="shared" si="9"/>
        <v>11638.2</v>
      </c>
      <c r="Q89" s="1" t="str">
        <f t="shared" si="10"/>
        <v>No</v>
      </c>
      <c r="R89" s="1" t="str">
        <f t="shared" si="11"/>
        <v>No</v>
      </c>
      <c r="S89" s="1" t="str">
        <f t="shared" si="12"/>
        <v>Yes</v>
      </c>
      <c r="T89" s="1" t="str">
        <f t="shared" si="13"/>
        <v>Normal</v>
      </c>
      <c r="U89" s="1" t="str">
        <f t="shared" si="14"/>
        <v>No</v>
      </c>
      <c r="V89" s="5" t="str">
        <f t="shared" si="15"/>
        <v>No</v>
      </c>
      <c r="W89" s="1" t="str">
        <f t="shared" si="16"/>
        <v>Regular</v>
      </c>
      <c r="X89" s="1" t="str">
        <f t="shared" si="17"/>
        <v>Discounted</v>
      </c>
    </row>
    <row r="90" spans="1:24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5">
        <v>3132.05</v>
      </c>
      <c r="P90" s="1">
        <f t="shared" si="9"/>
        <v>3480.06</v>
      </c>
      <c r="Q90" s="1" t="str">
        <f t="shared" si="10"/>
        <v>No</v>
      </c>
      <c r="R90" s="1" t="str">
        <f t="shared" si="11"/>
        <v>No</v>
      </c>
      <c r="S90" s="1" t="str">
        <f t="shared" si="12"/>
        <v>Yes</v>
      </c>
      <c r="T90" s="1" t="str">
        <f t="shared" si="13"/>
        <v>Normal</v>
      </c>
      <c r="U90" s="1" t="str">
        <f t="shared" si="14"/>
        <v>Yes</v>
      </c>
      <c r="V90" s="5" t="str">
        <f t="shared" si="15"/>
        <v>Yes</v>
      </c>
      <c r="W90" s="1" t="str">
        <f t="shared" si="16"/>
        <v>Regular</v>
      </c>
      <c r="X90" s="1" t="str">
        <f t="shared" si="17"/>
        <v>Discounted</v>
      </c>
    </row>
    <row r="91" spans="1:24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5">
        <v>6437.39</v>
      </c>
      <c r="P91" s="1">
        <f t="shared" si="9"/>
        <v>6776.2</v>
      </c>
      <c r="Q91" s="1" t="str">
        <f t="shared" si="10"/>
        <v>No</v>
      </c>
      <c r="R91" s="1" t="str">
        <f t="shared" si="11"/>
        <v>No</v>
      </c>
      <c r="S91" s="1" t="str">
        <f t="shared" si="12"/>
        <v>Yes</v>
      </c>
      <c r="T91" s="1" t="str">
        <f t="shared" si="13"/>
        <v>Normal</v>
      </c>
      <c r="U91" s="1" t="str">
        <f t="shared" si="14"/>
        <v>No</v>
      </c>
      <c r="V91" s="5" t="str">
        <f t="shared" si="15"/>
        <v>No</v>
      </c>
      <c r="W91" s="1" t="str">
        <f t="shared" si="16"/>
        <v>Regular</v>
      </c>
      <c r="X91" s="1" t="str">
        <f t="shared" si="17"/>
        <v>Discounted</v>
      </c>
    </row>
    <row r="92" spans="1:24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5">
        <v>15167.34</v>
      </c>
      <c r="P92" s="1">
        <f t="shared" si="9"/>
        <v>16852.599999999999</v>
      </c>
      <c r="Q92" s="1" t="str">
        <f t="shared" si="10"/>
        <v>No</v>
      </c>
      <c r="R92" s="1" t="str">
        <f t="shared" si="11"/>
        <v>No</v>
      </c>
      <c r="S92" s="1" t="str">
        <f t="shared" si="12"/>
        <v>Yes</v>
      </c>
      <c r="T92" s="1" t="str">
        <f t="shared" si="13"/>
        <v>Normal</v>
      </c>
      <c r="U92" s="1" t="str">
        <f t="shared" si="14"/>
        <v>No</v>
      </c>
      <c r="V92" s="5" t="str">
        <f t="shared" si="15"/>
        <v>No</v>
      </c>
      <c r="W92" s="1" t="str">
        <f t="shared" si="16"/>
        <v>Regular</v>
      </c>
      <c r="X92" s="1" t="str">
        <f t="shared" si="17"/>
        <v>Discounted</v>
      </c>
    </row>
    <row r="93" spans="1:24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5">
        <v>978.49</v>
      </c>
      <c r="P93" s="1">
        <f t="shared" si="9"/>
        <v>1029.99</v>
      </c>
      <c r="Q93" s="1" t="str">
        <f t="shared" si="10"/>
        <v>No</v>
      </c>
      <c r="R93" s="1" t="str">
        <f t="shared" si="11"/>
        <v>No</v>
      </c>
      <c r="S93" s="1" t="str">
        <f t="shared" si="12"/>
        <v>No</v>
      </c>
      <c r="T93" s="1" t="str">
        <f t="shared" si="13"/>
        <v>Normal</v>
      </c>
      <c r="U93" s="1" t="str">
        <f t="shared" si="14"/>
        <v>No</v>
      </c>
      <c r="V93" s="5" t="str">
        <f t="shared" si="15"/>
        <v>No</v>
      </c>
      <c r="W93" s="1" t="str">
        <f t="shared" si="16"/>
        <v>Regular</v>
      </c>
      <c r="X93" s="1" t="str">
        <f t="shared" si="17"/>
        <v>Discounted</v>
      </c>
    </row>
    <row r="94" spans="1:24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5">
        <v>13959.07</v>
      </c>
      <c r="P94" s="1">
        <f t="shared" si="9"/>
        <v>17448.84</v>
      </c>
      <c r="Q94" s="1" t="str">
        <f t="shared" si="10"/>
        <v>Yes</v>
      </c>
      <c r="R94" s="1" t="str">
        <f t="shared" si="11"/>
        <v>Yes</v>
      </c>
      <c r="S94" s="1" t="str">
        <f t="shared" si="12"/>
        <v>Yes</v>
      </c>
      <c r="T94" s="1" t="str">
        <f t="shared" si="13"/>
        <v>Normal</v>
      </c>
      <c r="U94" s="1" t="str">
        <f t="shared" si="14"/>
        <v>No</v>
      </c>
      <c r="V94" s="5" t="str">
        <f t="shared" si="15"/>
        <v>No</v>
      </c>
      <c r="W94" s="1" t="str">
        <f t="shared" si="16"/>
        <v>Regular</v>
      </c>
      <c r="X94" s="1" t="str">
        <f t="shared" si="17"/>
        <v>Non Dis Bulk Order</v>
      </c>
    </row>
    <row r="95" spans="1:24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5">
        <v>5801.47</v>
      </c>
      <c r="P95" s="1">
        <f t="shared" si="9"/>
        <v>6446.08</v>
      </c>
      <c r="Q95" s="1" t="str">
        <f t="shared" si="10"/>
        <v>No</v>
      </c>
      <c r="R95" s="1" t="str">
        <f t="shared" si="11"/>
        <v>No</v>
      </c>
      <c r="S95" s="1" t="str">
        <f t="shared" si="12"/>
        <v>No</v>
      </c>
      <c r="T95" s="1" t="str">
        <f t="shared" si="13"/>
        <v>Normal</v>
      </c>
      <c r="U95" s="1" t="str">
        <f t="shared" si="14"/>
        <v>No</v>
      </c>
      <c r="V95" s="5" t="str">
        <f t="shared" si="15"/>
        <v>No</v>
      </c>
      <c r="W95" s="1" t="str">
        <f t="shared" si="16"/>
        <v>Regular</v>
      </c>
      <c r="X95" s="1" t="str">
        <f t="shared" si="17"/>
        <v>Discounted</v>
      </c>
    </row>
    <row r="96" spans="1:24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5">
        <v>3695.92</v>
      </c>
      <c r="P96" s="1">
        <f t="shared" si="9"/>
        <v>4106.58</v>
      </c>
      <c r="Q96" s="1" t="str">
        <f t="shared" si="10"/>
        <v>No</v>
      </c>
      <c r="R96" s="1" t="str">
        <f t="shared" si="11"/>
        <v>No</v>
      </c>
      <c r="S96" s="1" t="str">
        <f t="shared" si="12"/>
        <v>No</v>
      </c>
      <c r="T96" s="1" t="str">
        <f t="shared" si="13"/>
        <v>Normal</v>
      </c>
      <c r="U96" s="1" t="str">
        <f t="shared" si="14"/>
        <v>No</v>
      </c>
      <c r="V96" s="5" t="str">
        <f t="shared" si="15"/>
        <v>No</v>
      </c>
      <c r="W96" s="1" t="str">
        <f t="shared" si="16"/>
        <v>Regular</v>
      </c>
      <c r="X96" s="1" t="str">
        <f t="shared" si="17"/>
        <v>Discounted</v>
      </c>
    </row>
    <row r="97" spans="1:24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5">
        <v>2249.89</v>
      </c>
      <c r="P97" s="1">
        <f t="shared" si="9"/>
        <v>2499.88</v>
      </c>
      <c r="Q97" s="1" t="str">
        <f t="shared" si="10"/>
        <v>No</v>
      </c>
      <c r="R97" s="1" t="str">
        <f t="shared" si="11"/>
        <v>No</v>
      </c>
      <c r="S97" s="1" t="str">
        <f t="shared" si="12"/>
        <v>Yes</v>
      </c>
      <c r="T97" s="1" t="str">
        <f t="shared" si="13"/>
        <v>Normal</v>
      </c>
      <c r="U97" s="1" t="str">
        <f t="shared" si="14"/>
        <v>No</v>
      </c>
      <c r="V97" s="5" t="str">
        <f t="shared" si="15"/>
        <v>No</v>
      </c>
      <c r="W97" s="1" t="str">
        <f t="shared" si="16"/>
        <v>Regular</v>
      </c>
      <c r="X97" s="1" t="str">
        <f t="shared" si="17"/>
        <v>Discounted</v>
      </c>
    </row>
    <row r="98" spans="1:24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5">
        <v>4290.3</v>
      </c>
      <c r="P98" s="1">
        <f t="shared" si="9"/>
        <v>4516.1100000000006</v>
      </c>
      <c r="Q98" s="1" t="str">
        <f t="shared" si="10"/>
        <v>No</v>
      </c>
      <c r="R98" s="1" t="str">
        <f t="shared" si="11"/>
        <v>No</v>
      </c>
      <c r="S98" s="1" t="str">
        <f t="shared" si="12"/>
        <v>Yes</v>
      </c>
      <c r="T98" s="1" t="str">
        <f t="shared" si="13"/>
        <v>Normal</v>
      </c>
      <c r="U98" s="1" t="str">
        <f t="shared" si="14"/>
        <v>Yes</v>
      </c>
      <c r="V98" s="5" t="str">
        <f t="shared" si="15"/>
        <v>Yes</v>
      </c>
      <c r="W98" s="1" t="str">
        <f t="shared" si="16"/>
        <v>Regular</v>
      </c>
      <c r="X98" s="1" t="str">
        <f t="shared" si="17"/>
        <v>Non Dis Bulk Order</v>
      </c>
    </row>
    <row r="99" spans="1:24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5">
        <v>4631.07</v>
      </c>
      <c r="P99" s="1">
        <f t="shared" si="9"/>
        <v>5448.32</v>
      </c>
      <c r="Q99" s="1" t="str">
        <f t="shared" si="10"/>
        <v>No</v>
      </c>
      <c r="R99" s="1" t="str">
        <f t="shared" si="11"/>
        <v>No</v>
      </c>
      <c r="S99" s="1" t="str">
        <f t="shared" si="12"/>
        <v>Yes</v>
      </c>
      <c r="T99" s="1" t="str">
        <f t="shared" si="13"/>
        <v>Normal</v>
      </c>
      <c r="U99" s="1" t="str">
        <f t="shared" si="14"/>
        <v>Yes</v>
      </c>
      <c r="V99" s="5" t="str">
        <f t="shared" si="15"/>
        <v>Yes</v>
      </c>
      <c r="W99" s="1" t="str">
        <f t="shared" si="16"/>
        <v>Regular</v>
      </c>
      <c r="X99" s="1" t="str">
        <f t="shared" si="17"/>
        <v>Discounted</v>
      </c>
    </row>
    <row r="100" spans="1:24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5">
        <v>757.8</v>
      </c>
      <c r="P100" s="1">
        <f t="shared" si="9"/>
        <v>947.25</v>
      </c>
      <c r="Q100" s="1" t="str">
        <f t="shared" si="10"/>
        <v>No</v>
      </c>
      <c r="R100" s="1" t="str">
        <f t="shared" si="11"/>
        <v>No</v>
      </c>
      <c r="S100" s="1" t="str">
        <f t="shared" si="12"/>
        <v>Yes</v>
      </c>
      <c r="T100" s="1" t="str">
        <f t="shared" si="13"/>
        <v>Normal</v>
      </c>
      <c r="U100" s="1" t="str">
        <f t="shared" si="14"/>
        <v>No</v>
      </c>
      <c r="V100" s="5" t="str">
        <f t="shared" si="15"/>
        <v>No</v>
      </c>
      <c r="W100" s="1" t="str">
        <f t="shared" si="16"/>
        <v>Regular</v>
      </c>
      <c r="X100" s="1" t="str">
        <f t="shared" si="17"/>
        <v>Discounted</v>
      </c>
    </row>
    <row r="101" spans="1:24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5">
        <v>19887.27</v>
      </c>
      <c r="P101" s="1">
        <f t="shared" si="9"/>
        <v>22096.97</v>
      </c>
      <c r="Q101" s="1" t="str">
        <f t="shared" si="10"/>
        <v>Yes</v>
      </c>
      <c r="R101" s="1" t="str">
        <f t="shared" si="11"/>
        <v>No</v>
      </c>
      <c r="S101" s="1" t="str">
        <f t="shared" si="12"/>
        <v>Yes</v>
      </c>
      <c r="T101" s="1" t="str">
        <f t="shared" si="13"/>
        <v>Normal</v>
      </c>
      <c r="U101" s="1" t="str">
        <f t="shared" si="14"/>
        <v>Yes</v>
      </c>
      <c r="V101" s="5" t="str">
        <f t="shared" si="15"/>
        <v>Yes</v>
      </c>
      <c r="W101" s="1" t="str">
        <f t="shared" si="16"/>
        <v>Regular</v>
      </c>
      <c r="X101" s="1" t="str">
        <f t="shared" si="17"/>
        <v>Discounted</v>
      </c>
    </row>
    <row r="102" spans="1:24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5">
        <v>11445.62</v>
      </c>
      <c r="P102" s="1">
        <f t="shared" si="9"/>
        <v>13465.44</v>
      </c>
      <c r="Q102" s="1" t="str">
        <f t="shared" si="10"/>
        <v>Yes</v>
      </c>
      <c r="R102" s="1" t="str">
        <f t="shared" si="11"/>
        <v>Yes</v>
      </c>
      <c r="S102" s="1" t="str">
        <f t="shared" si="12"/>
        <v>No</v>
      </c>
      <c r="T102" s="1" t="str">
        <f t="shared" si="13"/>
        <v>Normal</v>
      </c>
      <c r="U102" s="1" t="str">
        <f t="shared" si="14"/>
        <v>No</v>
      </c>
      <c r="V102" s="5" t="str">
        <f t="shared" si="15"/>
        <v>No</v>
      </c>
      <c r="W102" s="1" t="str">
        <f t="shared" si="16"/>
        <v>Regular</v>
      </c>
      <c r="X102" s="1" t="str">
        <f t="shared" si="17"/>
        <v>Non Dis Bulk Order</v>
      </c>
    </row>
    <row r="103" spans="1:24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5">
        <v>2974.45</v>
      </c>
      <c r="P103" s="1">
        <f t="shared" si="9"/>
        <v>3718.06</v>
      </c>
      <c r="Q103" s="1" t="str">
        <f t="shared" si="10"/>
        <v>No</v>
      </c>
      <c r="R103" s="1" t="str">
        <f t="shared" si="11"/>
        <v>No</v>
      </c>
      <c r="S103" s="1" t="str">
        <f t="shared" si="12"/>
        <v>No</v>
      </c>
      <c r="T103" s="1" t="str">
        <f t="shared" si="13"/>
        <v>Normal</v>
      </c>
      <c r="U103" s="1" t="str">
        <f t="shared" si="14"/>
        <v>No</v>
      </c>
      <c r="V103" s="5" t="str">
        <f t="shared" si="15"/>
        <v>No</v>
      </c>
      <c r="W103" s="1" t="str">
        <f t="shared" si="16"/>
        <v>Regular</v>
      </c>
      <c r="X103" s="1" t="str">
        <f t="shared" si="17"/>
        <v>Discounted</v>
      </c>
    </row>
    <row r="104" spans="1:24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5">
        <v>20105.900000000001</v>
      </c>
      <c r="P104" s="1">
        <f t="shared" si="9"/>
        <v>25132.38</v>
      </c>
      <c r="Q104" s="1" t="str">
        <f t="shared" si="10"/>
        <v>Yes</v>
      </c>
      <c r="R104" s="1" t="str">
        <f t="shared" si="11"/>
        <v>No</v>
      </c>
      <c r="S104" s="1" t="str">
        <f t="shared" si="12"/>
        <v>Yes</v>
      </c>
      <c r="T104" s="1" t="str">
        <f t="shared" si="13"/>
        <v>Normal</v>
      </c>
      <c r="U104" s="1" t="str">
        <f t="shared" si="14"/>
        <v>No</v>
      </c>
      <c r="V104" s="5" t="str">
        <f t="shared" si="15"/>
        <v>No</v>
      </c>
      <c r="W104" s="1" t="str">
        <f t="shared" si="16"/>
        <v>Regular</v>
      </c>
      <c r="X104" s="1" t="str">
        <f t="shared" si="17"/>
        <v>Discounted</v>
      </c>
    </row>
    <row r="105" spans="1:24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5">
        <v>12075.79</v>
      </c>
      <c r="P105" s="1">
        <f t="shared" si="9"/>
        <v>13417.550000000001</v>
      </c>
      <c r="Q105" s="1" t="str">
        <f t="shared" si="10"/>
        <v>No</v>
      </c>
      <c r="R105" s="1" t="str">
        <f t="shared" si="11"/>
        <v>No</v>
      </c>
      <c r="S105" s="1" t="str">
        <f t="shared" si="12"/>
        <v>Yes</v>
      </c>
      <c r="T105" s="1" t="str">
        <f t="shared" si="13"/>
        <v>Normal</v>
      </c>
      <c r="U105" s="1" t="str">
        <f t="shared" si="14"/>
        <v>Yes</v>
      </c>
      <c r="V105" s="5" t="str">
        <f t="shared" si="15"/>
        <v>Yes</v>
      </c>
      <c r="W105" s="1" t="str">
        <f t="shared" si="16"/>
        <v>Regular</v>
      </c>
      <c r="X105" s="1" t="str">
        <f t="shared" si="17"/>
        <v>Discounted</v>
      </c>
    </row>
    <row r="106" spans="1:24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5">
        <v>814.63</v>
      </c>
      <c r="P106" s="1">
        <f t="shared" si="9"/>
        <v>905.15</v>
      </c>
      <c r="Q106" s="1" t="str">
        <f t="shared" si="10"/>
        <v>No</v>
      </c>
      <c r="R106" s="1" t="str">
        <f t="shared" si="11"/>
        <v>No</v>
      </c>
      <c r="S106" s="1" t="str">
        <f t="shared" si="12"/>
        <v>Yes</v>
      </c>
      <c r="T106" s="1" t="str">
        <f t="shared" si="13"/>
        <v>Normal</v>
      </c>
      <c r="U106" s="1" t="str">
        <f t="shared" si="14"/>
        <v>Yes</v>
      </c>
      <c r="V106" s="5" t="str">
        <f t="shared" si="15"/>
        <v>Yes</v>
      </c>
      <c r="W106" s="1" t="str">
        <f t="shared" si="16"/>
        <v>Regular</v>
      </c>
      <c r="X106" s="1" t="str">
        <f t="shared" si="17"/>
        <v>Discounted</v>
      </c>
    </row>
    <row r="107" spans="1:24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5">
        <v>10776.48</v>
      </c>
      <c r="P107" s="1">
        <f t="shared" si="9"/>
        <v>11343.66</v>
      </c>
      <c r="Q107" s="1" t="str">
        <f t="shared" si="10"/>
        <v>No</v>
      </c>
      <c r="R107" s="1" t="str">
        <f t="shared" si="11"/>
        <v>No</v>
      </c>
      <c r="S107" s="1" t="str">
        <f t="shared" si="12"/>
        <v>No</v>
      </c>
      <c r="T107" s="1" t="str">
        <f t="shared" si="13"/>
        <v>Normal</v>
      </c>
      <c r="U107" s="1" t="str">
        <f t="shared" si="14"/>
        <v>No</v>
      </c>
      <c r="V107" s="5" t="str">
        <f t="shared" si="15"/>
        <v>No</v>
      </c>
      <c r="W107" s="1" t="str">
        <f t="shared" si="16"/>
        <v>Regular</v>
      </c>
      <c r="X107" s="1" t="str">
        <f t="shared" si="17"/>
        <v>Discounted</v>
      </c>
    </row>
    <row r="108" spans="1:24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5">
        <v>4517.79</v>
      </c>
      <c r="P108" s="1">
        <f t="shared" si="9"/>
        <v>5315.05</v>
      </c>
      <c r="Q108" s="1" t="str">
        <f t="shared" si="10"/>
        <v>No</v>
      </c>
      <c r="R108" s="1" t="str">
        <f t="shared" si="11"/>
        <v>No</v>
      </c>
      <c r="S108" s="1" t="str">
        <f t="shared" si="12"/>
        <v>Yes</v>
      </c>
      <c r="T108" s="1" t="str">
        <f t="shared" si="13"/>
        <v>Normal</v>
      </c>
      <c r="U108" s="1" t="str">
        <f t="shared" si="14"/>
        <v>No</v>
      </c>
      <c r="V108" s="5" t="str">
        <f t="shared" si="15"/>
        <v>No</v>
      </c>
      <c r="W108" s="1" t="str">
        <f t="shared" si="16"/>
        <v>Regular</v>
      </c>
      <c r="X108" s="1" t="str">
        <f t="shared" si="17"/>
        <v>Discounted</v>
      </c>
    </row>
    <row r="109" spans="1:24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5">
        <v>959.33</v>
      </c>
      <c r="P109" s="1">
        <f t="shared" si="9"/>
        <v>1128.6199999999999</v>
      </c>
      <c r="Q109" s="1" t="str">
        <f t="shared" si="10"/>
        <v>No</v>
      </c>
      <c r="R109" s="1" t="str">
        <f t="shared" si="11"/>
        <v>No</v>
      </c>
      <c r="S109" s="1" t="str">
        <f t="shared" si="12"/>
        <v>Yes</v>
      </c>
      <c r="T109" s="1" t="str">
        <f t="shared" si="13"/>
        <v>Special attention</v>
      </c>
      <c r="U109" s="1" t="str">
        <f t="shared" si="14"/>
        <v>Yes</v>
      </c>
      <c r="V109" s="5" t="str">
        <f t="shared" si="15"/>
        <v>Yes</v>
      </c>
      <c r="W109" s="1" t="str">
        <f t="shared" si="16"/>
        <v>Regular</v>
      </c>
      <c r="X109" s="1" t="str">
        <f t="shared" si="17"/>
        <v>Discounted</v>
      </c>
    </row>
    <row r="110" spans="1:24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5">
        <v>11186.24</v>
      </c>
      <c r="P110" s="1">
        <f t="shared" si="9"/>
        <v>12429.16</v>
      </c>
      <c r="Q110" s="1" t="str">
        <f t="shared" si="10"/>
        <v>No</v>
      </c>
      <c r="R110" s="1" t="str">
        <f t="shared" si="11"/>
        <v>No</v>
      </c>
      <c r="S110" s="1" t="str">
        <f t="shared" si="12"/>
        <v>Yes</v>
      </c>
      <c r="T110" s="1" t="str">
        <f t="shared" si="13"/>
        <v>Normal</v>
      </c>
      <c r="U110" s="1" t="str">
        <f t="shared" si="14"/>
        <v>No</v>
      </c>
      <c r="V110" s="5" t="str">
        <f t="shared" si="15"/>
        <v>No</v>
      </c>
      <c r="W110" s="1" t="str">
        <f t="shared" si="16"/>
        <v>Regular</v>
      </c>
      <c r="X110" s="1" t="str">
        <f t="shared" si="17"/>
        <v>Discounted</v>
      </c>
    </row>
    <row r="111" spans="1:24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5">
        <v>9968.83</v>
      </c>
      <c r="P111" s="1">
        <f t="shared" si="9"/>
        <v>12461.04</v>
      </c>
      <c r="Q111" s="1" t="str">
        <f t="shared" si="10"/>
        <v>No</v>
      </c>
      <c r="R111" s="1" t="str">
        <f t="shared" si="11"/>
        <v>No</v>
      </c>
      <c r="S111" s="1" t="str">
        <f t="shared" si="12"/>
        <v>Yes</v>
      </c>
      <c r="T111" s="1" t="str">
        <f t="shared" si="13"/>
        <v>Normal</v>
      </c>
      <c r="U111" s="1" t="str">
        <f t="shared" si="14"/>
        <v>Yes</v>
      </c>
      <c r="V111" s="5" t="str">
        <f t="shared" si="15"/>
        <v>Yes</v>
      </c>
      <c r="W111" s="1" t="str">
        <f t="shared" si="16"/>
        <v>Regular</v>
      </c>
      <c r="X111" s="1" t="str">
        <f t="shared" si="17"/>
        <v>Discounted</v>
      </c>
    </row>
    <row r="112" spans="1:24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5">
        <v>1638.02</v>
      </c>
      <c r="P112" s="1">
        <f t="shared" si="9"/>
        <v>1820.02</v>
      </c>
      <c r="Q112" s="1" t="str">
        <f t="shared" si="10"/>
        <v>No</v>
      </c>
      <c r="R112" s="1" t="str">
        <f t="shared" si="11"/>
        <v>No</v>
      </c>
      <c r="S112" s="1" t="str">
        <f t="shared" si="12"/>
        <v>No</v>
      </c>
      <c r="T112" s="1" t="str">
        <f t="shared" si="13"/>
        <v>Normal</v>
      </c>
      <c r="U112" s="1" t="str">
        <f t="shared" si="14"/>
        <v>No</v>
      </c>
      <c r="V112" s="5" t="str">
        <f t="shared" si="15"/>
        <v>No</v>
      </c>
      <c r="W112" s="1" t="str">
        <f t="shared" si="16"/>
        <v>Regular</v>
      </c>
      <c r="X112" s="1" t="str">
        <f t="shared" si="17"/>
        <v>Discounted</v>
      </c>
    </row>
    <row r="113" spans="1:24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5">
        <v>3553.89</v>
      </c>
      <c r="P113" s="1">
        <f t="shared" si="9"/>
        <v>4442.3599999999997</v>
      </c>
      <c r="Q113" s="1" t="str">
        <f t="shared" si="10"/>
        <v>No</v>
      </c>
      <c r="R113" s="1" t="str">
        <f t="shared" si="11"/>
        <v>No</v>
      </c>
      <c r="S113" s="1" t="str">
        <f t="shared" si="12"/>
        <v>No</v>
      </c>
      <c r="T113" s="1" t="str">
        <f t="shared" si="13"/>
        <v>Normal</v>
      </c>
      <c r="U113" s="1" t="str">
        <f t="shared" si="14"/>
        <v>No</v>
      </c>
      <c r="V113" s="5" t="str">
        <f t="shared" si="15"/>
        <v>No</v>
      </c>
      <c r="W113" s="1" t="str">
        <f t="shared" si="16"/>
        <v>Regular</v>
      </c>
      <c r="X113" s="1" t="str">
        <f t="shared" si="17"/>
        <v>Discounted</v>
      </c>
    </row>
    <row r="114" spans="1:24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5">
        <v>10837.3</v>
      </c>
      <c r="P114" s="1">
        <f t="shared" si="9"/>
        <v>13546.619999999999</v>
      </c>
      <c r="Q114" s="1" t="str">
        <f t="shared" si="10"/>
        <v>Yes</v>
      </c>
      <c r="R114" s="1" t="str">
        <f t="shared" si="11"/>
        <v>No</v>
      </c>
      <c r="S114" s="1" t="str">
        <f t="shared" si="12"/>
        <v>Yes</v>
      </c>
      <c r="T114" s="1" t="str">
        <f t="shared" si="13"/>
        <v>Normal</v>
      </c>
      <c r="U114" s="1" t="str">
        <f t="shared" si="14"/>
        <v>No</v>
      </c>
      <c r="V114" s="5" t="str">
        <f t="shared" si="15"/>
        <v>No</v>
      </c>
      <c r="W114" s="1" t="str">
        <f t="shared" si="16"/>
        <v>Regular</v>
      </c>
      <c r="X114" s="1" t="str">
        <f t="shared" si="17"/>
        <v>Discounted</v>
      </c>
    </row>
    <row r="115" spans="1:24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5">
        <v>9771.68</v>
      </c>
      <c r="P115" s="1">
        <f t="shared" si="9"/>
        <v>10857.420000000002</v>
      </c>
      <c r="Q115" s="1" t="str">
        <f t="shared" si="10"/>
        <v>No</v>
      </c>
      <c r="R115" s="1" t="str">
        <f t="shared" si="11"/>
        <v>Yes</v>
      </c>
      <c r="S115" s="1" t="str">
        <f t="shared" si="12"/>
        <v>No</v>
      </c>
      <c r="T115" s="1" t="str">
        <f t="shared" si="13"/>
        <v>Normal</v>
      </c>
      <c r="U115" s="1" t="str">
        <f t="shared" si="14"/>
        <v>No</v>
      </c>
      <c r="V115" s="5" t="str">
        <f t="shared" si="15"/>
        <v>No</v>
      </c>
      <c r="W115" s="1" t="str">
        <f t="shared" si="16"/>
        <v>Regular</v>
      </c>
      <c r="X115" s="1" t="str">
        <f t="shared" si="17"/>
        <v>Non Dis Bulk Order</v>
      </c>
    </row>
    <row r="116" spans="1:24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5">
        <v>7242.18</v>
      </c>
      <c r="P116" s="1">
        <f t="shared" si="9"/>
        <v>7242.18</v>
      </c>
      <c r="Q116" s="1" t="str">
        <f t="shared" si="10"/>
        <v>No</v>
      </c>
      <c r="R116" s="1" t="str">
        <f t="shared" si="11"/>
        <v>No</v>
      </c>
      <c r="S116" s="1" t="str">
        <f t="shared" si="12"/>
        <v>Yes</v>
      </c>
      <c r="T116" s="1" t="str">
        <f t="shared" si="13"/>
        <v>Normal</v>
      </c>
      <c r="U116" s="1" t="str">
        <f t="shared" si="14"/>
        <v>Yes</v>
      </c>
      <c r="V116" s="5" t="str">
        <f t="shared" si="15"/>
        <v>Yes</v>
      </c>
      <c r="W116" s="1" t="str">
        <f t="shared" si="16"/>
        <v>Regular</v>
      </c>
      <c r="X116" s="1" t="str">
        <f t="shared" si="17"/>
        <v>Discounted</v>
      </c>
    </row>
    <row r="117" spans="1:24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5">
        <v>5822.31</v>
      </c>
      <c r="P117" s="1">
        <f t="shared" si="9"/>
        <v>6849.78</v>
      </c>
      <c r="Q117" s="1" t="str">
        <f t="shared" si="10"/>
        <v>No</v>
      </c>
      <c r="R117" s="1" t="str">
        <f t="shared" si="11"/>
        <v>No</v>
      </c>
      <c r="S117" s="1" t="str">
        <f t="shared" si="12"/>
        <v>No</v>
      </c>
      <c r="T117" s="1" t="str">
        <f t="shared" si="13"/>
        <v>Normal</v>
      </c>
      <c r="U117" s="1" t="str">
        <f t="shared" si="14"/>
        <v>No</v>
      </c>
      <c r="V117" s="5" t="str">
        <f t="shared" si="15"/>
        <v>No</v>
      </c>
      <c r="W117" s="1" t="str">
        <f t="shared" si="16"/>
        <v>Regular</v>
      </c>
      <c r="X117" s="1" t="str">
        <f t="shared" si="17"/>
        <v>Discounted</v>
      </c>
    </row>
    <row r="118" spans="1:24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5">
        <v>17062.900000000001</v>
      </c>
      <c r="P118" s="1">
        <f t="shared" si="9"/>
        <v>21328.62</v>
      </c>
      <c r="Q118" s="1" t="str">
        <f t="shared" si="10"/>
        <v>Yes</v>
      </c>
      <c r="R118" s="1" t="str">
        <f t="shared" si="11"/>
        <v>No</v>
      </c>
      <c r="S118" s="1" t="str">
        <f t="shared" si="12"/>
        <v>Yes</v>
      </c>
      <c r="T118" s="1" t="str">
        <f t="shared" si="13"/>
        <v>Normal</v>
      </c>
      <c r="U118" s="1" t="str">
        <f t="shared" si="14"/>
        <v>No</v>
      </c>
      <c r="V118" s="5" t="str">
        <f t="shared" si="15"/>
        <v>No</v>
      </c>
      <c r="W118" s="1" t="str">
        <f t="shared" si="16"/>
        <v>Regular</v>
      </c>
      <c r="X118" s="1" t="str">
        <f t="shared" si="17"/>
        <v>Discounted</v>
      </c>
    </row>
    <row r="119" spans="1:24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5">
        <v>3685.94</v>
      </c>
      <c r="P119" s="1">
        <f t="shared" si="9"/>
        <v>4607.42</v>
      </c>
      <c r="Q119" s="1" t="str">
        <f t="shared" si="10"/>
        <v>No</v>
      </c>
      <c r="R119" s="1" t="str">
        <f t="shared" si="11"/>
        <v>No</v>
      </c>
      <c r="S119" s="1" t="str">
        <f t="shared" si="12"/>
        <v>Yes</v>
      </c>
      <c r="T119" s="1" t="str">
        <f t="shared" si="13"/>
        <v>Normal</v>
      </c>
      <c r="U119" s="1" t="str">
        <f t="shared" si="14"/>
        <v>No</v>
      </c>
      <c r="V119" s="5" t="str">
        <f t="shared" si="15"/>
        <v>No</v>
      </c>
      <c r="W119" s="1" t="str">
        <f t="shared" si="16"/>
        <v>Regular</v>
      </c>
      <c r="X119" s="1" t="str">
        <f t="shared" si="17"/>
        <v>Discounted</v>
      </c>
    </row>
    <row r="120" spans="1:24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5">
        <v>26717.439999999999</v>
      </c>
      <c r="P120" s="1">
        <f t="shared" si="9"/>
        <v>26717.439999999999</v>
      </c>
      <c r="Q120" s="1" t="str">
        <f t="shared" si="10"/>
        <v>Yes</v>
      </c>
      <c r="R120" s="1" t="str">
        <f t="shared" si="11"/>
        <v>No</v>
      </c>
      <c r="S120" s="1" t="str">
        <f t="shared" si="12"/>
        <v>Yes</v>
      </c>
      <c r="T120" s="1" t="str">
        <f t="shared" si="13"/>
        <v>Normal</v>
      </c>
      <c r="U120" s="1" t="str">
        <f t="shared" si="14"/>
        <v>No</v>
      </c>
      <c r="V120" s="5" t="str">
        <f t="shared" si="15"/>
        <v>No</v>
      </c>
      <c r="W120" s="1" t="str">
        <f t="shared" si="16"/>
        <v>Regular</v>
      </c>
      <c r="X120" s="1" t="str">
        <f t="shared" si="17"/>
        <v>Discounted</v>
      </c>
    </row>
    <row r="121" spans="1:24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5">
        <v>19248.16</v>
      </c>
      <c r="P121" s="1">
        <f t="shared" si="9"/>
        <v>20261.22</v>
      </c>
      <c r="Q121" s="1" t="str">
        <f t="shared" si="10"/>
        <v>Yes</v>
      </c>
      <c r="R121" s="1" t="str">
        <f t="shared" si="11"/>
        <v>No</v>
      </c>
      <c r="S121" s="1" t="str">
        <f t="shared" si="12"/>
        <v>Yes</v>
      </c>
      <c r="T121" s="1" t="str">
        <f t="shared" si="13"/>
        <v>Normal</v>
      </c>
      <c r="U121" s="1" t="str">
        <f t="shared" si="14"/>
        <v>Yes</v>
      </c>
      <c r="V121" s="5" t="str">
        <f t="shared" si="15"/>
        <v>Yes</v>
      </c>
      <c r="W121" s="1" t="str">
        <f t="shared" si="16"/>
        <v>Premium</v>
      </c>
      <c r="X121" s="1" t="str">
        <f t="shared" si="17"/>
        <v>Discounted</v>
      </c>
    </row>
    <row r="122" spans="1:24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5">
        <v>14161.4</v>
      </c>
      <c r="P122" s="1">
        <f t="shared" si="9"/>
        <v>14161.400000000001</v>
      </c>
      <c r="Q122" s="1" t="str">
        <f t="shared" si="10"/>
        <v>No</v>
      </c>
      <c r="R122" s="1" t="str">
        <f t="shared" si="11"/>
        <v>No</v>
      </c>
      <c r="S122" s="1" t="str">
        <f t="shared" si="12"/>
        <v>Yes</v>
      </c>
      <c r="T122" s="1" t="str">
        <f t="shared" si="13"/>
        <v>Normal</v>
      </c>
      <c r="U122" s="1" t="str">
        <f t="shared" si="14"/>
        <v>Yes</v>
      </c>
      <c r="V122" s="5" t="str">
        <f t="shared" si="15"/>
        <v>Yes</v>
      </c>
      <c r="W122" s="1" t="str">
        <f t="shared" si="16"/>
        <v>Regular</v>
      </c>
      <c r="X122" s="1" t="str">
        <f t="shared" si="17"/>
        <v>Discounted</v>
      </c>
    </row>
    <row r="123" spans="1:24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5">
        <v>6993.65</v>
      </c>
      <c r="P123" s="1">
        <f t="shared" si="9"/>
        <v>6993.65</v>
      </c>
      <c r="Q123" s="1" t="str">
        <f t="shared" si="10"/>
        <v>No</v>
      </c>
      <c r="R123" s="1" t="str">
        <f t="shared" si="11"/>
        <v>No</v>
      </c>
      <c r="S123" s="1" t="str">
        <f t="shared" si="12"/>
        <v>Yes</v>
      </c>
      <c r="T123" s="1" t="str">
        <f t="shared" si="13"/>
        <v>Normal</v>
      </c>
      <c r="U123" s="1" t="str">
        <f t="shared" si="14"/>
        <v>Yes</v>
      </c>
      <c r="V123" s="5" t="str">
        <f t="shared" si="15"/>
        <v>Yes</v>
      </c>
      <c r="W123" s="1" t="str">
        <f t="shared" si="16"/>
        <v>Regular</v>
      </c>
      <c r="X123" s="1" t="str">
        <f t="shared" si="17"/>
        <v>Discounted</v>
      </c>
    </row>
    <row r="124" spans="1:24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5">
        <v>5882.8</v>
      </c>
      <c r="P124" s="1">
        <f t="shared" si="9"/>
        <v>7353.5</v>
      </c>
      <c r="Q124" s="1" t="str">
        <f t="shared" si="10"/>
        <v>No</v>
      </c>
      <c r="R124" s="1" t="str">
        <f t="shared" si="11"/>
        <v>No</v>
      </c>
      <c r="S124" s="1" t="str">
        <f t="shared" si="12"/>
        <v>Yes</v>
      </c>
      <c r="T124" s="1" t="str">
        <f t="shared" si="13"/>
        <v>Normal</v>
      </c>
      <c r="U124" s="1" t="str">
        <f t="shared" si="14"/>
        <v>Yes</v>
      </c>
      <c r="V124" s="5" t="str">
        <f t="shared" si="15"/>
        <v>Yes</v>
      </c>
      <c r="W124" s="1" t="str">
        <f t="shared" si="16"/>
        <v>Regular</v>
      </c>
      <c r="X124" s="1" t="str">
        <f t="shared" si="17"/>
        <v>Discounted</v>
      </c>
    </row>
    <row r="125" spans="1:24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5">
        <v>7358.61</v>
      </c>
      <c r="P125" s="1">
        <f t="shared" si="9"/>
        <v>8657.19</v>
      </c>
      <c r="Q125" s="1" t="str">
        <f t="shared" si="10"/>
        <v>No</v>
      </c>
      <c r="R125" s="1" t="str">
        <f t="shared" si="11"/>
        <v>Yes</v>
      </c>
      <c r="S125" s="1" t="str">
        <f t="shared" si="12"/>
        <v>Yes</v>
      </c>
      <c r="T125" s="1" t="str">
        <f t="shared" si="13"/>
        <v>Normal</v>
      </c>
      <c r="U125" s="1" t="str">
        <f t="shared" si="14"/>
        <v>Yes</v>
      </c>
      <c r="V125" s="5" t="str">
        <f t="shared" si="15"/>
        <v>Yes</v>
      </c>
      <c r="W125" s="1" t="str">
        <f t="shared" si="16"/>
        <v>Regular</v>
      </c>
      <c r="X125" s="1" t="str">
        <f t="shared" si="17"/>
        <v>Non Dis Bulk Order</v>
      </c>
    </row>
    <row r="126" spans="1:24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5">
        <v>31051.71</v>
      </c>
      <c r="P126" s="1">
        <f t="shared" si="9"/>
        <v>31051.71</v>
      </c>
      <c r="Q126" s="1" t="str">
        <f t="shared" si="10"/>
        <v>Yes</v>
      </c>
      <c r="R126" s="1" t="str">
        <f t="shared" si="11"/>
        <v>No</v>
      </c>
      <c r="S126" s="1" t="str">
        <f t="shared" si="12"/>
        <v>No</v>
      </c>
      <c r="T126" s="1" t="str">
        <f t="shared" si="13"/>
        <v>Normal</v>
      </c>
      <c r="U126" s="1" t="str">
        <f t="shared" si="14"/>
        <v>No</v>
      </c>
      <c r="V126" s="5" t="str">
        <f t="shared" si="15"/>
        <v>No</v>
      </c>
      <c r="W126" s="1" t="str">
        <f t="shared" si="16"/>
        <v>Premium</v>
      </c>
      <c r="X126" s="1" t="str">
        <f t="shared" si="17"/>
        <v>Discounted</v>
      </c>
    </row>
    <row r="127" spans="1:24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5">
        <v>28288.87</v>
      </c>
      <c r="P127" s="1">
        <f t="shared" si="9"/>
        <v>29777.759999999998</v>
      </c>
      <c r="Q127" s="1" t="str">
        <f t="shared" si="10"/>
        <v>Yes</v>
      </c>
      <c r="R127" s="1" t="str">
        <f t="shared" si="11"/>
        <v>No</v>
      </c>
      <c r="S127" s="1" t="str">
        <f t="shared" si="12"/>
        <v>Yes</v>
      </c>
      <c r="T127" s="1" t="str">
        <f t="shared" si="13"/>
        <v>Normal</v>
      </c>
      <c r="U127" s="1" t="str">
        <f t="shared" si="14"/>
        <v>Yes</v>
      </c>
      <c r="V127" s="5" t="str">
        <f t="shared" si="15"/>
        <v>Yes</v>
      </c>
      <c r="W127" s="1" t="str">
        <f t="shared" si="16"/>
        <v>Regular</v>
      </c>
      <c r="X127" s="1" t="str">
        <f t="shared" si="17"/>
        <v>Non Dis Bulk Order</v>
      </c>
    </row>
    <row r="128" spans="1:24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5">
        <v>9969.5300000000007</v>
      </c>
      <c r="P128" s="1">
        <f t="shared" si="9"/>
        <v>11077.26</v>
      </c>
      <c r="Q128" s="1" t="str">
        <f t="shared" si="10"/>
        <v>No</v>
      </c>
      <c r="R128" s="1" t="str">
        <f t="shared" si="11"/>
        <v>No</v>
      </c>
      <c r="S128" s="1" t="str">
        <f t="shared" si="12"/>
        <v>Yes</v>
      </c>
      <c r="T128" s="1" t="str">
        <f t="shared" si="13"/>
        <v>Normal</v>
      </c>
      <c r="U128" s="1" t="str">
        <f t="shared" si="14"/>
        <v>Yes</v>
      </c>
      <c r="V128" s="5" t="str">
        <f t="shared" si="15"/>
        <v>Yes</v>
      </c>
      <c r="W128" s="1" t="str">
        <f t="shared" si="16"/>
        <v>Regular</v>
      </c>
      <c r="X128" s="1" t="str">
        <f t="shared" si="17"/>
        <v>Discounted</v>
      </c>
    </row>
    <row r="129" spans="1:24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5">
        <v>3958.56</v>
      </c>
      <c r="P129" s="1">
        <f t="shared" si="9"/>
        <v>3958.56</v>
      </c>
      <c r="Q129" s="1" t="str">
        <f t="shared" si="10"/>
        <v>No</v>
      </c>
      <c r="R129" s="1" t="str">
        <f t="shared" si="11"/>
        <v>No</v>
      </c>
      <c r="S129" s="1" t="str">
        <f t="shared" si="12"/>
        <v>No</v>
      </c>
      <c r="T129" s="1" t="str">
        <f t="shared" si="13"/>
        <v>Normal</v>
      </c>
      <c r="U129" s="1" t="str">
        <f t="shared" si="14"/>
        <v>No</v>
      </c>
      <c r="V129" s="5" t="str">
        <f t="shared" si="15"/>
        <v>No</v>
      </c>
      <c r="W129" s="1" t="str">
        <f t="shared" si="16"/>
        <v>Regular</v>
      </c>
      <c r="X129" s="1" t="str">
        <f t="shared" si="17"/>
        <v>Discounted</v>
      </c>
    </row>
    <row r="130" spans="1:24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5">
        <v>4865.01</v>
      </c>
      <c r="P130" s="1">
        <f t="shared" si="9"/>
        <v>4865.01</v>
      </c>
      <c r="Q130" s="1" t="str">
        <f t="shared" si="10"/>
        <v>No</v>
      </c>
      <c r="R130" s="1" t="str">
        <f t="shared" si="11"/>
        <v>No</v>
      </c>
      <c r="S130" s="1" t="str">
        <f t="shared" si="12"/>
        <v>Yes</v>
      </c>
      <c r="T130" s="1" t="str">
        <f t="shared" si="13"/>
        <v>Normal</v>
      </c>
      <c r="U130" s="1" t="str">
        <f t="shared" si="14"/>
        <v>Yes</v>
      </c>
      <c r="V130" s="5" t="str">
        <f t="shared" si="15"/>
        <v>Yes</v>
      </c>
      <c r="W130" s="1" t="str">
        <f t="shared" si="16"/>
        <v>Regular</v>
      </c>
      <c r="X130" s="1" t="str">
        <f t="shared" si="17"/>
        <v>Discounted</v>
      </c>
    </row>
    <row r="131" spans="1:24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5">
        <v>2407.75</v>
      </c>
      <c r="P131" s="1">
        <f t="shared" ref="P131:P194" si="18">L131*M131</f>
        <v>2534.4699999999998</v>
      </c>
      <c r="Q131" s="1" t="str">
        <f t="shared" ref="Q131:Q194" si="19">IF(AND(L131&gt;5,O131&gt;10000),"Yes","No")</f>
        <v>No</v>
      </c>
      <c r="R131" s="1" t="str">
        <f t="shared" ref="R131:R194" si="20">IF(AND(L131&gt;=8,N131&gt;=10),"Yes","No")</f>
        <v>No</v>
      </c>
      <c r="S131" s="1" t="str">
        <f t="shared" ref="S131:S194" si="21">IF(OR(G131="Mobile App",G131="Website"),"Yes","No")</f>
        <v>Yes</v>
      </c>
      <c r="T131" s="1" t="str">
        <f t="shared" ref="T131:T194" si="22">IF(AND(L131&lt;3,O131&lt;1000),"Special attention","Normal")</f>
        <v>Normal</v>
      </c>
      <c r="U131" s="1" t="str">
        <f t="shared" ref="U131:U194" si="23">IF(NOT(G131="Website"),"No","Yes")</f>
        <v>No</v>
      </c>
      <c r="V131" s="5" t="str">
        <f t="shared" ref="V131:V194" si="24">IF(G131&lt;&gt;"Website","No","Yes")</f>
        <v>No</v>
      </c>
      <c r="W131" s="1" t="str">
        <f t="shared" ref="W131:W194" si="25">IF(AND(O131&gt;15000,OR(I131="Electronics",I131="Beauty")),"Premium","Regular")</f>
        <v>Regular</v>
      </c>
      <c r="X131" s="1" t="str">
        <f t="shared" ref="X131:X194" si="26">IF(AND(L131&gt;=8,NOT(N131=0%)),"Non Dis Bulk Order","Discounted")</f>
        <v>Discounted</v>
      </c>
    </row>
    <row r="132" spans="1:24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5">
        <v>11301.73</v>
      </c>
      <c r="P132" s="1">
        <f t="shared" si="18"/>
        <v>13296.15</v>
      </c>
      <c r="Q132" s="1" t="str">
        <f t="shared" si="19"/>
        <v>Yes</v>
      </c>
      <c r="R132" s="1" t="str">
        <f t="shared" si="20"/>
        <v>No</v>
      </c>
      <c r="S132" s="1" t="str">
        <f t="shared" si="21"/>
        <v>Yes</v>
      </c>
      <c r="T132" s="1" t="str">
        <f t="shared" si="22"/>
        <v>Normal</v>
      </c>
      <c r="U132" s="1" t="str">
        <f t="shared" si="23"/>
        <v>Yes</v>
      </c>
      <c r="V132" s="5" t="str">
        <f t="shared" si="24"/>
        <v>Yes</v>
      </c>
      <c r="W132" s="1" t="str">
        <f t="shared" si="25"/>
        <v>Regular</v>
      </c>
      <c r="X132" s="1" t="str">
        <f t="shared" si="26"/>
        <v>Discounted</v>
      </c>
    </row>
    <row r="133" spans="1:24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5">
        <v>12614.92</v>
      </c>
      <c r="P133" s="1">
        <f t="shared" si="18"/>
        <v>12614.92</v>
      </c>
      <c r="Q133" s="1" t="str">
        <f t="shared" si="19"/>
        <v>No</v>
      </c>
      <c r="R133" s="1" t="str">
        <f t="shared" si="20"/>
        <v>No</v>
      </c>
      <c r="S133" s="1" t="str">
        <f t="shared" si="21"/>
        <v>Yes</v>
      </c>
      <c r="T133" s="1" t="str">
        <f t="shared" si="22"/>
        <v>Normal</v>
      </c>
      <c r="U133" s="1" t="str">
        <f t="shared" si="23"/>
        <v>Yes</v>
      </c>
      <c r="V133" s="5" t="str">
        <f t="shared" si="24"/>
        <v>Yes</v>
      </c>
      <c r="W133" s="1" t="str">
        <f t="shared" si="25"/>
        <v>Regular</v>
      </c>
      <c r="X133" s="1" t="str">
        <f t="shared" si="26"/>
        <v>Discounted</v>
      </c>
    </row>
    <row r="134" spans="1:24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5">
        <v>3990.85</v>
      </c>
      <c r="P134" s="1">
        <f t="shared" si="18"/>
        <v>3990.85</v>
      </c>
      <c r="Q134" s="1" t="str">
        <f t="shared" si="19"/>
        <v>No</v>
      </c>
      <c r="R134" s="1" t="str">
        <f t="shared" si="20"/>
        <v>No</v>
      </c>
      <c r="S134" s="1" t="str">
        <f t="shared" si="21"/>
        <v>Yes</v>
      </c>
      <c r="T134" s="1" t="str">
        <f t="shared" si="22"/>
        <v>Normal</v>
      </c>
      <c r="U134" s="1" t="str">
        <f t="shared" si="23"/>
        <v>No</v>
      </c>
      <c r="V134" s="5" t="str">
        <f t="shared" si="24"/>
        <v>No</v>
      </c>
      <c r="W134" s="1" t="str">
        <f t="shared" si="25"/>
        <v>Regular</v>
      </c>
      <c r="X134" s="1" t="str">
        <f t="shared" si="26"/>
        <v>Discounted</v>
      </c>
    </row>
    <row r="135" spans="1:24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5">
        <v>6023.85</v>
      </c>
      <c r="P135" s="1">
        <f t="shared" si="18"/>
        <v>7086.88</v>
      </c>
      <c r="Q135" s="1" t="str">
        <f t="shared" si="19"/>
        <v>No</v>
      </c>
      <c r="R135" s="1" t="str">
        <f t="shared" si="20"/>
        <v>Yes</v>
      </c>
      <c r="S135" s="1" t="str">
        <f t="shared" si="21"/>
        <v>Yes</v>
      </c>
      <c r="T135" s="1" t="str">
        <f t="shared" si="22"/>
        <v>Normal</v>
      </c>
      <c r="U135" s="1" t="str">
        <f t="shared" si="23"/>
        <v>No</v>
      </c>
      <c r="V135" s="5" t="str">
        <f t="shared" si="24"/>
        <v>No</v>
      </c>
      <c r="W135" s="1" t="str">
        <f t="shared" si="25"/>
        <v>Regular</v>
      </c>
      <c r="X135" s="1" t="str">
        <f t="shared" si="26"/>
        <v>Non Dis Bulk Order</v>
      </c>
    </row>
    <row r="136" spans="1:24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5">
        <v>10942.06</v>
      </c>
      <c r="P136" s="1">
        <f t="shared" si="18"/>
        <v>11517.960000000001</v>
      </c>
      <c r="Q136" s="1" t="str">
        <f t="shared" si="19"/>
        <v>Yes</v>
      </c>
      <c r="R136" s="1" t="str">
        <f t="shared" si="20"/>
        <v>No</v>
      </c>
      <c r="S136" s="1" t="str">
        <f t="shared" si="21"/>
        <v>Yes</v>
      </c>
      <c r="T136" s="1" t="str">
        <f t="shared" si="22"/>
        <v>Normal</v>
      </c>
      <c r="U136" s="1" t="str">
        <f t="shared" si="23"/>
        <v>No</v>
      </c>
      <c r="V136" s="5" t="str">
        <f t="shared" si="24"/>
        <v>No</v>
      </c>
      <c r="W136" s="1" t="str">
        <f t="shared" si="25"/>
        <v>Regular</v>
      </c>
      <c r="X136" s="1" t="str">
        <f t="shared" si="26"/>
        <v>Discounted</v>
      </c>
    </row>
    <row r="137" spans="1:24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5">
        <v>10855.74</v>
      </c>
      <c r="P137" s="1">
        <f t="shared" si="18"/>
        <v>10855.74</v>
      </c>
      <c r="Q137" s="1" t="str">
        <f t="shared" si="19"/>
        <v>Yes</v>
      </c>
      <c r="R137" s="1" t="str">
        <f t="shared" si="20"/>
        <v>No</v>
      </c>
      <c r="S137" s="1" t="str">
        <f t="shared" si="21"/>
        <v>Yes</v>
      </c>
      <c r="T137" s="1" t="str">
        <f t="shared" si="22"/>
        <v>Normal</v>
      </c>
      <c r="U137" s="1" t="str">
        <f t="shared" si="23"/>
        <v>No</v>
      </c>
      <c r="V137" s="5" t="str">
        <f t="shared" si="24"/>
        <v>No</v>
      </c>
      <c r="W137" s="1" t="str">
        <f t="shared" si="25"/>
        <v>Regular</v>
      </c>
      <c r="X137" s="1" t="str">
        <f t="shared" si="26"/>
        <v>Discounted</v>
      </c>
    </row>
    <row r="138" spans="1:24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5">
        <v>2247.91</v>
      </c>
      <c r="P138" s="1">
        <f t="shared" si="18"/>
        <v>2644.6</v>
      </c>
      <c r="Q138" s="1" t="str">
        <f t="shared" si="19"/>
        <v>No</v>
      </c>
      <c r="R138" s="1" t="str">
        <f t="shared" si="20"/>
        <v>No</v>
      </c>
      <c r="S138" s="1" t="str">
        <f t="shared" si="21"/>
        <v>Yes</v>
      </c>
      <c r="T138" s="1" t="str">
        <f t="shared" si="22"/>
        <v>Normal</v>
      </c>
      <c r="U138" s="1" t="str">
        <f t="shared" si="23"/>
        <v>Yes</v>
      </c>
      <c r="V138" s="5" t="str">
        <f t="shared" si="24"/>
        <v>Yes</v>
      </c>
      <c r="W138" s="1" t="str">
        <f t="shared" si="25"/>
        <v>Regular</v>
      </c>
      <c r="X138" s="1" t="str">
        <f t="shared" si="26"/>
        <v>Discounted</v>
      </c>
    </row>
    <row r="139" spans="1:24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5">
        <v>912.67</v>
      </c>
      <c r="P139" s="1">
        <f t="shared" si="18"/>
        <v>912.67</v>
      </c>
      <c r="Q139" s="1" t="str">
        <f t="shared" si="19"/>
        <v>No</v>
      </c>
      <c r="R139" s="1" t="str">
        <f t="shared" si="20"/>
        <v>No</v>
      </c>
      <c r="S139" s="1" t="str">
        <f t="shared" si="21"/>
        <v>Yes</v>
      </c>
      <c r="T139" s="1" t="str">
        <f t="shared" si="22"/>
        <v>Special attention</v>
      </c>
      <c r="U139" s="1" t="str">
        <f t="shared" si="23"/>
        <v>No</v>
      </c>
      <c r="V139" s="5" t="str">
        <f t="shared" si="24"/>
        <v>No</v>
      </c>
      <c r="W139" s="1" t="str">
        <f t="shared" si="25"/>
        <v>Regular</v>
      </c>
      <c r="X139" s="1" t="str">
        <f t="shared" si="26"/>
        <v>Discounted</v>
      </c>
    </row>
    <row r="140" spans="1:24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5">
        <v>725.24</v>
      </c>
      <c r="P140" s="1">
        <f t="shared" si="18"/>
        <v>805.82</v>
      </c>
      <c r="Q140" s="1" t="str">
        <f t="shared" si="19"/>
        <v>No</v>
      </c>
      <c r="R140" s="1" t="str">
        <f t="shared" si="20"/>
        <v>No</v>
      </c>
      <c r="S140" s="1" t="str">
        <f t="shared" si="21"/>
        <v>Yes</v>
      </c>
      <c r="T140" s="1" t="str">
        <f t="shared" si="22"/>
        <v>Special attention</v>
      </c>
      <c r="U140" s="1" t="str">
        <f t="shared" si="23"/>
        <v>No</v>
      </c>
      <c r="V140" s="5" t="str">
        <f t="shared" si="24"/>
        <v>No</v>
      </c>
      <c r="W140" s="1" t="str">
        <f t="shared" si="25"/>
        <v>Regular</v>
      </c>
      <c r="X140" s="1" t="str">
        <f t="shared" si="26"/>
        <v>Discounted</v>
      </c>
    </row>
    <row r="141" spans="1:24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5">
        <v>11409.31</v>
      </c>
      <c r="P141" s="1">
        <f t="shared" si="18"/>
        <v>14261.64</v>
      </c>
      <c r="Q141" s="1" t="str">
        <f t="shared" si="19"/>
        <v>No</v>
      </c>
      <c r="R141" s="1" t="str">
        <f t="shared" si="20"/>
        <v>No</v>
      </c>
      <c r="S141" s="1" t="str">
        <f t="shared" si="21"/>
        <v>No</v>
      </c>
      <c r="T141" s="1" t="str">
        <f t="shared" si="22"/>
        <v>Normal</v>
      </c>
      <c r="U141" s="1" t="str">
        <f t="shared" si="23"/>
        <v>No</v>
      </c>
      <c r="V141" s="5" t="str">
        <f t="shared" si="24"/>
        <v>No</v>
      </c>
      <c r="W141" s="1" t="str">
        <f t="shared" si="25"/>
        <v>Regular</v>
      </c>
      <c r="X141" s="1" t="str">
        <f t="shared" si="26"/>
        <v>Discounted</v>
      </c>
    </row>
    <row r="142" spans="1:24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5">
        <v>3179.56</v>
      </c>
      <c r="P142" s="1">
        <f t="shared" si="18"/>
        <v>3532.84</v>
      </c>
      <c r="Q142" s="1" t="str">
        <f t="shared" si="19"/>
        <v>No</v>
      </c>
      <c r="R142" s="1" t="str">
        <f t="shared" si="20"/>
        <v>No</v>
      </c>
      <c r="S142" s="1" t="str">
        <f t="shared" si="21"/>
        <v>Yes</v>
      </c>
      <c r="T142" s="1" t="str">
        <f t="shared" si="22"/>
        <v>Normal</v>
      </c>
      <c r="U142" s="1" t="str">
        <f t="shared" si="23"/>
        <v>No</v>
      </c>
      <c r="V142" s="5" t="str">
        <f t="shared" si="24"/>
        <v>No</v>
      </c>
      <c r="W142" s="1" t="str">
        <f t="shared" si="25"/>
        <v>Regular</v>
      </c>
      <c r="X142" s="1" t="str">
        <f t="shared" si="26"/>
        <v>Discounted</v>
      </c>
    </row>
    <row r="143" spans="1:24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5">
        <v>2063.0500000000002</v>
      </c>
      <c r="P143" s="1">
        <f t="shared" si="18"/>
        <v>2063.0500000000002</v>
      </c>
      <c r="Q143" s="1" t="str">
        <f t="shared" si="19"/>
        <v>No</v>
      </c>
      <c r="R143" s="1" t="str">
        <f t="shared" si="20"/>
        <v>No</v>
      </c>
      <c r="S143" s="1" t="str">
        <f t="shared" si="21"/>
        <v>Yes</v>
      </c>
      <c r="T143" s="1" t="str">
        <f t="shared" si="22"/>
        <v>Normal</v>
      </c>
      <c r="U143" s="1" t="str">
        <f t="shared" si="23"/>
        <v>No</v>
      </c>
      <c r="V143" s="5" t="str">
        <f t="shared" si="24"/>
        <v>No</v>
      </c>
      <c r="W143" s="1" t="str">
        <f t="shared" si="25"/>
        <v>Regular</v>
      </c>
      <c r="X143" s="1" t="str">
        <f t="shared" si="26"/>
        <v>Discounted</v>
      </c>
    </row>
    <row r="144" spans="1:24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5">
        <v>24473.53</v>
      </c>
      <c r="P144" s="1">
        <f t="shared" si="18"/>
        <v>25761.61</v>
      </c>
      <c r="Q144" s="1" t="str">
        <f t="shared" si="19"/>
        <v>Yes</v>
      </c>
      <c r="R144" s="1" t="str">
        <f t="shared" si="20"/>
        <v>No</v>
      </c>
      <c r="S144" s="1" t="str">
        <f t="shared" si="21"/>
        <v>No</v>
      </c>
      <c r="T144" s="1" t="str">
        <f t="shared" si="22"/>
        <v>Normal</v>
      </c>
      <c r="U144" s="1" t="str">
        <f t="shared" si="23"/>
        <v>No</v>
      </c>
      <c r="V144" s="5" t="str">
        <f t="shared" si="24"/>
        <v>No</v>
      </c>
      <c r="W144" s="1" t="str">
        <f t="shared" si="25"/>
        <v>Regular</v>
      </c>
      <c r="X144" s="1" t="str">
        <f t="shared" si="26"/>
        <v>Discounted</v>
      </c>
    </row>
    <row r="145" spans="1:24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5">
        <v>20087.810000000001</v>
      </c>
      <c r="P145" s="1">
        <f t="shared" si="18"/>
        <v>25109.759999999998</v>
      </c>
      <c r="Q145" s="1" t="str">
        <f t="shared" si="19"/>
        <v>Yes</v>
      </c>
      <c r="R145" s="1" t="str">
        <f t="shared" si="20"/>
        <v>Yes</v>
      </c>
      <c r="S145" s="1" t="str">
        <f t="shared" si="21"/>
        <v>No</v>
      </c>
      <c r="T145" s="1" t="str">
        <f t="shared" si="22"/>
        <v>Normal</v>
      </c>
      <c r="U145" s="1" t="str">
        <f t="shared" si="23"/>
        <v>No</v>
      </c>
      <c r="V145" s="5" t="str">
        <f t="shared" si="24"/>
        <v>No</v>
      </c>
      <c r="W145" s="1" t="str">
        <f t="shared" si="25"/>
        <v>Regular</v>
      </c>
      <c r="X145" s="1" t="str">
        <f t="shared" si="26"/>
        <v>Non Dis Bulk Order</v>
      </c>
    </row>
    <row r="146" spans="1:24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5">
        <v>3523.12</v>
      </c>
      <c r="P146" s="1">
        <f t="shared" si="18"/>
        <v>3914.58</v>
      </c>
      <c r="Q146" s="1" t="str">
        <f t="shared" si="19"/>
        <v>No</v>
      </c>
      <c r="R146" s="1" t="str">
        <f t="shared" si="20"/>
        <v>No</v>
      </c>
      <c r="S146" s="1" t="str">
        <f t="shared" si="21"/>
        <v>Yes</v>
      </c>
      <c r="T146" s="1" t="str">
        <f t="shared" si="22"/>
        <v>Normal</v>
      </c>
      <c r="U146" s="1" t="str">
        <f t="shared" si="23"/>
        <v>Yes</v>
      </c>
      <c r="V146" s="5" t="str">
        <f t="shared" si="24"/>
        <v>Yes</v>
      </c>
      <c r="W146" s="1" t="str">
        <f t="shared" si="25"/>
        <v>Regular</v>
      </c>
      <c r="X146" s="1" t="str">
        <f t="shared" si="26"/>
        <v>Discounted</v>
      </c>
    </row>
    <row r="147" spans="1:24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5">
        <v>7911.36</v>
      </c>
      <c r="P147" s="1">
        <f t="shared" si="18"/>
        <v>9307.48</v>
      </c>
      <c r="Q147" s="1" t="str">
        <f t="shared" si="19"/>
        <v>No</v>
      </c>
      <c r="R147" s="1" t="str">
        <f t="shared" si="20"/>
        <v>No</v>
      </c>
      <c r="S147" s="1" t="str">
        <f t="shared" si="21"/>
        <v>No</v>
      </c>
      <c r="T147" s="1" t="str">
        <f t="shared" si="22"/>
        <v>Normal</v>
      </c>
      <c r="U147" s="1" t="str">
        <f t="shared" si="23"/>
        <v>No</v>
      </c>
      <c r="V147" s="5" t="str">
        <f t="shared" si="24"/>
        <v>No</v>
      </c>
      <c r="W147" s="1" t="str">
        <f t="shared" si="25"/>
        <v>Regular</v>
      </c>
      <c r="X147" s="1" t="str">
        <f t="shared" si="26"/>
        <v>Discounted</v>
      </c>
    </row>
    <row r="148" spans="1:24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5">
        <v>10560.22</v>
      </c>
      <c r="P148" s="1">
        <f t="shared" si="18"/>
        <v>11116.02</v>
      </c>
      <c r="Q148" s="1" t="str">
        <f t="shared" si="19"/>
        <v>Yes</v>
      </c>
      <c r="R148" s="1" t="str">
        <f t="shared" si="20"/>
        <v>No</v>
      </c>
      <c r="S148" s="1" t="str">
        <f t="shared" si="21"/>
        <v>Yes</v>
      </c>
      <c r="T148" s="1" t="str">
        <f t="shared" si="22"/>
        <v>Normal</v>
      </c>
      <c r="U148" s="1" t="str">
        <f t="shared" si="23"/>
        <v>Yes</v>
      </c>
      <c r="V148" s="5" t="str">
        <f t="shared" si="24"/>
        <v>Yes</v>
      </c>
      <c r="W148" s="1" t="str">
        <f t="shared" si="25"/>
        <v>Regular</v>
      </c>
      <c r="X148" s="1" t="str">
        <f t="shared" si="26"/>
        <v>Discounted</v>
      </c>
    </row>
    <row r="149" spans="1:24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5">
        <v>8692</v>
      </c>
      <c r="P149" s="1">
        <f t="shared" si="18"/>
        <v>9657.7800000000007</v>
      </c>
      <c r="Q149" s="1" t="str">
        <f t="shared" si="19"/>
        <v>No</v>
      </c>
      <c r="R149" s="1" t="str">
        <f t="shared" si="20"/>
        <v>No</v>
      </c>
      <c r="S149" s="1" t="str">
        <f t="shared" si="21"/>
        <v>No</v>
      </c>
      <c r="T149" s="1" t="str">
        <f t="shared" si="22"/>
        <v>Normal</v>
      </c>
      <c r="U149" s="1" t="str">
        <f t="shared" si="23"/>
        <v>No</v>
      </c>
      <c r="V149" s="5" t="str">
        <f t="shared" si="24"/>
        <v>No</v>
      </c>
      <c r="W149" s="1" t="str">
        <f t="shared" si="25"/>
        <v>Regular</v>
      </c>
      <c r="X149" s="1" t="str">
        <f t="shared" si="26"/>
        <v>Discounted</v>
      </c>
    </row>
    <row r="150" spans="1:24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5">
        <v>19980.439999999999</v>
      </c>
      <c r="P150" s="1">
        <f t="shared" si="18"/>
        <v>23506.400000000001</v>
      </c>
      <c r="Q150" s="1" t="str">
        <f t="shared" si="19"/>
        <v>Yes</v>
      </c>
      <c r="R150" s="1" t="str">
        <f t="shared" si="20"/>
        <v>Yes</v>
      </c>
      <c r="S150" s="1" t="str">
        <f t="shared" si="21"/>
        <v>No</v>
      </c>
      <c r="T150" s="1" t="str">
        <f t="shared" si="22"/>
        <v>Normal</v>
      </c>
      <c r="U150" s="1" t="str">
        <f t="shared" si="23"/>
        <v>No</v>
      </c>
      <c r="V150" s="5" t="str">
        <f t="shared" si="24"/>
        <v>No</v>
      </c>
      <c r="W150" s="1" t="str">
        <f t="shared" si="25"/>
        <v>Regular</v>
      </c>
      <c r="X150" s="1" t="str">
        <f t="shared" si="26"/>
        <v>Non Dis Bulk Order</v>
      </c>
    </row>
    <row r="151" spans="1:24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5">
        <v>5616.12</v>
      </c>
      <c r="P151" s="1">
        <f t="shared" si="18"/>
        <v>5616.12</v>
      </c>
      <c r="Q151" s="1" t="str">
        <f t="shared" si="19"/>
        <v>No</v>
      </c>
      <c r="R151" s="1" t="str">
        <f t="shared" si="20"/>
        <v>No</v>
      </c>
      <c r="S151" s="1" t="str">
        <f t="shared" si="21"/>
        <v>Yes</v>
      </c>
      <c r="T151" s="1" t="str">
        <f t="shared" si="22"/>
        <v>Normal</v>
      </c>
      <c r="U151" s="1" t="str">
        <f t="shared" si="23"/>
        <v>Yes</v>
      </c>
      <c r="V151" s="5" t="str">
        <f t="shared" si="24"/>
        <v>Yes</v>
      </c>
      <c r="W151" s="1" t="str">
        <f t="shared" si="25"/>
        <v>Regular</v>
      </c>
      <c r="X151" s="1" t="str">
        <f t="shared" si="26"/>
        <v>Discounted</v>
      </c>
    </row>
    <row r="152" spans="1:24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5">
        <v>6209.68</v>
      </c>
      <c r="P152" s="1">
        <f t="shared" si="18"/>
        <v>7305.5</v>
      </c>
      <c r="Q152" s="1" t="str">
        <f t="shared" si="19"/>
        <v>No</v>
      </c>
      <c r="R152" s="1" t="str">
        <f t="shared" si="20"/>
        <v>No</v>
      </c>
      <c r="S152" s="1" t="str">
        <f t="shared" si="21"/>
        <v>No</v>
      </c>
      <c r="T152" s="1" t="str">
        <f t="shared" si="22"/>
        <v>Normal</v>
      </c>
      <c r="U152" s="1" t="str">
        <f t="shared" si="23"/>
        <v>No</v>
      </c>
      <c r="V152" s="5" t="str">
        <f t="shared" si="24"/>
        <v>No</v>
      </c>
      <c r="W152" s="1" t="str">
        <f t="shared" si="25"/>
        <v>Regular</v>
      </c>
      <c r="X152" s="1" t="str">
        <f t="shared" si="26"/>
        <v>Discounted</v>
      </c>
    </row>
    <row r="153" spans="1:24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5">
        <v>2924.2</v>
      </c>
      <c r="P153" s="1">
        <f t="shared" si="18"/>
        <v>3249.11</v>
      </c>
      <c r="Q153" s="1" t="str">
        <f t="shared" si="19"/>
        <v>No</v>
      </c>
      <c r="R153" s="1" t="str">
        <f t="shared" si="20"/>
        <v>No</v>
      </c>
      <c r="S153" s="1" t="str">
        <f t="shared" si="21"/>
        <v>Yes</v>
      </c>
      <c r="T153" s="1" t="str">
        <f t="shared" si="22"/>
        <v>Normal</v>
      </c>
      <c r="U153" s="1" t="str">
        <f t="shared" si="23"/>
        <v>Yes</v>
      </c>
      <c r="V153" s="5" t="str">
        <f t="shared" si="24"/>
        <v>Yes</v>
      </c>
      <c r="W153" s="1" t="str">
        <f t="shared" si="25"/>
        <v>Regular</v>
      </c>
      <c r="X153" s="1" t="str">
        <f t="shared" si="26"/>
        <v>Discounted</v>
      </c>
    </row>
    <row r="154" spans="1:24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5">
        <v>1899.23</v>
      </c>
      <c r="P154" s="1">
        <f t="shared" si="18"/>
        <v>2110.2599999999998</v>
      </c>
      <c r="Q154" s="1" t="str">
        <f t="shared" si="19"/>
        <v>No</v>
      </c>
      <c r="R154" s="1" t="str">
        <f t="shared" si="20"/>
        <v>No</v>
      </c>
      <c r="S154" s="1" t="str">
        <f t="shared" si="21"/>
        <v>No</v>
      </c>
      <c r="T154" s="1" t="str">
        <f t="shared" si="22"/>
        <v>Normal</v>
      </c>
      <c r="U154" s="1" t="str">
        <f t="shared" si="23"/>
        <v>No</v>
      </c>
      <c r="V154" s="5" t="str">
        <f t="shared" si="24"/>
        <v>No</v>
      </c>
      <c r="W154" s="1" t="str">
        <f t="shared" si="25"/>
        <v>Regular</v>
      </c>
      <c r="X154" s="1" t="str">
        <f t="shared" si="26"/>
        <v>Discounted</v>
      </c>
    </row>
    <row r="155" spans="1:24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5">
        <v>1529.12</v>
      </c>
      <c r="P155" s="1">
        <f t="shared" si="18"/>
        <v>1529.12</v>
      </c>
      <c r="Q155" s="1" t="str">
        <f t="shared" si="19"/>
        <v>No</v>
      </c>
      <c r="R155" s="1" t="str">
        <f t="shared" si="20"/>
        <v>No</v>
      </c>
      <c r="S155" s="1" t="str">
        <f t="shared" si="21"/>
        <v>Yes</v>
      </c>
      <c r="T155" s="1" t="str">
        <f t="shared" si="22"/>
        <v>Normal</v>
      </c>
      <c r="U155" s="1" t="str">
        <f t="shared" si="23"/>
        <v>No</v>
      </c>
      <c r="V155" s="5" t="str">
        <f t="shared" si="24"/>
        <v>No</v>
      </c>
      <c r="W155" s="1" t="str">
        <f t="shared" si="25"/>
        <v>Regular</v>
      </c>
      <c r="X155" s="1" t="str">
        <f t="shared" si="26"/>
        <v>Discounted</v>
      </c>
    </row>
    <row r="156" spans="1:24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5">
        <v>4903.3100000000004</v>
      </c>
      <c r="P156" s="1">
        <f t="shared" si="18"/>
        <v>5768.6</v>
      </c>
      <c r="Q156" s="1" t="str">
        <f t="shared" si="19"/>
        <v>No</v>
      </c>
      <c r="R156" s="1" t="str">
        <f t="shared" si="20"/>
        <v>No</v>
      </c>
      <c r="S156" s="1" t="str">
        <f t="shared" si="21"/>
        <v>No</v>
      </c>
      <c r="T156" s="1" t="str">
        <f t="shared" si="22"/>
        <v>Normal</v>
      </c>
      <c r="U156" s="1" t="str">
        <f t="shared" si="23"/>
        <v>No</v>
      </c>
      <c r="V156" s="5" t="str">
        <f t="shared" si="24"/>
        <v>No</v>
      </c>
      <c r="W156" s="1" t="str">
        <f t="shared" si="25"/>
        <v>Regular</v>
      </c>
      <c r="X156" s="1" t="str">
        <f t="shared" si="26"/>
        <v>Discounted</v>
      </c>
    </row>
    <row r="157" spans="1:24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5">
        <v>2273.12</v>
      </c>
      <c r="P157" s="1">
        <f t="shared" si="18"/>
        <v>2674.2599999999998</v>
      </c>
      <c r="Q157" s="1" t="str">
        <f t="shared" si="19"/>
        <v>No</v>
      </c>
      <c r="R157" s="1" t="str">
        <f t="shared" si="20"/>
        <v>No</v>
      </c>
      <c r="S157" s="1" t="str">
        <f t="shared" si="21"/>
        <v>Yes</v>
      </c>
      <c r="T157" s="1" t="str">
        <f t="shared" si="22"/>
        <v>Normal</v>
      </c>
      <c r="U157" s="1" t="str">
        <f t="shared" si="23"/>
        <v>Yes</v>
      </c>
      <c r="V157" s="5" t="str">
        <f t="shared" si="24"/>
        <v>Yes</v>
      </c>
      <c r="W157" s="1" t="str">
        <f t="shared" si="25"/>
        <v>Regular</v>
      </c>
      <c r="X157" s="1" t="str">
        <f t="shared" si="26"/>
        <v>Discounted</v>
      </c>
    </row>
    <row r="158" spans="1:24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5">
        <v>8437.84</v>
      </c>
      <c r="P158" s="1">
        <f t="shared" si="18"/>
        <v>8437.84</v>
      </c>
      <c r="Q158" s="1" t="str">
        <f t="shared" si="19"/>
        <v>No</v>
      </c>
      <c r="R158" s="1" t="str">
        <f t="shared" si="20"/>
        <v>No</v>
      </c>
      <c r="S158" s="1" t="str">
        <f t="shared" si="21"/>
        <v>No</v>
      </c>
      <c r="T158" s="1" t="str">
        <f t="shared" si="22"/>
        <v>Normal</v>
      </c>
      <c r="U158" s="1" t="str">
        <f t="shared" si="23"/>
        <v>No</v>
      </c>
      <c r="V158" s="5" t="str">
        <f t="shared" si="24"/>
        <v>No</v>
      </c>
      <c r="W158" s="1" t="str">
        <f t="shared" si="25"/>
        <v>Regular</v>
      </c>
      <c r="X158" s="1" t="str">
        <f t="shared" si="26"/>
        <v>Discounted</v>
      </c>
    </row>
    <row r="159" spans="1:24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5">
        <v>22753.34</v>
      </c>
      <c r="P159" s="1">
        <f t="shared" si="18"/>
        <v>26768.639999999999</v>
      </c>
      <c r="Q159" s="1" t="str">
        <f t="shared" si="19"/>
        <v>Yes</v>
      </c>
      <c r="R159" s="1" t="str">
        <f t="shared" si="20"/>
        <v>Yes</v>
      </c>
      <c r="S159" s="1" t="str">
        <f t="shared" si="21"/>
        <v>Yes</v>
      </c>
      <c r="T159" s="1" t="str">
        <f t="shared" si="22"/>
        <v>Normal</v>
      </c>
      <c r="U159" s="1" t="str">
        <f t="shared" si="23"/>
        <v>Yes</v>
      </c>
      <c r="V159" s="5" t="str">
        <f t="shared" si="24"/>
        <v>Yes</v>
      </c>
      <c r="W159" s="1" t="str">
        <f t="shared" si="25"/>
        <v>Premium</v>
      </c>
      <c r="X159" s="1" t="str">
        <f t="shared" si="26"/>
        <v>Non Dis Bulk Order</v>
      </c>
    </row>
    <row r="160" spans="1:24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5">
        <v>22804.62</v>
      </c>
      <c r="P160" s="1">
        <f t="shared" si="18"/>
        <v>22804.62</v>
      </c>
      <c r="Q160" s="1" t="str">
        <f t="shared" si="19"/>
        <v>Yes</v>
      </c>
      <c r="R160" s="1" t="str">
        <f t="shared" si="20"/>
        <v>No</v>
      </c>
      <c r="S160" s="1" t="str">
        <f t="shared" si="21"/>
        <v>Yes</v>
      </c>
      <c r="T160" s="1" t="str">
        <f t="shared" si="22"/>
        <v>Normal</v>
      </c>
      <c r="U160" s="1" t="str">
        <f t="shared" si="23"/>
        <v>Yes</v>
      </c>
      <c r="V160" s="5" t="str">
        <f t="shared" si="24"/>
        <v>Yes</v>
      </c>
      <c r="W160" s="1" t="str">
        <f t="shared" si="25"/>
        <v>Premium</v>
      </c>
      <c r="X160" s="1" t="str">
        <f t="shared" si="26"/>
        <v>Discounted</v>
      </c>
    </row>
    <row r="161" spans="1:24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5">
        <v>5026.34</v>
      </c>
      <c r="P161" s="1">
        <f t="shared" si="18"/>
        <v>5290.88</v>
      </c>
      <c r="Q161" s="1" t="str">
        <f t="shared" si="19"/>
        <v>No</v>
      </c>
      <c r="R161" s="1" t="str">
        <f t="shared" si="20"/>
        <v>No</v>
      </c>
      <c r="S161" s="1" t="str">
        <f t="shared" si="21"/>
        <v>Yes</v>
      </c>
      <c r="T161" s="1" t="str">
        <f t="shared" si="22"/>
        <v>Normal</v>
      </c>
      <c r="U161" s="1" t="str">
        <f t="shared" si="23"/>
        <v>No</v>
      </c>
      <c r="V161" s="5" t="str">
        <f t="shared" si="24"/>
        <v>No</v>
      </c>
      <c r="W161" s="1" t="str">
        <f t="shared" si="25"/>
        <v>Regular</v>
      </c>
      <c r="X161" s="1" t="str">
        <f t="shared" si="26"/>
        <v>Discounted</v>
      </c>
    </row>
    <row r="162" spans="1:24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5">
        <v>8412.41</v>
      </c>
      <c r="P162" s="1">
        <f t="shared" si="18"/>
        <v>9347.1200000000008</v>
      </c>
      <c r="Q162" s="1" t="str">
        <f t="shared" si="19"/>
        <v>No</v>
      </c>
      <c r="R162" s="1" t="str">
        <f t="shared" si="20"/>
        <v>Yes</v>
      </c>
      <c r="S162" s="1" t="str">
        <f t="shared" si="21"/>
        <v>Yes</v>
      </c>
      <c r="T162" s="1" t="str">
        <f t="shared" si="22"/>
        <v>Normal</v>
      </c>
      <c r="U162" s="1" t="str">
        <f t="shared" si="23"/>
        <v>No</v>
      </c>
      <c r="V162" s="5" t="str">
        <f t="shared" si="24"/>
        <v>No</v>
      </c>
      <c r="W162" s="1" t="str">
        <f t="shared" si="25"/>
        <v>Regular</v>
      </c>
      <c r="X162" s="1" t="str">
        <f t="shared" si="26"/>
        <v>Non Dis Bulk Order</v>
      </c>
    </row>
    <row r="163" spans="1:24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5">
        <v>9329.68</v>
      </c>
      <c r="P163" s="1">
        <f t="shared" si="18"/>
        <v>9820.7199999999993</v>
      </c>
      <c r="Q163" s="1" t="str">
        <f t="shared" si="19"/>
        <v>No</v>
      </c>
      <c r="R163" s="1" t="str">
        <f t="shared" si="20"/>
        <v>No</v>
      </c>
      <c r="S163" s="1" t="str">
        <f t="shared" si="21"/>
        <v>Yes</v>
      </c>
      <c r="T163" s="1" t="str">
        <f t="shared" si="22"/>
        <v>Normal</v>
      </c>
      <c r="U163" s="1" t="str">
        <f t="shared" si="23"/>
        <v>Yes</v>
      </c>
      <c r="V163" s="5" t="str">
        <f t="shared" si="24"/>
        <v>Yes</v>
      </c>
      <c r="W163" s="1" t="str">
        <f t="shared" si="25"/>
        <v>Regular</v>
      </c>
      <c r="X163" s="1" t="str">
        <f t="shared" si="26"/>
        <v>Non Dis Bulk Order</v>
      </c>
    </row>
    <row r="164" spans="1:24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5">
        <v>975.38</v>
      </c>
      <c r="P164" s="1">
        <f t="shared" si="18"/>
        <v>1219.22</v>
      </c>
      <c r="Q164" s="1" t="str">
        <f t="shared" si="19"/>
        <v>No</v>
      </c>
      <c r="R164" s="1" t="str">
        <f t="shared" si="20"/>
        <v>No</v>
      </c>
      <c r="S164" s="1" t="str">
        <f t="shared" si="21"/>
        <v>No</v>
      </c>
      <c r="T164" s="1" t="str">
        <f t="shared" si="22"/>
        <v>Special attention</v>
      </c>
      <c r="U164" s="1" t="str">
        <f t="shared" si="23"/>
        <v>No</v>
      </c>
      <c r="V164" s="5" t="str">
        <f t="shared" si="24"/>
        <v>No</v>
      </c>
      <c r="W164" s="1" t="str">
        <f t="shared" si="25"/>
        <v>Regular</v>
      </c>
      <c r="X164" s="1" t="str">
        <f t="shared" si="26"/>
        <v>Discounted</v>
      </c>
    </row>
    <row r="165" spans="1:24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5">
        <v>922.66</v>
      </c>
      <c r="P165" s="1">
        <f t="shared" si="18"/>
        <v>1153.32</v>
      </c>
      <c r="Q165" s="1" t="str">
        <f t="shared" si="19"/>
        <v>No</v>
      </c>
      <c r="R165" s="1" t="str">
        <f t="shared" si="20"/>
        <v>No</v>
      </c>
      <c r="S165" s="1" t="str">
        <f t="shared" si="21"/>
        <v>Yes</v>
      </c>
      <c r="T165" s="1" t="str">
        <f t="shared" si="22"/>
        <v>Normal</v>
      </c>
      <c r="U165" s="1" t="str">
        <f t="shared" si="23"/>
        <v>Yes</v>
      </c>
      <c r="V165" s="5" t="str">
        <f t="shared" si="24"/>
        <v>Yes</v>
      </c>
      <c r="W165" s="1" t="str">
        <f t="shared" si="25"/>
        <v>Regular</v>
      </c>
      <c r="X165" s="1" t="str">
        <f t="shared" si="26"/>
        <v>Discounted</v>
      </c>
    </row>
    <row r="166" spans="1:24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5">
        <v>11899.62</v>
      </c>
      <c r="P166" s="1">
        <f t="shared" si="18"/>
        <v>14874.52</v>
      </c>
      <c r="Q166" s="1" t="str">
        <f t="shared" si="19"/>
        <v>No</v>
      </c>
      <c r="R166" s="1" t="str">
        <f t="shared" si="20"/>
        <v>No</v>
      </c>
      <c r="S166" s="1" t="str">
        <f t="shared" si="21"/>
        <v>Yes</v>
      </c>
      <c r="T166" s="1" t="str">
        <f t="shared" si="22"/>
        <v>Normal</v>
      </c>
      <c r="U166" s="1" t="str">
        <f t="shared" si="23"/>
        <v>Yes</v>
      </c>
      <c r="V166" s="5" t="str">
        <f t="shared" si="24"/>
        <v>Yes</v>
      </c>
      <c r="W166" s="1" t="str">
        <f t="shared" si="25"/>
        <v>Regular</v>
      </c>
      <c r="X166" s="1" t="str">
        <f t="shared" si="26"/>
        <v>Discounted</v>
      </c>
    </row>
    <row r="167" spans="1:24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5">
        <v>6809.18</v>
      </c>
      <c r="P167" s="1">
        <f t="shared" si="18"/>
        <v>6809.18</v>
      </c>
      <c r="Q167" s="1" t="str">
        <f t="shared" si="19"/>
        <v>No</v>
      </c>
      <c r="R167" s="1" t="str">
        <f t="shared" si="20"/>
        <v>No</v>
      </c>
      <c r="S167" s="1" t="str">
        <f t="shared" si="21"/>
        <v>No</v>
      </c>
      <c r="T167" s="1" t="str">
        <f t="shared" si="22"/>
        <v>Normal</v>
      </c>
      <c r="U167" s="1" t="str">
        <f t="shared" si="23"/>
        <v>No</v>
      </c>
      <c r="V167" s="5" t="str">
        <f t="shared" si="24"/>
        <v>No</v>
      </c>
      <c r="W167" s="1" t="str">
        <f t="shared" si="25"/>
        <v>Regular</v>
      </c>
      <c r="X167" s="1" t="str">
        <f t="shared" si="26"/>
        <v>Discounted</v>
      </c>
    </row>
    <row r="168" spans="1:24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5">
        <v>10513.77</v>
      </c>
      <c r="P168" s="1">
        <f t="shared" si="18"/>
        <v>12369.14</v>
      </c>
      <c r="Q168" s="1" t="str">
        <f t="shared" si="19"/>
        <v>Yes</v>
      </c>
      <c r="R168" s="1" t="str">
        <f t="shared" si="20"/>
        <v>No</v>
      </c>
      <c r="S168" s="1" t="str">
        <f t="shared" si="21"/>
        <v>No</v>
      </c>
      <c r="T168" s="1" t="str">
        <f t="shared" si="22"/>
        <v>Normal</v>
      </c>
      <c r="U168" s="1" t="str">
        <f t="shared" si="23"/>
        <v>No</v>
      </c>
      <c r="V168" s="5" t="str">
        <f t="shared" si="24"/>
        <v>No</v>
      </c>
      <c r="W168" s="1" t="str">
        <f t="shared" si="25"/>
        <v>Regular</v>
      </c>
      <c r="X168" s="1" t="str">
        <f t="shared" si="26"/>
        <v>Discounted</v>
      </c>
    </row>
    <row r="169" spans="1:24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5">
        <v>1423.4</v>
      </c>
      <c r="P169" s="1">
        <f t="shared" si="18"/>
        <v>1498.32</v>
      </c>
      <c r="Q169" s="1" t="str">
        <f t="shared" si="19"/>
        <v>No</v>
      </c>
      <c r="R169" s="1" t="str">
        <f t="shared" si="20"/>
        <v>No</v>
      </c>
      <c r="S169" s="1" t="str">
        <f t="shared" si="21"/>
        <v>No</v>
      </c>
      <c r="T169" s="1" t="str">
        <f t="shared" si="22"/>
        <v>Normal</v>
      </c>
      <c r="U169" s="1" t="str">
        <f t="shared" si="23"/>
        <v>No</v>
      </c>
      <c r="V169" s="5" t="str">
        <f t="shared" si="24"/>
        <v>No</v>
      </c>
      <c r="W169" s="1" t="str">
        <f t="shared" si="25"/>
        <v>Regular</v>
      </c>
      <c r="X169" s="1" t="str">
        <f t="shared" si="26"/>
        <v>Non Dis Bulk Order</v>
      </c>
    </row>
    <row r="170" spans="1:24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5">
        <v>16402.37</v>
      </c>
      <c r="P170" s="1">
        <f t="shared" si="18"/>
        <v>17265.650000000001</v>
      </c>
      <c r="Q170" s="1" t="str">
        <f t="shared" si="19"/>
        <v>No</v>
      </c>
      <c r="R170" s="1" t="str">
        <f t="shared" si="20"/>
        <v>No</v>
      </c>
      <c r="S170" s="1" t="str">
        <f t="shared" si="21"/>
        <v>No</v>
      </c>
      <c r="T170" s="1" t="str">
        <f t="shared" si="22"/>
        <v>Normal</v>
      </c>
      <c r="U170" s="1" t="str">
        <f t="shared" si="23"/>
        <v>No</v>
      </c>
      <c r="V170" s="5" t="str">
        <f t="shared" si="24"/>
        <v>No</v>
      </c>
      <c r="W170" s="1" t="str">
        <f t="shared" si="25"/>
        <v>Regular</v>
      </c>
      <c r="X170" s="1" t="str">
        <f t="shared" si="26"/>
        <v>Discounted</v>
      </c>
    </row>
    <row r="171" spans="1:24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5">
        <v>19716.98</v>
      </c>
      <c r="P171" s="1">
        <f t="shared" si="18"/>
        <v>20754.72</v>
      </c>
      <c r="Q171" s="1" t="str">
        <f t="shared" si="19"/>
        <v>Yes</v>
      </c>
      <c r="R171" s="1" t="str">
        <f t="shared" si="20"/>
        <v>No</v>
      </c>
      <c r="S171" s="1" t="str">
        <f t="shared" si="21"/>
        <v>Yes</v>
      </c>
      <c r="T171" s="1" t="str">
        <f t="shared" si="22"/>
        <v>Normal</v>
      </c>
      <c r="U171" s="1" t="str">
        <f t="shared" si="23"/>
        <v>Yes</v>
      </c>
      <c r="V171" s="5" t="str">
        <f t="shared" si="24"/>
        <v>Yes</v>
      </c>
      <c r="W171" s="1" t="str">
        <f t="shared" si="25"/>
        <v>Regular</v>
      </c>
      <c r="X171" s="1" t="str">
        <f t="shared" si="26"/>
        <v>Discounted</v>
      </c>
    </row>
    <row r="172" spans="1:24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5">
        <v>28842.080000000002</v>
      </c>
      <c r="P172" s="1">
        <f t="shared" si="18"/>
        <v>30360.080000000002</v>
      </c>
      <c r="Q172" s="1" t="str">
        <f t="shared" si="19"/>
        <v>Yes</v>
      </c>
      <c r="R172" s="1" t="str">
        <f t="shared" si="20"/>
        <v>No</v>
      </c>
      <c r="S172" s="1" t="str">
        <f t="shared" si="21"/>
        <v>Yes</v>
      </c>
      <c r="T172" s="1" t="str">
        <f t="shared" si="22"/>
        <v>Normal</v>
      </c>
      <c r="U172" s="1" t="str">
        <f t="shared" si="23"/>
        <v>Yes</v>
      </c>
      <c r="V172" s="5" t="str">
        <f t="shared" si="24"/>
        <v>Yes</v>
      </c>
      <c r="W172" s="1" t="str">
        <f t="shared" si="25"/>
        <v>Regular</v>
      </c>
      <c r="X172" s="1" t="str">
        <f t="shared" si="26"/>
        <v>Non Dis Bulk Order</v>
      </c>
    </row>
    <row r="173" spans="1:24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5">
        <v>22746.38</v>
      </c>
      <c r="P173" s="1">
        <f t="shared" si="18"/>
        <v>28432.98</v>
      </c>
      <c r="Q173" s="1" t="str">
        <f t="shared" si="19"/>
        <v>Yes</v>
      </c>
      <c r="R173" s="1" t="str">
        <f t="shared" si="20"/>
        <v>Yes</v>
      </c>
      <c r="S173" s="1" t="str">
        <f t="shared" si="21"/>
        <v>Yes</v>
      </c>
      <c r="T173" s="1" t="str">
        <f t="shared" si="22"/>
        <v>Normal</v>
      </c>
      <c r="U173" s="1" t="str">
        <f t="shared" si="23"/>
        <v>No</v>
      </c>
      <c r="V173" s="5" t="str">
        <f t="shared" si="24"/>
        <v>No</v>
      </c>
      <c r="W173" s="1" t="str">
        <f t="shared" si="25"/>
        <v>Premium</v>
      </c>
      <c r="X173" s="1" t="str">
        <f t="shared" si="26"/>
        <v>Non Dis Bulk Order</v>
      </c>
    </row>
    <row r="174" spans="1:24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5">
        <v>3869.64</v>
      </c>
      <c r="P174" s="1">
        <f t="shared" si="18"/>
        <v>4073.31</v>
      </c>
      <c r="Q174" s="1" t="str">
        <f t="shared" si="19"/>
        <v>No</v>
      </c>
      <c r="R174" s="1" t="str">
        <f t="shared" si="20"/>
        <v>No</v>
      </c>
      <c r="S174" s="1" t="str">
        <f t="shared" si="21"/>
        <v>Yes</v>
      </c>
      <c r="T174" s="1" t="str">
        <f t="shared" si="22"/>
        <v>Normal</v>
      </c>
      <c r="U174" s="1" t="str">
        <f t="shared" si="23"/>
        <v>Yes</v>
      </c>
      <c r="V174" s="5" t="str">
        <f t="shared" si="24"/>
        <v>Yes</v>
      </c>
      <c r="W174" s="1" t="str">
        <f t="shared" si="25"/>
        <v>Regular</v>
      </c>
      <c r="X174" s="1" t="str">
        <f t="shared" si="26"/>
        <v>Discounted</v>
      </c>
    </row>
    <row r="175" spans="1:24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5">
        <v>2815.99</v>
      </c>
      <c r="P175" s="1">
        <f t="shared" si="18"/>
        <v>3312.93</v>
      </c>
      <c r="Q175" s="1" t="str">
        <f t="shared" si="19"/>
        <v>No</v>
      </c>
      <c r="R175" s="1" t="str">
        <f t="shared" si="20"/>
        <v>No</v>
      </c>
      <c r="S175" s="1" t="str">
        <f t="shared" si="21"/>
        <v>No</v>
      </c>
      <c r="T175" s="1" t="str">
        <f t="shared" si="22"/>
        <v>Normal</v>
      </c>
      <c r="U175" s="1" t="str">
        <f t="shared" si="23"/>
        <v>No</v>
      </c>
      <c r="V175" s="5" t="str">
        <f t="shared" si="24"/>
        <v>No</v>
      </c>
      <c r="W175" s="1" t="str">
        <f t="shared" si="25"/>
        <v>Regular</v>
      </c>
      <c r="X175" s="1" t="str">
        <f t="shared" si="26"/>
        <v>Discounted</v>
      </c>
    </row>
    <row r="176" spans="1:24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5">
        <v>9075.8700000000008</v>
      </c>
      <c r="P176" s="1">
        <f t="shared" si="18"/>
        <v>11344.84</v>
      </c>
      <c r="Q176" s="1" t="str">
        <f t="shared" si="19"/>
        <v>No</v>
      </c>
      <c r="R176" s="1" t="str">
        <f t="shared" si="20"/>
        <v>No</v>
      </c>
      <c r="S176" s="1" t="str">
        <f t="shared" si="21"/>
        <v>Yes</v>
      </c>
      <c r="T176" s="1" t="str">
        <f t="shared" si="22"/>
        <v>Normal</v>
      </c>
      <c r="U176" s="1" t="str">
        <f t="shared" si="23"/>
        <v>No</v>
      </c>
      <c r="V176" s="5" t="str">
        <f t="shared" si="24"/>
        <v>No</v>
      </c>
      <c r="W176" s="1" t="str">
        <f t="shared" si="25"/>
        <v>Regular</v>
      </c>
      <c r="X176" s="1" t="str">
        <f t="shared" si="26"/>
        <v>Discounted</v>
      </c>
    </row>
    <row r="177" spans="1:24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5">
        <v>7371.19</v>
      </c>
      <c r="P177" s="1">
        <f t="shared" si="18"/>
        <v>7759.15</v>
      </c>
      <c r="Q177" s="1" t="str">
        <f t="shared" si="19"/>
        <v>No</v>
      </c>
      <c r="R177" s="1" t="str">
        <f t="shared" si="20"/>
        <v>No</v>
      </c>
      <c r="S177" s="1" t="str">
        <f t="shared" si="21"/>
        <v>No</v>
      </c>
      <c r="T177" s="1" t="str">
        <f t="shared" si="22"/>
        <v>Normal</v>
      </c>
      <c r="U177" s="1" t="str">
        <f t="shared" si="23"/>
        <v>No</v>
      </c>
      <c r="V177" s="5" t="str">
        <f t="shared" si="24"/>
        <v>No</v>
      </c>
      <c r="W177" s="1" t="str">
        <f t="shared" si="25"/>
        <v>Regular</v>
      </c>
      <c r="X177" s="1" t="str">
        <f t="shared" si="26"/>
        <v>Discounted</v>
      </c>
    </row>
    <row r="178" spans="1:24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5">
        <v>2329.9299999999998</v>
      </c>
      <c r="P178" s="1">
        <f t="shared" si="18"/>
        <v>2329.9299999999998</v>
      </c>
      <c r="Q178" s="1" t="str">
        <f t="shared" si="19"/>
        <v>No</v>
      </c>
      <c r="R178" s="1" t="str">
        <f t="shared" si="20"/>
        <v>No</v>
      </c>
      <c r="S178" s="1" t="str">
        <f t="shared" si="21"/>
        <v>Yes</v>
      </c>
      <c r="T178" s="1" t="str">
        <f t="shared" si="22"/>
        <v>Normal</v>
      </c>
      <c r="U178" s="1" t="str">
        <f t="shared" si="23"/>
        <v>Yes</v>
      </c>
      <c r="V178" s="5" t="str">
        <f t="shared" si="24"/>
        <v>Yes</v>
      </c>
      <c r="W178" s="1" t="str">
        <f t="shared" si="25"/>
        <v>Regular</v>
      </c>
      <c r="X178" s="1" t="str">
        <f t="shared" si="26"/>
        <v>Discounted</v>
      </c>
    </row>
    <row r="179" spans="1:24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5">
        <v>1096.77</v>
      </c>
      <c r="P179" s="1">
        <f t="shared" si="18"/>
        <v>1218.6300000000001</v>
      </c>
      <c r="Q179" s="1" t="str">
        <f t="shared" si="19"/>
        <v>No</v>
      </c>
      <c r="R179" s="1" t="str">
        <f t="shared" si="20"/>
        <v>No</v>
      </c>
      <c r="S179" s="1" t="str">
        <f t="shared" si="21"/>
        <v>Yes</v>
      </c>
      <c r="T179" s="1" t="str">
        <f t="shared" si="22"/>
        <v>Normal</v>
      </c>
      <c r="U179" s="1" t="str">
        <f t="shared" si="23"/>
        <v>No</v>
      </c>
      <c r="V179" s="5" t="str">
        <f t="shared" si="24"/>
        <v>No</v>
      </c>
      <c r="W179" s="1" t="str">
        <f t="shared" si="25"/>
        <v>Regular</v>
      </c>
      <c r="X179" s="1" t="str">
        <f t="shared" si="26"/>
        <v>Discounted</v>
      </c>
    </row>
    <row r="180" spans="1:24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5">
        <v>3144.91</v>
      </c>
      <c r="P180" s="1">
        <f t="shared" si="18"/>
        <v>3494.34</v>
      </c>
      <c r="Q180" s="1" t="str">
        <f t="shared" si="19"/>
        <v>No</v>
      </c>
      <c r="R180" s="1" t="str">
        <f t="shared" si="20"/>
        <v>Yes</v>
      </c>
      <c r="S180" s="1" t="str">
        <f t="shared" si="21"/>
        <v>No</v>
      </c>
      <c r="T180" s="1" t="str">
        <f t="shared" si="22"/>
        <v>Normal</v>
      </c>
      <c r="U180" s="1" t="str">
        <f t="shared" si="23"/>
        <v>No</v>
      </c>
      <c r="V180" s="5" t="str">
        <f t="shared" si="24"/>
        <v>No</v>
      </c>
      <c r="W180" s="1" t="str">
        <f t="shared" si="25"/>
        <v>Regular</v>
      </c>
      <c r="X180" s="1" t="str">
        <f t="shared" si="26"/>
        <v>Non Dis Bulk Order</v>
      </c>
    </row>
    <row r="181" spans="1:24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5">
        <v>15920.42</v>
      </c>
      <c r="P181" s="1">
        <f t="shared" si="18"/>
        <v>17689.36</v>
      </c>
      <c r="Q181" s="1" t="str">
        <f t="shared" si="19"/>
        <v>Yes</v>
      </c>
      <c r="R181" s="1" t="str">
        <f t="shared" si="20"/>
        <v>Yes</v>
      </c>
      <c r="S181" s="1" t="str">
        <f t="shared" si="21"/>
        <v>Yes</v>
      </c>
      <c r="T181" s="1" t="str">
        <f t="shared" si="22"/>
        <v>Normal</v>
      </c>
      <c r="U181" s="1" t="str">
        <f t="shared" si="23"/>
        <v>No</v>
      </c>
      <c r="V181" s="5" t="str">
        <f t="shared" si="24"/>
        <v>No</v>
      </c>
      <c r="W181" s="1" t="str">
        <f t="shared" si="25"/>
        <v>Regular</v>
      </c>
      <c r="X181" s="1" t="str">
        <f t="shared" si="26"/>
        <v>Non Dis Bulk Order</v>
      </c>
    </row>
    <row r="182" spans="1:24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5">
        <v>9317.52</v>
      </c>
      <c r="P182" s="1">
        <f t="shared" si="18"/>
        <v>11646.900000000001</v>
      </c>
      <c r="Q182" s="1" t="str">
        <f t="shared" si="19"/>
        <v>No</v>
      </c>
      <c r="R182" s="1" t="str">
        <f t="shared" si="20"/>
        <v>No</v>
      </c>
      <c r="S182" s="1" t="str">
        <f t="shared" si="21"/>
        <v>Yes</v>
      </c>
      <c r="T182" s="1" t="str">
        <f t="shared" si="22"/>
        <v>Normal</v>
      </c>
      <c r="U182" s="1" t="str">
        <f t="shared" si="23"/>
        <v>No</v>
      </c>
      <c r="V182" s="5" t="str">
        <f t="shared" si="24"/>
        <v>No</v>
      </c>
      <c r="W182" s="1" t="str">
        <f t="shared" si="25"/>
        <v>Regular</v>
      </c>
      <c r="X182" s="1" t="str">
        <f t="shared" si="26"/>
        <v>Discounted</v>
      </c>
    </row>
    <row r="183" spans="1:24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5">
        <v>11563.74</v>
      </c>
      <c r="P183" s="1">
        <f t="shared" si="18"/>
        <v>12172.36</v>
      </c>
      <c r="Q183" s="1" t="str">
        <f t="shared" si="19"/>
        <v>No</v>
      </c>
      <c r="R183" s="1" t="str">
        <f t="shared" si="20"/>
        <v>No</v>
      </c>
      <c r="S183" s="1" t="str">
        <f t="shared" si="21"/>
        <v>Yes</v>
      </c>
      <c r="T183" s="1" t="str">
        <f t="shared" si="22"/>
        <v>Normal</v>
      </c>
      <c r="U183" s="1" t="str">
        <f t="shared" si="23"/>
        <v>Yes</v>
      </c>
      <c r="V183" s="5" t="str">
        <f t="shared" si="24"/>
        <v>Yes</v>
      </c>
      <c r="W183" s="1" t="str">
        <f t="shared" si="25"/>
        <v>Regular</v>
      </c>
      <c r="X183" s="1" t="str">
        <f t="shared" si="26"/>
        <v>Discounted</v>
      </c>
    </row>
    <row r="184" spans="1:24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5">
        <v>3685.19</v>
      </c>
      <c r="P184" s="1">
        <f t="shared" si="18"/>
        <v>4606.4900000000007</v>
      </c>
      <c r="Q184" s="1" t="str">
        <f t="shared" si="19"/>
        <v>No</v>
      </c>
      <c r="R184" s="1" t="str">
        <f t="shared" si="20"/>
        <v>No</v>
      </c>
      <c r="S184" s="1" t="str">
        <f t="shared" si="21"/>
        <v>No</v>
      </c>
      <c r="T184" s="1" t="str">
        <f t="shared" si="22"/>
        <v>Normal</v>
      </c>
      <c r="U184" s="1" t="str">
        <f t="shared" si="23"/>
        <v>No</v>
      </c>
      <c r="V184" s="5" t="str">
        <f t="shared" si="24"/>
        <v>No</v>
      </c>
      <c r="W184" s="1" t="str">
        <f t="shared" si="25"/>
        <v>Regular</v>
      </c>
      <c r="X184" s="1" t="str">
        <f t="shared" si="26"/>
        <v>Discounted</v>
      </c>
    </row>
    <row r="185" spans="1:24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5">
        <v>9034.44</v>
      </c>
      <c r="P185" s="1">
        <f t="shared" si="18"/>
        <v>10628.75</v>
      </c>
      <c r="Q185" s="1" t="str">
        <f t="shared" si="19"/>
        <v>No</v>
      </c>
      <c r="R185" s="1" t="str">
        <f t="shared" si="20"/>
        <v>No</v>
      </c>
      <c r="S185" s="1" t="str">
        <f t="shared" si="21"/>
        <v>Yes</v>
      </c>
      <c r="T185" s="1" t="str">
        <f t="shared" si="22"/>
        <v>Normal</v>
      </c>
      <c r="U185" s="1" t="str">
        <f t="shared" si="23"/>
        <v>No</v>
      </c>
      <c r="V185" s="5" t="str">
        <f t="shared" si="24"/>
        <v>No</v>
      </c>
      <c r="W185" s="1" t="str">
        <f t="shared" si="25"/>
        <v>Regular</v>
      </c>
      <c r="X185" s="1" t="str">
        <f t="shared" si="26"/>
        <v>Discounted</v>
      </c>
    </row>
    <row r="186" spans="1:24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5">
        <v>6290.34</v>
      </c>
      <c r="P186" s="1">
        <f t="shared" si="18"/>
        <v>6290.34</v>
      </c>
      <c r="Q186" s="1" t="str">
        <f t="shared" si="19"/>
        <v>No</v>
      </c>
      <c r="R186" s="1" t="str">
        <f t="shared" si="20"/>
        <v>No</v>
      </c>
      <c r="S186" s="1" t="str">
        <f t="shared" si="21"/>
        <v>Yes</v>
      </c>
      <c r="T186" s="1" t="str">
        <f t="shared" si="22"/>
        <v>Normal</v>
      </c>
      <c r="U186" s="1" t="str">
        <f t="shared" si="23"/>
        <v>No</v>
      </c>
      <c r="V186" s="5" t="str">
        <f t="shared" si="24"/>
        <v>No</v>
      </c>
      <c r="W186" s="1" t="str">
        <f t="shared" si="25"/>
        <v>Regular</v>
      </c>
      <c r="X186" s="1" t="str">
        <f t="shared" si="26"/>
        <v>Discounted</v>
      </c>
    </row>
    <row r="187" spans="1:24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5">
        <v>508.81</v>
      </c>
      <c r="P187" s="1">
        <f t="shared" si="18"/>
        <v>508.81</v>
      </c>
      <c r="Q187" s="1" t="str">
        <f t="shared" si="19"/>
        <v>No</v>
      </c>
      <c r="R187" s="1" t="str">
        <f t="shared" si="20"/>
        <v>No</v>
      </c>
      <c r="S187" s="1" t="str">
        <f t="shared" si="21"/>
        <v>No</v>
      </c>
      <c r="T187" s="1" t="str">
        <f t="shared" si="22"/>
        <v>Special attention</v>
      </c>
      <c r="U187" s="1" t="str">
        <f t="shared" si="23"/>
        <v>No</v>
      </c>
      <c r="V187" s="5" t="str">
        <f t="shared" si="24"/>
        <v>No</v>
      </c>
      <c r="W187" s="1" t="str">
        <f t="shared" si="25"/>
        <v>Regular</v>
      </c>
      <c r="X187" s="1" t="str">
        <f t="shared" si="26"/>
        <v>Discounted</v>
      </c>
    </row>
    <row r="188" spans="1:24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5">
        <v>1557.37</v>
      </c>
      <c r="P188" s="1">
        <f t="shared" si="18"/>
        <v>1730.41</v>
      </c>
      <c r="Q188" s="1" t="str">
        <f t="shared" si="19"/>
        <v>No</v>
      </c>
      <c r="R188" s="1" t="str">
        <f t="shared" si="20"/>
        <v>No</v>
      </c>
      <c r="S188" s="1" t="str">
        <f t="shared" si="21"/>
        <v>Yes</v>
      </c>
      <c r="T188" s="1" t="str">
        <f t="shared" si="22"/>
        <v>Normal</v>
      </c>
      <c r="U188" s="1" t="str">
        <f t="shared" si="23"/>
        <v>No</v>
      </c>
      <c r="V188" s="5" t="str">
        <f t="shared" si="24"/>
        <v>No</v>
      </c>
      <c r="W188" s="1" t="str">
        <f t="shared" si="25"/>
        <v>Regular</v>
      </c>
      <c r="X188" s="1" t="str">
        <f t="shared" si="26"/>
        <v>Discounted</v>
      </c>
    </row>
    <row r="189" spans="1:24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5">
        <v>2102.89</v>
      </c>
      <c r="P189" s="1">
        <f t="shared" si="18"/>
        <v>2336.5500000000002</v>
      </c>
      <c r="Q189" s="1" t="str">
        <f t="shared" si="19"/>
        <v>No</v>
      </c>
      <c r="R189" s="1" t="str">
        <f t="shared" si="20"/>
        <v>No</v>
      </c>
      <c r="S189" s="1" t="str">
        <f t="shared" si="21"/>
        <v>Yes</v>
      </c>
      <c r="T189" s="1" t="str">
        <f t="shared" si="22"/>
        <v>Normal</v>
      </c>
      <c r="U189" s="1" t="str">
        <f t="shared" si="23"/>
        <v>No</v>
      </c>
      <c r="V189" s="5" t="str">
        <f t="shared" si="24"/>
        <v>No</v>
      </c>
      <c r="W189" s="1" t="str">
        <f t="shared" si="25"/>
        <v>Regular</v>
      </c>
      <c r="X189" s="1" t="str">
        <f t="shared" si="26"/>
        <v>Discounted</v>
      </c>
    </row>
    <row r="190" spans="1:24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5">
        <v>1806.95</v>
      </c>
      <c r="P190" s="1">
        <f t="shared" si="18"/>
        <v>2007.72</v>
      </c>
      <c r="Q190" s="1" t="str">
        <f t="shared" si="19"/>
        <v>No</v>
      </c>
      <c r="R190" s="1" t="str">
        <f t="shared" si="20"/>
        <v>No</v>
      </c>
      <c r="S190" s="1" t="str">
        <f t="shared" si="21"/>
        <v>Yes</v>
      </c>
      <c r="T190" s="1" t="str">
        <f t="shared" si="22"/>
        <v>Normal</v>
      </c>
      <c r="U190" s="1" t="str">
        <f t="shared" si="23"/>
        <v>No</v>
      </c>
      <c r="V190" s="5" t="str">
        <f t="shared" si="24"/>
        <v>No</v>
      </c>
      <c r="W190" s="1" t="str">
        <f t="shared" si="25"/>
        <v>Regular</v>
      </c>
      <c r="X190" s="1" t="str">
        <f t="shared" si="26"/>
        <v>Discounted</v>
      </c>
    </row>
    <row r="191" spans="1:24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5">
        <v>2607.92</v>
      </c>
      <c r="P191" s="1">
        <f t="shared" si="18"/>
        <v>2745.18</v>
      </c>
      <c r="Q191" s="1" t="str">
        <f t="shared" si="19"/>
        <v>No</v>
      </c>
      <c r="R191" s="1" t="str">
        <f t="shared" si="20"/>
        <v>No</v>
      </c>
      <c r="S191" s="1" t="str">
        <f t="shared" si="21"/>
        <v>No</v>
      </c>
      <c r="T191" s="1" t="str">
        <f t="shared" si="22"/>
        <v>Normal</v>
      </c>
      <c r="U191" s="1" t="str">
        <f t="shared" si="23"/>
        <v>No</v>
      </c>
      <c r="V191" s="5" t="str">
        <f t="shared" si="24"/>
        <v>No</v>
      </c>
      <c r="W191" s="1" t="str">
        <f t="shared" si="25"/>
        <v>Regular</v>
      </c>
      <c r="X191" s="1" t="str">
        <f t="shared" si="26"/>
        <v>Discounted</v>
      </c>
    </row>
    <row r="192" spans="1:24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5">
        <v>6834.47</v>
      </c>
      <c r="P192" s="1">
        <f t="shared" si="18"/>
        <v>8040.5500000000011</v>
      </c>
      <c r="Q192" s="1" t="str">
        <f t="shared" si="19"/>
        <v>No</v>
      </c>
      <c r="R192" s="1" t="str">
        <f t="shared" si="20"/>
        <v>No</v>
      </c>
      <c r="S192" s="1" t="str">
        <f t="shared" si="21"/>
        <v>No</v>
      </c>
      <c r="T192" s="1" t="str">
        <f t="shared" si="22"/>
        <v>Normal</v>
      </c>
      <c r="U192" s="1" t="str">
        <f t="shared" si="23"/>
        <v>No</v>
      </c>
      <c r="V192" s="5" t="str">
        <f t="shared" si="24"/>
        <v>No</v>
      </c>
      <c r="W192" s="1" t="str">
        <f t="shared" si="25"/>
        <v>Regular</v>
      </c>
      <c r="X192" s="1" t="str">
        <f t="shared" si="26"/>
        <v>Discounted</v>
      </c>
    </row>
    <row r="193" spans="1:24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5">
        <v>828.29</v>
      </c>
      <c r="P193" s="1">
        <f t="shared" si="18"/>
        <v>974.46</v>
      </c>
      <c r="Q193" s="1" t="str">
        <f t="shared" si="19"/>
        <v>No</v>
      </c>
      <c r="R193" s="1" t="str">
        <f t="shared" si="20"/>
        <v>No</v>
      </c>
      <c r="S193" s="1" t="str">
        <f t="shared" si="21"/>
        <v>No</v>
      </c>
      <c r="T193" s="1" t="str">
        <f t="shared" si="22"/>
        <v>Special attention</v>
      </c>
      <c r="U193" s="1" t="str">
        <f t="shared" si="23"/>
        <v>No</v>
      </c>
      <c r="V193" s="5" t="str">
        <f t="shared" si="24"/>
        <v>No</v>
      </c>
      <c r="W193" s="1" t="str">
        <f t="shared" si="25"/>
        <v>Regular</v>
      </c>
      <c r="X193" s="1" t="str">
        <f t="shared" si="26"/>
        <v>Discounted</v>
      </c>
    </row>
    <row r="194" spans="1:24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5">
        <v>1687.01</v>
      </c>
      <c r="P194" s="1">
        <f t="shared" si="18"/>
        <v>1984.72</v>
      </c>
      <c r="Q194" s="1" t="str">
        <f t="shared" si="19"/>
        <v>No</v>
      </c>
      <c r="R194" s="1" t="str">
        <f t="shared" si="20"/>
        <v>No</v>
      </c>
      <c r="S194" s="1" t="str">
        <f t="shared" si="21"/>
        <v>No</v>
      </c>
      <c r="T194" s="1" t="str">
        <f t="shared" si="22"/>
        <v>Normal</v>
      </c>
      <c r="U194" s="1" t="str">
        <f t="shared" si="23"/>
        <v>No</v>
      </c>
      <c r="V194" s="5" t="str">
        <f t="shared" si="24"/>
        <v>No</v>
      </c>
      <c r="W194" s="1" t="str">
        <f t="shared" si="25"/>
        <v>Regular</v>
      </c>
      <c r="X194" s="1" t="str">
        <f t="shared" si="26"/>
        <v>Discounted</v>
      </c>
    </row>
    <row r="195" spans="1:24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5">
        <v>1519.82</v>
      </c>
      <c r="P195" s="1">
        <f t="shared" ref="P195:P258" si="27">L195*M195</f>
        <v>1788.02</v>
      </c>
      <c r="Q195" s="1" t="str">
        <f t="shared" ref="Q195:Q258" si="28">IF(AND(L195&gt;5,O195&gt;10000),"Yes","No")</f>
        <v>No</v>
      </c>
      <c r="R195" s="1" t="str">
        <f t="shared" ref="R195:R258" si="29">IF(AND(L195&gt;=8,N195&gt;=10),"Yes","No")</f>
        <v>No</v>
      </c>
      <c r="S195" s="1" t="str">
        <f t="shared" ref="S195:S258" si="30">IF(OR(G195="Mobile App",G195="Website"),"Yes","No")</f>
        <v>Yes</v>
      </c>
      <c r="T195" s="1" t="str">
        <f t="shared" ref="T195:T258" si="31">IF(AND(L195&lt;3,O195&lt;1000),"Special attention","Normal")</f>
        <v>Normal</v>
      </c>
      <c r="U195" s="1" t="str">
        <f t="shared" ref="U195:U258" si="32">IF(NOT(G195="Website"),"No","Yes")</f>
        <v>Yes</v>
      </c>
      <c r="V195" s="5" t="str">
        <f t="shared" ref="V195:V258" si="33">IF(G195&lt;&gt;"Website","No","Yes")</f>
        <v>Yes</v>
      </c>
      <c r="W195" s="1" t="str">
        <f t="shared" ref="W195:W258" si="34">IF(AND(O195&gt;15000,OR(I195="Electronics",I195="Beauty")),"Premium","Regular")</f>
        <v>Regular</v>
      </c>
      <c r="X195" s="1" t="str">
        <f t="shared" ref="X195:X258" si="35">IF(AND(L195&gt;=8,NOT(N195=0%)),"Non Dis Bulk Order","Discounted")</f>
        <v>Discounted</v>
      </c>
    </row>
    <row r="196" spans="1:24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5">
        <v>1861.11</v>
      </c>
      <c r="P196" s="1">
        <f t="shared" si="27"/>
        <v>2067.8999999999996</v>
      </c>
      <c r="Q196" s="1" t="str">
        <f t="shared" si="28"/>
        <v>No</v>
      </c>
      <c r="R196" s="1" t="str">
        <f t="shared" si="29"/>
        <v>No</v>
      </c>
      <c r="S196" s="1" t="str">
        <f t="shared" si="30"/>
        <v>Yes</v>
      </c>
      <c r="T196" s="1" t="str">
        <f t="shared" si="31"/>
        <v>Normal</v>
      </c>
      <c r="U196" s="1" t="str">
        <f t="shared" si="32"/>
        <v>No</v>
      </c>
      <c r="V196" s="5" t="str">
        <f t="shared" si="33"/>
        <v>No</v>
      </c>
      <c r="W196" s="1" t="str">
        <f t="shared" si="34"/>
        <v>Regular</v>
      </c>
      <c r="X196" s="1" t="str">
        <f t="shared" si="35"/>
        <v>Discounted</v>
      </c>
    </row>
    <row r="197" spans="1:24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5">
        <v>20494.88</v>
      </c>
      <c r="P197" s="1">
        <f t="shared" si="27"/>
        <v>20494.88</v>
      </c>
      <c r="Q197" s="1" t="str">
        <f t="shared" si="28"/>
        <v>Yes</v>
      </c>
      <c r="R197" s="1" t="str">
        <f t="shared" si="29"/>
        <v>No</v>
      </c>
      <c r="S197" s="1" t="str">
        <f t="shared" si="30"/>
        <v>No</v>
      </c>
      <c r="T197" s="1" t="str">
        <f t="shared" si="31"/>
        <v>Normal</v>
      </c>
      <c r="U197" s="1" t="str">
        <f t="shared" si="32"/>
        <v>No</v>
      </c>
      <c r="V197" s="5" t="str">
        <f t="shared" si="33"/>
        <v>No</v>
      </c>
      <c r="W197" s="1" t="str">
        <f t="shared" si="34"/>
        <v>Premium</v>
      </c>
      <c r="X197" s="1" t="str">
        <f t="shared" si="35"/>
        <v>Discounted</v>
      </c>
    </row>
    <row r="198" spans="1:24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5">
        <v>4522.3599999999997</v>
      </c>
      <c r="P198" s="1">
        <f t="shared" si="27"/>
        <v>5024.84</v>
      </c>
      <c r="Q198" s="1" t="str">
        <f t="shared" si="28"/>
        <v>No</v>
      </c>
      <c r="R198" s="1" t="str">
        <f t="shared" si="29"/>
        <v>No</v>
      </c>
      <c r="S198" s="1" t="str">
        <f t="shared" si="30"/>
        <v>Yes</v>
      </c>
      <c r="T198" s="1" t="str">
        <f t="shared" si="31"/>
        <v>Normal</v>
      </c>
      <c r="U198" s="1" t="str">
        <f t="shared" si="32"/>
        <v>No</v>
      </c>
      <c r="V198" s="5" t="str">
        <f t="shared" si="33"/>
        <v>No</v>
      </c>
      <c r="W198" s="1" t="str">
        <f t="shared" si="34"/>
        <v>Regular</v>
      </c>
      <c r="X198" s="1" t="str">
        <f t="shared" si="35"/>
        <v>Discounted</v>
      </c>
    </row>
    <row r="199" spans="1:24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5">
        <v>5214.84</v>
      </c>
      <c r="P199" s="1">
        <f t="shared" si="27"/>
        <v>6135.1</v>
      </c>
      <c r="Q199" s="1" t="str">
        <f t="shared" si="28"/>
        <v>No</v>
      </c>
      <c r="R199" s="1" t="str">
        <f t="shared" si="29"/>
        <v>No</v>
      </c>
      <c r="S199" s="1" t="str">
        <f t="shared" si="30"/>
        <v>Yes</v>
      </c>
      <c r="T199" s="1" t="str">
        <f t="shared" si="31"/>
        <v>Normal</v>
      </c>
      <c r="U199" s="1" t="str">
        <f t="shared" si="32"/>
        <v>No</v>
      </c>
      <c r="V199" s="5" t="str">
        <f t="shared" si="33"/>
        <v>No</v>
      </c>
      <c r="W199" s="1" t="str">
        <f t="shared" si="34"/>
        <v>Regular</v>
      </c>
      <c r="X199" s="1" t="str">
        <f t="shared" si="35"/>
        <v>Discounted</v>
      </c>
    </row>
    <row r="200" spans="1:24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5">
        <v>5141.4799999999996</v>
      </c>
      <c r="P200" s="1">
        <f t="shared" si="27"/>
        <v>5712.76</v>
      </c>
      <c r="Q200" s="1" t="str">
        <f t="shared" si="28"/>
        <v>No</v>
      </c>
      <c r="R200" s="1" t="str">
        <f t="shared" si="29"/>
        <v>No</v>
      </c>
      <c r="S200" s="1" t="str">
        <f t="shared" si="30"/>
        <v>Yes</v>
      </c>
      <c r="T200" s="1" t="str">
        <f t="shared" si="31"/>
        <v>Normal</v>
      </c>
      <c r="U200" s="1" t="str">
        <f t="shared" si="32"/>
        <v>Yes</v>
      </c>
      <c r="V200" s="5" t="str">
        <f t="shared" si="33"/>
        <v>Yes</v>
      </c>
      <c r="W200" s="1" t="str">
        <f t="shared" si="34"/>
        <v>Regular</v>
      </c>
      <c r="X200" s="1" t="str">
        <f t="shared" si="35"/>
        <v>Discounted</v>
      </c>
    </row>
    <row r="201" spans="1:24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5">
        <v>6889.51</v>
      </c>
      <c r="P201" s="1">
        <f t="shared" si="27"/>
        <v>8105.3099999999995</v>
      </c>
      <c r="Q201" s="1" t="str">
        <f t="shared" si="28"/>
        <v>No</v>
      </c>
      <c r="R201" s="1" t="str">
        <f t="shared" si="29"/>
        <v>No</v>
      </c>
      <c r="S201" s="1" t="str">
        <f t="shared" si="30"/>
        <v>No</v>
      </c>
      <c r="T201" s="1" t="str">
        <f t="shared" si="31"/>
        <v>Normal</v>
      </c>
      <c r="U201" s="1" t="str">
        <f t="shared" si="32"/>
        <v>No</v>
      </c>
      <c r="V201" s="5" t="str">
        <f t="shared" si="33"/>
        <v>No</v>
      </c>
      <c r="W201" s="1" t="str">
        <f t="shared" si="34"/>
        <v>Regular</v>
      </c>
      <c r="X201" s="1" t="str">
        <f t="shared" si="35"/>
        <v>Discounted</v>
      </c>
    </row>
    <row r="202" spans="1:24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5">
        <v>14007.76</v>
      </c>
      <c r="P202" s="1">
        <f t="shared" si="27"/>
        <v>17509.7</v>
      </c>
      <c r="Q202" s="1" t="str">
        <f t="shared" si="28"/>
        <v>No</v>
      </c>
      <c r="R202" s="1" t="str">
        <f t="shared" si="29"/>
        <v>No</v>
      </c>
      <c r="S202" s="1" t="str">
        <f t="shared" si="30"/>
        <v>No</v>
      </c>
      <c r="T202" s="1" t="str">
        <f t="shared" si="31"/>
        <v>Normal</v>
      </c>
      <c r="U202" s="1" t="str">
        <f t="shared" si="32"/>
        <v>No</v>
      </c>
      <c r="V202" s="5" t="str">
        <f t="shared" si="33"/>
        <v>No</v>
      </c>
      <c r="W202" s="1" t="str">
        <f t="shared" si="34"/>
        <v>Regular</v>
      </c>
      <c r="X202" s="1" t="str">
        <f t="shared" si="35"/>
        <v>Discounted</v>
      </c>
    </row>
    <row r="203" spans="1:24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5">
        <v>27652.32</v>
      </c>
      <c r="P203" s="1">
        <f t="shared" si="27"/>
        <v>27652.32</v>
      </c>
      <c r="Q203" s="1" t="str">
        <f t="shared" si="28"/>
        <v>Yes</v>
      </c>
      <c r="R203" s="1" t="str">
        <f t="shared" si="29"/>
        <v>No</v>
      </c>
      <c r="S203" s="1" t="str">
        <f t="shared" si="30"/>
        <v>Yes</v>
      </c>
      <c r="T203" s="1" t="str">
        <f t="shared" si="31"/>
        <v>Normal</v>
      </c>
      <c r="U203" s="1" t="str">
        <f t="shared" si="32"/>
        <v>No</v>
      </c>
      <c r="V203" s="5" t="str">
        <f t="shared" si="33"/>
        <v>No</v>
      </c>
      <c r="W203" s="1" t="str">
        <f t="shared" si="34"/>
        <v>Regular</v>
      </c>
      <c r="X203" s="1" t="str">
        <f t="shared" si="35"/>
        <v>Discounted</v>
      </c>
    </row>
    <row r="204" spans="1:24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5">
        <v>18886.34</v>
      </c>
      <c r="P204" s="1">
        <f t="shared" si="27"/>
        <v>23607.919999999998</v>
      </c>
      <c r="Q204" s="1" t="str">
        <f t="shared" si="28"/>
        <v>Yes</v>
      </c>
      <c r="R204" s="1" t="str">
        <f t="shared" si="29"/>
        <v>Yes</v>
      </c>
      <c r="S204" s="1" t="str">
        <f t="shared" si="30"/>
        <v>No</v>
      </c>
      <c r="T204" s="1" t="str">
        <f t="shared" si="31"/>
        <v>Normal</v>
      </c>
      <c r="U204" s="1" t="str">
        <f t="shared" si="32"/>
        <v>No</v>
      </c>
      <c r="V204" s="5" t="str">
        <f t="shared" si="33"/>
        <v>No</v>
      </c>
      <c r="W204" s="1" t="str">
        <f t="shared" si="34"/>
        <v>Premium</v>
      </c>
      <c r="X204" s="1" t="str">
        <f t="shared" si="35"/>
        <v>Non Dis Bulk Order</v>
      </c>
    </row>
    <row r="205" spans="1:24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5">
        <v>15313.32</v>
      </c>
      <c r="P205" s="1">
        <f t="shared" si="27"/>
        <v>16119.28</v>
      </c>
      <c r="Q205" s="1" t="str">
        <f t="shared" si="28"/>
        <v>Yes</v>
      </c>
      <c r="R205" s="1" t="str">
        <f t="shared" si="29"/>
        <v>No</v>
      </c>
      <c r="S205" s="1" t="str">
        <f t="shared" si="30"/>
        <v>Yes</v>
      </c>
      <c r="T205" s="1" t="str">
        <f t="shared" si="31"/>
        <v>Normal</v>
      </c>
      <c r="U205" s="1" t="str">
        <f t="shared" si="32"/>
        <v>No</v>
      </c>
      <c r="V205" s="5" t="str">
        <f t="shared" si="33"/>
        <v>No</v>
      </c>
      <c r="W205" s="1" t="str">
        <f t="shared" si="34"/>
        <v>Regular</v>
      </c>
      <c r="X205" s="1" t="str">
        <f t="shared" si="35"/>
        <v>Non Dis Bulk Order</v>
      </c>
    </row>
    <row r="206" spans="1:24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5">
        <v>20312.28</v>
      </c>
      <c r="P206" s="1">
        <f t="shared" si="27"/>
        <v>22569.200000000001</v>
      </c>
      <c r="Q206" s="1" t="str">
        <f t="shared" si="28"/>
        <v>Yes</v>
      </c>
      <c r="R206" s="1" t="str">
        <f t="shared" si="29"/>
        <v>Yes</v>
      </c>
      <c r="S206" s="1" t="str">
        <f t="shared" si="30"/>
        <v>Yes</v>
      </c>
      <c r="T206" s="1" t="str">
        <f t="shared" si="31"/>
        <v>Normal</v>
      </c>
      <c r="U206" s="1" t="str">
        <f t="shared" si="32"/>
        <v>No</v>
      </c>
      <c r="V206" s="5" t="str">
        <f t="shared" si="33"/>
        <v>No</v>
      </c>
      <c r="W206" s="1" t="str">
        <f t="shared" si="34"/>
        <v>Premium</v>
      </c>
      <c r="X206" s="1" t="str">
        <f t="shared" si="35"/>
        <v>Non Dis Bulk Order</v>
      </c>
    </row>
    <row r="207" spans="1:24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5">
        <v>17313.86</v>
      </c>
      <c r="P207" s="1">
        <f t="shared" si="27"/>
        <v>18225.12</v>
      </c>
      <c r="Q207" s="1" t="str">
        <f t="shared" si="28"/>
        <v>Yes</v>
      </c>
      <c r="R207" s="1" t="str">
        <f t="shared" si="29"/>
        <v>No</v>
      </c>
      <c r="S207" s="1" t="str">
        <f t="shared" si="30"/>
        <v>Yes</v>
      </c>
      <c r="T207" s="1" t="str">
        <f t="shared" si="31"/>
        <v>Normal</v>
      </c>
      <c r="U207" s="1" t="str">
        <f t="shared" si="32"/>
        <v>Yes</v>
      </c>
      <c r="V207" s="5" t="str">
        <f t="shared" si="33"/>
        <v>Yes</v>
      </c>
      <c r="W207" s="1" t="str">
        <f t="shared" si="34"/>
        <v>Regular</v>
      </c>
      <c r="X207" s="1" t="str">
        <f t="shared" si="35"/>
        <v>Non Dis Bulk Order</v>
      </c>
    </row>
    <row r="208" spans="1:24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5">
        <v>6190.13</v>
      </c>
      <c r="P208" s="1">
        <f t="shared" si="27"/>
        <v>6877.92</v>
      </c>
      <c r="Q208" s="1" t="str">
        <f t="shared" si="28"/>
        <v>No</v>
      </c>
      <c r="R208" s="1" t="str">
        <f t="shared" si="29"/>
        <v>No</v>
      </c>
      <c r="S208" s="1" t="str">
        <f t="shared" si="30"/>
        <v>Yes</v>
      </c>
      <c r="T208" s="1" t="str">
        <f t="shared" si="31"/>
        <v>Normal</v>
      </c>
      <c r="U208" s="1" t="str">
        <f t="shared" si="32"/>
        <v>Yes</v>
      </c>
      <c r="V208" s="5" t="str">
        <f t="shared" si="33"/>
        <v>Yes</v>
      </c>
      <c r="W208" s="1" t="str">
        <f t="shared" si="34"/>
        <v>Regular</v>
      </c>
      <c r="X208" s="1" t="str">
        <f t="shared" si="35"/>
        <v>Discounted</v>
      </c>
    </row>
    <row r="209" spans="1:24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5">
        <v>6099.65</v>
      </c>
      <c r="P209" s="1">
        <f t="shared" si="27"/>
        <v>7624.56</v>
      </c>
      <c r="Q209" s="1" t="str">
        <f t="shared" si="28"/>
        <v>No</v>
      </c>
      <c r="R209" s="1" t="str">
        <f t="shared" si="29"/>
        <v>Yes</v>
      </c>
      <c r="S209" s="1" t="str">
        <f t="shared" si="30"/>
        <v>Yes</v>
      </c>
      <c r="T209" s="1" t="str">
        <f t="shared" si="31"/>
        <v>Normal</v>
      </c>
      <c r="U209" s="1" t="str">
        <f t="shared" si="32"/>
        <v>Yes</v>
      </c>
      <c r="V209" s="5" t="str">
        <f t="shared" si="33"/>
        <v>Yes</v>
      </c>
      <c r="W209" s="1" t="str">
        <f t="shared" si="34"/>
        <v>Regular</v>
      </c>
      <c r="X209" s="1" t="str">
        <f t="shared" si="35"/>
        <v>Non Dis Bulk Order</v>
      </c>
    </row>
    <row r="210" spans="1:24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5">
        <v>8779.5499999999993</v>
      </c>
      <c r="P210" s="1">
        <f t="shared" si="27"/>
        <v>10328.879999999999</v>
      </c>
      <c r="Q210" s="1" t="str">
        <f t="shared" si="28"/>
        <v>No</v>
      </c>
      <c r="R210" s="1" t="str">
        <f t="shared" si="29"/>
        <v>Yes</v>
      </c>
      <c r="S210" s="1" t="str">
        <f t="shared" si="30"/>
        <v>Yes</v>
      </c>
      <c r="T210" s="1" t="str">
        <f t="shared" si="31"/>
        <v>Normal</v>
      </c>
      <c r="U210" s="1" t="str">
        <f t="shared" si="32"/>
        <v>No</v>
      </c>
      <c r="V210" s="5" t="str">
        <f t="shared" si="33"/>
        <v>No</v>
      </c>
      <c r="W210" s="1" t="str">
        <f t="shared" si="34"/>
        <v>Regular</v>
      </c>
      <c r="X210" s="1" t="str">
        <f t="shared" si="35"/>
        <v>Non Dis Bulk Order</v>
      </c>
    </row>
    <row r="211" spans="1:24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5">
        <v>24864.81</v>
      </c>
      <c r="P211" s="1">
        <f t="shared" si="27"/>
        <v>29252.720000000001</v>
      </c>
      <c r="Q211" s="1" t="str">
        <f t="shared" si="28"/>
        <v>Yes</v>
      </c>
      <c r="R211" s="1" t="str">
        <f t="shared" si="29"/>
        <v>Yes</v>
      </c>
      <c r="S211" s="1" t="str">
        <f t="shared" si="30"/>
        <v>No</v>
      </c>
      <c r="T211" s="1" t="str">
        <f t="shared" si="31"/>
        <v>Normal</v>
      </c>
      <c r="U211" s="1" t="str">
        <f t="shared" si="32"/>
        <v>No</v>
      </c>
      <c r="V211" s="5" t="str">
        <f t="shared" si="33"/>
        <v>No</v>
      </c>
      <c r="W211" s="1" t="str">
        <f t="shared" si="34"/>
        <v>Regular</v>
      </c>
      <c r="X211" s="1" t="str">
        <f t="shared" si="35"/>
        <v>Non Dis Bulk Order</v>
      </c>
    </row>
    <row r="212" spans="1:24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5">
        <v>14222.56</v>
      </c>
      <c r="P212" s="1">
        <f t="shared" si="27"/>
        <v>15802.850000000002</v>
      </c>
      <c r="Q212" s="1" t="str">
        <f t="shared" si="28"/>
        <v>Yes</v>
      </c>
      <c r="R212" s="1" t="str">
        <f t="shared" si="29"/>
        <v>No</v>
      </c>
      <c r="S212" s="1" t="str">
        <f t="shared" si="30"/>
        <v>Yes</v>
      </c>
      <c r="T212" s="1" t="str">
        <f t="shared" si="31"/>
        <v>Normal</v>
      </c>
      <c r="U212" s="1" t="str">
        <f t="shared" si="32"/>
        <v>Yes</v>
      </c>
      <c r="V212" s="5" t="str">
        <f t="shared" si="33"/>
        <v>Yes</v>
      </c>
      <c r="W212" s="1" t="str">
        <f t="shared" si="34"/>
        <v>Regular</v>
      </c>
      <c r="X212" s="1" t="str">
        <f t="shared" si="35"/>
        <v>Discounted</v>
      </c>
    </row>
    <row r="213" spans="1:24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5">
        <v>2529.21</v>
      </c>
      <c r="P213" s="1">
        <f t="shared" si="27"/>
        <v>2975.54</v>
      </c>
      <c r="Q213" s="1" t="str">
        <f t="shared" si="28"/>
        <v>No</v>
      </c>
      <c r="R213" s="1" t="str">
        <f t="shared" si="29"/>
        <v>No</v>
      </c>
      <c r="S213" s="1" t="str">
        <f t="shared" si="30"/>
        <v>No</v>
      </c>
      <c r="T213" s="1" t="str">
        <f t="shared" si="31"/>
        <v>Normal</v>
      </c>
      <c r="U213" s="1" t="str">
        <f t="shared" si="32"/>
        <v>No</v>
      </c>
      <c r="V213" s="5" t="str">
        <f t="shared" si="33"/>
        <v>No</v>
      </c>
      <c r="W213" s="1" t="str">
        <f t="shared" si="34"/>
        <v>Regular</v>
      </c>
      <c r="X213" s="1" t="str">
        <f t="shared" si="35"/>
        <v>Discounted</v>
      </c>
    </row>
    <row r="214" spans="1:24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5">
        <v>4749.6000000000004</v>
      </c>
      <c r="P214" s="1">
        <f t="shared" si="27"/>
        <v>5937</v>
      </c>
      <c r="Q214" s="1" t="str">
        <f t="shared" si="28"/>
        <v>No</v>
      </c>
      <c r="R214" s="1" t="str">
        <f t="shared" si="29"/>
        <v>No</v>
      </c>
      <c r="S214" s="1" t="str">
        <f t="shared" si="30"/>
        <v>Yes</v>
      </c>
      <c r="T214" s="1" t="str">
        <f t="shared" si="31"/>
        <v>Normal</v>
      </c>
      <c r="U214" s="1" t="str">
        <f t="shared" si="32"/>
        <v>Yes</v>
      </c>
      <c r="V214" s="5" t="str">
        <f t="shared" si="33"/>
        <v>Yes</v>
      </c>
      <c r="W214" s="1" t="str">
        <f t="shared" si="34"/>
        <v>Regular</v>
      </c>
      <c r="X214" s="1" t="str">
        <f t="shared" si="35"/>
        <v>Discounted</v>
      </c>
    </row>
    <row r="215" spans="1:24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5">
        <v>5847.01</v>
      </c>
      <c r="P215" s="1">
        <f t="shared" si="27"/>
        <v>6878.84</v>
      </c>
      <c r="Q215" s="1" t="str">
        <f t="shared" si="28"/>
        <v>No</v>
      </c>
      <c r="R215" s="1" t="str">
        <f t="shared" si="29"/>
        <v>No</v>
      </c>
      <c r="S215" s="1" t="str">
        <f t="shared" si="30"/>
        <v>Yes</v>
      </c>
      <c r="T215" s="1" t="str">
        <f t="shared" si="31"/>
        <v>Normal</v>
      </c>
      <c r="U215" s="1" t="str">
        <f t="shared" si="32"/>
        <v>Yes</v>
      </c>
      <c r="V215" s="5" t="str">
        <f t="shared" si="33"/>
        <v>Yes</v>
      </c>
      <c r="W215" s="1" t="str">
        <f t="shared" si="34"/>
        <v>Regular</v>
      </c>
      <c r="X215" s="1" t="str">
        <f t="shared" si="35"/>
        <v>Discounted</v>
      </c>
    </row>
    <row r="216" spans="1:24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5">
        <v>2533.7199999999998</v>
      </c>
      <c r="P216" s="1">
        <f t="shared" si="27"/>
        <v>3167.1499999999996</v>
      </c>
      <c r="Q216" s="1" t="str">
        <f t="shared" si="28"/>
        <v>No</v>
      </c>
      <c r="R216" s="1" t="str">
        <f t="shared" si="29"/>
        <v>No</v>
      </c>
      <c r="S216" s="1" t="str">
        <f t="shared" si="30"/>
        <v>Yes</v>
      </c>
      <c r="T216" s="1" t="str">
        <f t="shared" si="31"/>
        <v>Normal</v>
      </c>
      <c r="U216" s="1" t="str">
        <f t="shared" si="32"/>
        <v>No</v>
      </c>
      <c r="V216" s="5" t="str">
        <f t="shared" si="33"/>
        <v>No</v>
      </c>
      <c r="W216" s="1" t="str">
        <f t="shared" si="34"/>
        <v>Regular</v>
      </c>
      <c r="X216" s="1" t="str">
        <f t="shared" si="35"/>
        <v>Discounted</v>
      </c>
    </row>
    <row r="217" spans="1:24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5">
        <v>4614.09</v>
      </c>
      <c r="P217" s="1">
        <f t="shared" si="27"/>
        <v>4856.9400000000005</v>
      </c>
      <c r="Q217" s="1" t="str">
        <f t="shared" si="28"/>
        <v>No</v>
      </c>
      <c r="R217" s="1" t="str">
        <f t="shared" si="29"/>
        <v>No</v>
      </c>
      <c r="S217" s="1" t="str">
        <f t="shared" si="30"/>
        <v>Yes</v>
      </c>
      <c r="T217" s="1" t="str">
        <f t="shared" si="31"/>
        <v>Normal</v>
      </c>
      <c r="U217" s="1" t="str">
        <f t="shared" si="32"/>
        <v>Yes</v>
      </c>
      <c r="V217" s="5" t="str">
        <f t="shared" si="33"/>
        <v>Yes</v>
      </c>
      <c r="W217" s="1" t="str">
        <f t="shared" si="34"/>
        <v>Regular</v>
      </c>
      <c r="X217" s="1" t="str">
        <f t="shared" si="35"/>
        <v>Discounted</v>
      </c>
    </row>
    <row r="218" spans="1:24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5">
        <v>10673.02</v>
      </c>
      <c r="P218" s="1">
        <f t="shared" si="27"/>
        <v>13341.28</v>
      </c>
      <c r="Q218" s="1" t="str">
        <f t="shared" si="28"/>
        <v>No</v>
      </c>
      <c r="R218" s="1" t="str">
        <f t="shared" si="29"/>
        <v>No</v>
      </c>
      <c r="S218" s="1" t="str">
        <f t="shared" si="30"/>
        <v>Yes</v>
      </c>
      <c r="T218" s="1" t="str">
        <f t="shared" si="31"/>
        <v>Normal</v>
      </c>
      <c r="U218" s="1" t="str">
        <f t="shared" si="32"/>
        <v>Yes</v>
      </c>
      <c r="V218" s="5" t="str">
        <f t="shared" si="33"/>
        <v>Yes</v>
      </c>
      <c r="W218" s="1" t="str">
        <f t="shared" si="34"/>
        <v>Regular</v>
      </c>
      <c r="X218" s="1" t="str">
        <f t="shared" si="35"/>
        <v>Discounted</v>
      </c>
    </row>
    <row r="219" spans="1:24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5">
        <v>4803.26</v>
      </c>
      <c r="P219" s="1">
        <f t="shared" si="27"/>
        <v>4803.26</v>
      </c>
      <c r="Q219" s="1" t="str">
        <f t="shared" si="28"/>
        <v>No</v>
      </c>
      <c r="R219" s="1" t="str">
        <f t="shared" si="29"/>
        <v>No</v>
      </c>
      <c r="S219" s="1" t="str">
        <f t="shared" si="30"/>
        <v>Yes</v>
      </c>
      <c r="T219" s="1" t="str">
        <f t="shared" si="31"/>
        <v>Normal</v>
      </c>
      <c r="U219" s="1" t="str">
        <f t="shared" si="32"/>
        <v>No</v>
      </c>
      <c r="V219" s="5" t="str">
        <f t="shared" si="33"/>
        <v>No</v>
      </c>
      <c r="W219" s="1" t="str">
        <f t="shared" si="34"/>
        <v>Regular</v>
      </c>
      <c r="X219" s="1" t="str">
        <f t="shared" si="35"/>
        <v>Discounted</v>
      </c>
    </row>
    <row r="220" spans="1:24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5">
        <v>8697</v>
      </c>
      <c r="P220" s="1">
        <f t="shared" si="27"/>
        <v>8697</v>
      </c>
      <c r="Q220" s="1" t="str">
        <f t="shared" si="28"/>
        <v>No</v>
      </c>
      <c r="R220" s="1" t="str">
        <f t="shared" si="29"/>
        <v>No</v>
      </c>
      <c r="S220" s="1" t="str">
        <f t="shared" si="30"/>
        <v>No</v>
      </c>
      <c r="T220" s="1" t="str">
        <f t="shared" si="31"/>
        <v>Normal</v>
      </c>
      <c r="U220" s="1" t="str">
        <f t="shared" si="32"/>
        <v>No</v>
      </c>
      <c r="V220" s="5" t="str">
        <f t="shared" si="33"/>
        <v>No</v>
      </c>
      <c r="W220" s="1" t="str">
        <f t="shared" si="34"/>
        <v>Regular</v>
      </c>
      <c r="X220" s="1" t="str">
        <f t="shared" si="35"/>
        <v>Discounted</v>
      </c>
    </row>
    <row r="221" spans="1:24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5">
        <v>25927.84</v>
      </c>
      <c r="P221" s="1">
        <f t="shared" si="27"/>
        <v>25927.84</v>
      </c>
      <c r="Q221" s="1" t="str">
        <f t="shared" si="28"/>
        <v>Yes</v>
      </c>
      <c r="R221" s="1" t="str">
        <f t="shared" si="29"/>
        <v>No</v>
      </c>
      <c r="S221" s="1" t="str">
        <f t="shared" si="30"/>
        <v>Yes</v>
      </c>
      <c r="T221" s="1" t="str">
        <f t="shared" si="31"/>
        <v>Normal</v>
      </c>
      <c r="U221" s="1" t="str">
        <f t="shared" si="32"/>
        <v>Yes</v>
      </c>
      <c r="V221" s="5" t="str">
        <f t="shared" si="33"/>
        <v>Yes</v>
      </c>
      <c r="W221" s="1" t="str">
        <f t="shared" si="34"/>
        <v>Regular</v>
      </c>
      <c r="X221" s="1" t="str">
        <f t="shared" si="35"/>
        <v>Discounted</v>
      </c>
    </row>
    <row r="222" spans="1:24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5">
        <v>7913.52</v>
      </c>
      <c r="P222" s="1">
        <f t="shared" si="27"/>
        <v>8792.7999999999993</v>
      </c>
      <c r="Q222" s="1" t="str">
        <f t="shared" si="28"/>
        <v>No</v>
      </c>
      <c r="R222" s="1" t="str">
        <f t="shared" si="29"/>
        <v>Yes</v>
      </c>
      <c r="S222" s="1" t="str">
        <f t="shared" si="30"/>
        <v>Yes</v>
      </c>
      <c r="T222" s="1" t="str">
        <f t="shared" si="31"/>
        <v>Normal</v>
      </c>
      <c r="U222" s="1" t="str">
        <f t="shared" si="32"/>
        <v>No</v>
      </c>
      <c r="V222" s="5" t="str">
        <f t="shared" si="33"/>
        <v>No</v>
      </c>
      <c r="W222" s="1" t="str">
        <f t="shared" si="34"/>
        <v>Regular</v>
      </c>
      <c r="X222" s="1" t="str">
        <f t="shared" si="35"/>
        <v>Non Dis Bulk Order</v>
      </c>
    </row>
    <row r="223" spans="1:24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5">
        <v>24618.7</v>
      </c>
      <c r="P223" s="1">
        <f t="shared" si="27"/>
        <v>27354.11</v>
      </c>
      <c r="Q223" s="1" t="str">
        <f t="shared" si="28"/>
        <v>Yes</v>
      </c>
      <c r="R223" s="1" t="str">
        <f t="shared" si="29"/>
        <v>No</v>
      </c>
      <c r="S223" s="1" t="str">
        <f t="shared" si="30"/>
        <v>Yes</v>
      </c>
      <c r="T223" s="1" t="str">
        <f t="shared" si="31"/>
        <v>Normal</v>
      </c>
      <c r="U223" s="1" t="str">
        <f t="shared" si="32"/>
        <v>Yes</v>
      </c>
      <c r="V223" s="5" t="str">
        <f t="shared" si="33"/>
        <v>Yes</v>
      </c>
      <c r="W223" s="1" t="str">
        <f t="shared" si="34"/>
        <v>Premium</v>
      </c>
      <c r="X223" s="1" t="str">
        <f t="shared" si="35"/>
        <v>Discounted</v>
      </c>
    </row>
    <row r="224" spans="1:24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5">
        <v>7978.77</v>
      </c>
      <c r="P224" s="1">
        <f t="shared" si="27"/>
        <v>8865.2999999999993</v>
      </c>
      <c r="Q224" s="1" t="str">
        <f t="shared" si="28"/>
        <v>No</v>
      </c>
      <c r="R224" s="1" t="str">
        <f t="shared" si="29"/>
        <v>No</v>
      </c>
      <c r="S224" s="1" t="str">
        <f t="shared" si="30"/>
        <v>Yes</v>
      </c>
      <c r="T224" s="1" t="str">
        <f t="shared" si="31"/>
        <v>Normal</v>
      </c>
      <c r="U224" s="1" t="str">
        <f t="shared" si="32"/>
        <v>No</v>
      </c>
      <c r="V224" s="5" t="str">
        <f t="shared" si="33"/>
        <v>No</v>
      </c>
      <c r="W224" s="1" t="str">
        <f t="shared" si="34"/>
        <v>Regular</v>
      </c>
      <c r="X224" s="1" t="str">
        <f t="shared" si="35"/>
        <v>Discounted</v>
      </c>
    </row>
    <row r="225" spans="1:24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5">
        <v>2317.84</v>
      </c>
      <c r="P225" s="1">
        <f t="shared" si="27"/>
        <v>2897.3</v>
      </c>
      <c r="Q225" s="1" t="str">
        <f t="shared" si="28"/>
        <v>No</v>
      </c>
      <c r="R225" s="1" t="str">
        <f t="shared" si="29"/>
        <v>No</v>
      </c>
      <c r="S225" s="1" t="str">
        <f t="shared" si="30"/>
        <v>No</v>
      </c>
      <c r="T225" s="1" t="str">
        <f t="shared" si="31"/>
        <v>Normal</v>
      </c>
      <c r="U225" s="1" t="str">
        <f t="shared" si="32"/>
        <v>No</v>
      </c>
      <c r="V225" s="5" t="str">
        <f t="shared" si="33"/>
        <v>No</v>
      </c>
      <c r="W225" s="1" t="str">
        <f t="shared" si="34"/>
        <v>Regular</v>
      </c>
      <c r="X225" s="1" t="str">
        <f t="shared" si="35"/>
        <v>Discounted</v>
      </c>
    </row>
    <row r="226" spans="1:24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5">
        <v>8510.42</v>
      </c>
      <c r="P226" s="1">
        <f t="shared" si="27"/>
        <v>9456.0199999999986</v>
      </c>
      <c r="Q226" s="1" t="str">
        <f t="shared" si="28"/>
        <v>No</v>
      </c>
      <c r="R226" s="1" t="str">
        <f t="shared" si="29"/>
        <v>No</v>
      </c>
      <c r="S226" s="1" t="str">
        <f t="shared" si="30"/>
        <v>No</v>
      </c>
      <c r="T226" s="1" t="str">
        <f t="shared" si="31"/>
        <v>Normal</v>
      </c>
      <c r="U226" s="1" t="str">
        <f t="shared" si="32"/>
        <v>No</v>
      </c>
      <c r="V226" s="5" t="str">
        <f t="shared" si="33"/>
        <v>No</v>
      </c>
      <c r="W226" s="1" t="str">
        <f t="shared" si="34"/>
        <v>Regular</v>
      </c>
      <c r="X226" s="1" t="str">
        <f t="shared" si="35"/>
        <v>Discounted</v>
      </c>
    </row>
    <row r="227" spans="1:24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5">
        <v>2945.62</v>
      </c>
      <c r="P227" s="1">
        <f t="shared" si="27"/>
        <v>3100.65</v>
      </c>
      <c r="Q227" s="1" t="str">
        <f t="shared" si="28"/>
        <v>No</v>
      </c>
      <c r="R227" s="1" t="str">
        <f t="shared" si="29"/>
        <v>No</v>
      </c>
      <c r="S227" s="1" t="str">
        <f t="shared" si="30"/>
        <v>Yes</v>
      </c>
      <c r="T227" s="1" t="str">
        <f t="shared" si="31"/>
        <v>Normal</v>
      </c>
      <c r="U227" s="1" t="str">
        <f t="shared" si="32"/>
        <v>No</v>
      </c>
      <c r="V227" s="5" t="str">
        <f t="shared" si="33"/>
        <v>No</v>
      </c>
      <c r="W227" s="1" t="str">
        <f t="shared" si="34"/>
        <v>Regular</v>
      </c>
      <c r="X227" s="1" t="str">
        <f t="shared" si="35"/>
        <v>Discounted</v>
      </c>
    </row>
    <row r="228" spans="1:24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5">
        <v>3467.28</v>
      </c>
      <c r="P228" s="1">
        <f t="shared" si="27"/>
        <v>3467.2799999999997</v>
      </c>
      <c r="Q228" s="1" t="str">
        <f t="shared" si="28"/>
        <v>No</v>
      </c>
      <c r="R228" s="1" t="str">
        <f t="shared" si="29"/>
        <v>No</v>
      </c>
      <c r="S228" s="1" t="str">
        <f t="shared" si="30"/>
        <v>Yes</v>
      </c>
      <c r="T228" s="1" t="str">
        <f t="shared" si="31"/>
        <v>Normal</v>
      </c>
      <c r="U228" s="1" t="str">
        <f t="shared" si="32"/>
        <v>No</v>
      </c>
      <c r="V228" s="5" t="str">
        <f t="shared" si="33"/>
        <v>No</v>
      </c>
      <c r="W228" s="1" t="str">
        <f t="shared" si="34"/>
        <v>Regular</v>
      </c>
      <c r="X228" s="1" t="str">
        <f t="shared" si="35"/>
        <v>Discounted</v>
      </c>
    </row>
    <row r="229" spans="1:24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5">
        <v>16929.28</v>
      </c>
      <c r="P229" s="1">
        <f t="shared" si="27"/>
        <v>21161.599999999999</v>
      </c>
      <c r="Q229" s="1" t="str">
        <f t="shared" si="28"/>
        <v>Yes</v>
      </c>
      <c r="R229" s="1" t="str">
        <f t="shared" si="29"/>
        <v>Yes</v>
      </c>
      <c r="S229" s="1" t="str">
        <f t="shared" si="30"/>
        <v>Yes</v>
      </c>
      <c r="T229" s="1" t="str">
        <f t="shared" si="31"/>
        <v>Normal</v>
      </c>
      <c r="U229" s="1" t="str">
        <f t="shared" si="32"/>
        <v>No</v>
      </c>
      <c r="V229" s="5" t="str">
        <f t="shared" si="33"/>
        <v>No</v>
      </c>
      <c r="W229" s="1" t="str">
        <f t="shared" si="34"/>
        <v>Regular</v>
      </c>
      <c r="X229" s="1" t="str">
        <f t="shared" si="35"/>
        <v>Non Dis Bulk Order</v>
      </c>
    </row>
    <row r="230" spans="1:24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5">
        <v>28153.599999999999</v>
      </c>
      <c r="P230" s="1">
        <f t="shared" si="27"/>
        <v>28153.599999999999</v>
      </c>
      <c r="Q230" s="1" t="str">
        <f t="shared" si="28"/>
        <v>Yes</v>
      </c>
      <c r="R230" s="1" t="str">
        <f t="shared" si="29"/>
        <v>No</v>
      </c>
      <c r="S230" s="1" t="str">
        <f t="shared" si="30"/>
        <v>No</v>
      </c>
      <c r="T230" s="1" t="str">
        <f t="shared" si="31"/>
        <v>Normal</v>
      </c>
      <c r="U230" s="1" t="str">
        <f t="shared" si="32"/>
        <v>No</v>
      </c>
      <c r="V230" s="5" t="str">
        <f t="shared" si="33"/>
        <v>No</v>
      </c>
      <c r="W230" s="1" t="str">
        <f t="shared" si="34"/>
        <v>Premium</v>
      </c>
      <c r="X230" s="1" t="str">
        <f t="shared" si="35"/>
        <v>Discounted</v>
      </c>
    </row>
    <row r="231" spans="1:24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5">
        <v>8622.4500000000007</v>
      </c>
      <c r="P231" s="1">
        <f t="shared" si="27"/>
        <v>9580.5</v>
      </c>
      <c r="Q231" s="1" t="str">
        <f t="shared" si="28"/>
        <v>No</v>
      </c>
      <c r="R231" s="1" t="str">
        <f t="shared" si="29"/>
        <v>No</v>
      </c>
      <c r="S231" s="1" t="str">
        <f t="shared" si="30"/>
        <v>Yes</v>
      </c>
      <c r="T231" s="1" t="str">
        <f t="shared" si="31"/>
        <v>Normal</v>
      </c>
      <c r="U231" s="1" t="str">
        <f t="shared" si="32"/>
        <v>Yes</v>
      </c>
      <c r="V231" s="5" t="str">
        <f t="shared" si="33"/>
        <v>Yes</v>
      </c>
      <c r="W231" s="1" t="str">
        <f t="shared" si="34"/>
        <v>Regular</v>
      </c>
      <c r="X231" s="1" t="str">
        <f t="shared" si="35"/>
        <v>Discounted</v>
      </c>
    </row>
    <row r="232" spans="1:24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5">
        <v>3882.26</v>
      </c>
      <c r="P232" s="1">
        <f t="shared" si="27"/>
        <v>4852.82</v>
      </c>
      <c r="Q232" s="1" t="str">
        <f t="shared" si="28"/>
        <v>No</v>
      </c>
      <c r="R232" s="1" t="str">
        <f t="shared" si="29"/>
        <v>No</v>
      </c>
      <c r="S232" s="1" t="str">
        <f t="shared" si="30"/>
        <v>No</v>
      </c>
      <c r="T232" s="1" t="str">
        <f t="shared" si="31"/>
        <v>Normal</v>
      </c>
      <c r="U232" s="1" t="str">
        <f t="shared" si="32"/>
        <v>No</v>
      </c>
      <c r="V232" s="5" t="str">
        <f t="shared" si="33"/>
        <v>No</v>
      </c>
      <c r="W232" s="1" t="str">
        <f t="shared" si="34"/>
        <v>Regular</v>
      </c>
      <c r="X232" s="1" t="str">
        <f t="shared" si="35"/>
        <v>Discounted</v>
      </c>
    </row>
    <row r="233" spans="1:24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5">
        <v>1912.92</v>
      </c>
      <c r="P233" s="1">
        <f t="shared" si="27"/>
        <v>2250.4899999999998</v>
      </c>
      <c r="Q233" s="1" t="str">
        <f t="shared" si="28"/>
        <v>No</v>
      </c>
      <c r="R233" s="1" t="str">
        <f t="shared" si="29"/>
        <v>No</v>
      </c>
      <c r="S233" s="1" t="str">
        <f t="shared" si="30"/>
        <v>Yes</v>
      </c>
      <c r="T233" s="1" t="str">
        <f t="shared" si="31"/>
        <v>Normal</v>
      </c>
      <c r="U233" s="1" t="str">
        <f t="shared" si="32"/>
        <v>No</v>
      </c>
      <c r="V233" s="5" t="str">
        <f t="shared" si="33"/>
        <v>No</v>
      </c>
      <c r="W233" s="1" t="str">
        <f t="shared" si="34"/>
        <v>Regular</v>
      </c>
      <c r="X233" s="1" t="str">
        <f t="shared" si="35"/>
        <v>Discounted</v>
      </c>
    </row>
    <row r="234" spans="1:24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5">
        <v>528.70000000000005</v>
      </c>
      <c r="P234" s="1">
        <f t="shared" si="27"/>
        <v>556.53</v>
      </c>
      <c r="Q234" s="1" t="str">
        <f t="shared" si="28"/>
        <v>No</v>
      </c>
      <c r="R234" s="1" t="str">
        <f t="shared" si="29"/>
        <v>No</v>
      </c>
      <c r="S234" s="1" t="str">
        <f t="shared" si="30"/>
        <v>Yes</v>
      </c>
      <c r="T234" s="1" t="str">
        <f t="shared" si="31"/>
        <v>Special attention</v>
      </c>
      <c r="U234" s="1" t="str">
        <f t="shared" si="32"/>
        <v>No</v>
      </c>
      <c r="V234" s="5" t="str">
        <f t="shared" si="33"/>
        <v>No</v>
      </c>
      <c r="W234" s="1" t="str">
        <f t="shared" si="34"/>
        <v>Regular</v>
      </c>
      <c r="X234" s="1" t="str">
        <f t="shared" si="35"/>
        <v>Discounted</v>
      </c>
    </row>
    <row r="235" spans="1:24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5">
        <v>2043.59</v>
      </c>
      <c r="P235" s="1">
        <f t="shared" si="27"/>
        <v>2270.66</v>
      </c>
      <c r="Q235" s="1" t="str">
        <f t="shared" si="28"/>
        <v>No</v>
      </c>
      <c r="R235" s="1" t="str">
        <f t="shared" si="29"/>
        <v>No</v>
      </c>
      <c r="S235" s="1" t="str">
        <f t="shared" si="30"/>
        <v>No</v>
      </c>
      <c r="T235" s="1" t="str">
        <f t="shared" si="31"/>
        <v>Normal</v>
      </c>
      <c r="U235" s="1" t="str">
        <f t="shared" si="32"/>
        <v>No</v>
      </c>
      <c r="V235" s="5" t="str">
        <f t="shared" si="33"/>
        <v>No</v>
      </c>
      <c r="W235" s="1" t="str">
        <f t="shared" si="34"/>
        <v>Regular</v>
      </c>
      <c r="X235" s="1" t="str">
        <f t="shared" si="35"/>
        <v>Discounted</v>
      </c>
    </row>
    <row r="236" spans="1:24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5">
        <v>21684.43</v>
      </c>
      <c r="P236" s="1">
        <f t="shared" si="27"/>
        <v>24093.81</v>
      </c>
      <c r="Q236" s="1" t="str">
        <f t="shared" si="28"/>
        <v>Yes</v>
      </c>
      <c r="R236" s="1" t="str">
        <f t="shared" si="29"/>
        <v>Yes</v>
      </c>
      <c r="S236" s="1" t="str">
        <f t="shared" si="30"/>
        <v>Yes</v>
      </c>
      <c r="T236" s="1" t="str">
        <f t="shared" si="31"/>
        <v>Normal</v>
      </c>
      <c r="U236" s="1" t="str">
        <f t="shared" si="32"/>
        <v>No</v>
      </c>
      <c r="V236" s="5" t="str">
        <f t="shared" si="33"/>
        <v>No</v>
      </c>
      <c r="W236" s="1" t="str">
        <f t="shared" si="34"/>
        <v>Premium</v>
      </c>
      <c r="X236" s="1" t="str">
        <f t="shared" si="35"/>
        <v>Non Dis Bulk Order</v>
      </c>
    </row>
    <row r="237" spans="1:24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5">
        <v>14698.76</v>
      </c>
      <c r="P237" s="1">
        <f t="shared" si="27"/>
        <v>15472.380000000001</v>
      </c>
      <c r="Q237" s="1" t="str">
        <f t="shared" si="28"/>
        <v>Yes</v>
      </c>
      <c r="R237" s="1" t="str">
        <f t="shared" si="29"/>
        <v>No</v>
      </c>
      <c r="S237" s="1" t="str">
        <f t="shared" si="30"/>
        <v>No</v>
      </c>
      <c r="T237" s="1" t="str">
        <f t="shared" si="31"/>
        <v>Normal</v>
      </c>
      <c r="U237" s="1" t="str">
        <f t="shared" si="32"/>
        <v>No</v>
      </c>
      <c r="V237" s="5" t="str">
        <f t="shared" si="33"/>
        <v>No</v>
      </c>
      <c r="W237" s="1" t="str">
        <f t="shared" si="34"/>
        <v>Regular</v>
      </c>
      <c r="X237" s="1" t="str">
        <f t="shared" si="35"/>
        <v>Discounted</v>
      </c>
    </row>
    <row r="238" spans="1:24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5">
        <v>2212.5</v>
      </c>
      <c r="P238" s="1">
        <f t="shared" si="27"/>
        <v>2328.9500000000003</v>
      </c>
      <c r="Q238" s="1" t="str">
        <f t="shared" si="28"/>
        <v>No</v>
      </c>
      <c r="R238" s="1" t="str">
        <f t="shared" si="29"/>
        <v>No</v>
      </c>
      <c r="S238" s="1" t="str">
        <f t="shared" si="30"/>
        <v>Yes</v>
      </c>
      <c r="T238" s="1" t="str">
        <f t="shared" si="31"/>
        <v>Normal</v>
      </c>
      <c r="U238" s="1" t="str">
        <f t="shared" si="32"/>
        <v>No</v>
      </c>
      <c r="V238" s="5" t="str">
        <f t="shared" si="33"/>
        <v>No</v>
      </c>
      <c r="W238" s="1" t="str">
        <f t="shared" si="34"/>
        <v>Regular</v>
      </c>
      <c r="X238" s="1" t="str">
        <f t="shared" si="35"/>
        <v>Discounted</v>
      </c>
    </row>
    <row r="239" spans="1:24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5">
        <v>1934.74</v>
      </c>
      <c r="P239" s="1">
        <f t="shared" si="27"/>
        <v>2276.16</v>
      </c>
      <c r="Q239" s="1" t="str">
        <f t="shared" si="28"/>
        <v>No</v>
      </c>
      <c r="R239" s="1" t="str">
        <f t="shared" si="29"/>
        <v>Yes</v>
      </c>
      <c r="S239" s="1" t="str">
        <f t="shared" si="30"/>
        <v>Yes</v>
      </c>
      <c r="T239" s="1" t="str">
        <f t="shared" si="31"/>
        <v>Normal</v>
      </c>
      <c r="U239" s="1" t="str">
        <f t="shared" si="32"/>
        <v>Yes</v>
      </c>
      <c r="V239" s="5" t="str">
        <f t="shared" si="33"/>
        <v>Yes</v>
      </c>
      <c r="W239" s="1" t="str">
        <f t="shared" si="34"/>
        <v>Regular</v>
      </c>
      <c r="X239" s="1" t="str">
        <f t="shared" si="35"/>
        <v>Non Dis Bulk Order</v>
      </c>
    </row>
    <row r="240" spans="1:24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5">
        <v>7129.01</v>
      </c>
      <c r="P240" s="1">
        <f t="shared" si="27"/>
        <v>7921.12</v>
      </c>
      <c r="Q240" s="1" t="str">
        <f t="shared" si="28"/>
        <v>No</v>
      </c>
      <c r="R240" s="1" t="str">
        <f t="shared" si="29"/>
        <v>No</v>
      </c>
      <c r="S240" s="1" t="str">
        <f t="shared" si="30"/>
        <v>Yes</v>
      </c>
      <c r="T240" s="1" t="str">
        <f t="shared" si="31"/>
        <v>Normal</v>
      </c>
      <c r="U240" s="1" t="str">
        <f t="shared" si="32"/>
        <v>Yes</v>
      </c>
      <c r="V240" s="5" t="str">
        <f t="shared" si="33"/>
        <v>Yes</v>
      </c>
      <c r="W240" s="1" t="str">
        <f t="shared" si="34"/>
        <v>Regular</v>
      </c>
      <c r="X240" s="1" t="str">
        <f t="shared" si="35"/>
        <v>Discounted</v>
      </c>
    </row>
    <row r="241" spans="1:24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5">
        <v>2151.1999999999998</v>
      </c>
      <c r="P241" s="1">
        <f t="shared" si="27"/>
        <v>2390.2199999999998</v>
      </c>
      <c r="Q241" s="1" t="str">
        <f t="shared" si="28"/>
        <v>No</v>
      </c>
      <c r="R241" s="1" t="str">
        <f t="shared" si="29"/>
        <v>Yes</v>
      </c>
      <c r="S241" s="1" t="str">
        <f t="shared" si="30"/>
        <v>Yes</v>
      </c>
      <c r="T241" s="1" t="str">
        <f t="shared" si="31"/>
        <v>Normal</v>
      </c>
      <c r="U241" s="1" t="str">
        <f t="shared" si="32"/>
        <v>No</v>
      </c>
      <c r="V241" s="5" t="str">
        <f t="shared" si="33"/>
        <v>No</v>
      </c>
      <c r="W241" s="1" t="str">
        <f t="shared" si="34"/>
        <v>Regular</v>
      </c>
      <c r="X241" s="1" t="str">
        <f t="shared" si="35"/>
        <v>Non Dis Bulk Order</v>
      </c>
    </row>
    <row r="242" spans="1:24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5">
        <v>11168.58</v>
      </c>
      <c r="P242" s="1">
        <f t="shared" si="27"/>
        <v>11168.58</v>
      </c>
      <c r="Q242" s="1" t="str">
        <f t="shared" si="28"/>
        <v>Yes</v>
      </c>
      <c r="R242" s="1" t="str">
        <f t="shared" si="29"/>
        <v>No</v>
      </c>
      <c r="S242" s="1" t="str">
        <f t="shared" si="30"/>
        <v>No</v>
      </c>
      <c r="T242" s="1" t="str">
        <f t="shared" si="31"/>
        <v>Normal</v>
      </c>
      <c r="U242" s="1" t="str">
        <f t="shared" si="32"/>
        <v>No</v>
      </c>
      <c r="V242" s="5" t="str">
        <f t="shared" si="33"/>
        <v>No</v>
      </c>
      <c r="W242" s="1" t="str">
        <f t="shared" si="34"/>
        <v>Regular</v>
      </c>
      <c r="X242" s="1" t="str">
        <f t="shared" si="35"/>
        <v>Discounted</v>
      </c>
    </row>
    <row r="243" spans="1:24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5">
        <v>15068.02</v>
      </c>
      <c r="P243" s="1">
        <f t="shared" si="27"/>
        <v>18835.02</v>
      </c>
      <c r="Q243" s="1" t="str">
        <f t="shared" si="28"/>
        <v>Yes</v>
      </c>
      <c r="R243" s="1" t="str">
        <f t="shared" si="29"/>
        <v>Yes</v>
      </c>
      <c r="S243" s="1" t="str">
        <f t="shared" si="30"/>
        <v>Yes</v>
      </c>
      <c r="T243" s="1" t="str">
        <f t="shared" si="31"/>
        <v>Normal</v>
      </c>
      <c r="U243" s="1" t="str">
        <f t="shared" si="32"/>
        <v>Yes</v>
      </c>
      <c r="V243" s="5" t="str">
        <f t="shared" si="33"/>
        <v>Yes</v>
      </c>
      <c r="W243" s="1" t="str">
        <f t="shared" si="34"/>
        <v>Premium</v>
      </c>
      <c r="X243" s="1" t="str">
        <f t="shared" si="35"/>
        <v>Non Dis Bulk Order</v>
      </c>
    </row>
    <row r="244" spans="1:24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5">
        <v>962.45</v>
      </c>
      <c r="P244" s="1">
        <f t="shared" si="27"/>
        <v>1203.06</v>
      </c>
      <c r="Q244" s="1" t="str">
        <f t="shared" si="28"/>
        <v>No</v>
      </c>
      <c r="R244" s="1" t="str">
        <f t="shared" si="29"/>
        <v>No</v>
      </c>
      <c r="S244" s="1" t="str">
        <f t="shared" si="30"/>
        <v>No</v>
      </c>
      <c r="T244" s="1" t="str">
        <f t="shared" si="31"/>
        <v>Special attention</v>
      </c>
      <c r="U244" s="1" t="str">
        <f t="shared" si="32"/>
        <v>No</v>
      </c>
      <c r="V244" s="5" t="str">
        <f t="shared" si="33"/>
        <v>No</v>
      </c>
      <c r="W244" s="1" t="str">
        <f t="shared" si="34"/>
        <v>Regular</v>
      </c>
      <c r="X244" s="1" t="str">
        <f t="shared" si="35"/>
        <v>Discounted</v>
      </c>
    </row>
    <row r="245" spans="1:24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5">
        <v>2402.67</v>
      </c>
      <c r="P245" s="1">
        <f t="shared" si="27"/>
        <v>2402.67</v>
      </c>
      <c r="Q245" s="1" t="str">
        <f t="shared" si="28"/>
        <v>No</v>
      </c>
      <c r="R245" s="1" t="str">
        <f t="shared" si="29"/>
        <v>No</v>
      </c>
      <c r="S245" s="1" t="str">
        <f t="shared" si="30"/>
        <v>Yes</v>
      </c>
      <c r="T245" s="1" t="str">
        <f t="shared" si="31"/>
        <v>Normal</v>
      </c>
      <c r="U245" s="1" t="str">
        <f t="shared" si="32"/>
        <v>No</v>
      </c>
      <c r="V245" s="5" t="str">
        <f t="shared" si="33"/>
        <v>No</v>
      </c>
      <c r="W245" s="1" t="str">
        <f t="shared" si="34"/>
        <v>Regular</v>
      </c>
      <c r="X245" s="1" t="str">
        <f t="shared" si="35"/>
        <v>Discounted</v>
      </c>
    </row>
    <row r="246" spans="1:24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5">
        <v>9628.48</v>
      </c>
      <c r="P246" s="1">
        <f t="shared" si="27"/>
        <v>12035.6</v>
      </c>
      <c r="Q246" s="1" t="str">
        <f t="shared" si="28"/>
        <v>No</v>
      </c>
      <c r="R246" s="1" t="str">
        <f t="shared" si="29"/>
        <v>Yes</v>
      </c>
      <c r="S246" s="1" t="str">
        <f t="shared" si="30"/>
        <v>No</v>
      </c>
      <c r="T246" s="1" t="str">
        <f t="shared" si="31"/>
        <v>Normal</v>
      </c>
      <c r="U246" s="1" t="str">
        <f t="shared" si="32"/>
        <v>No</v>
      </c>
      <c r="V246" s="5" t="str">
        <f t="shared" si="33"/>
        <v>No</v>
      </c>
      <c r="W246" s="1" t="str">
        <f t="shared" si="34"/>
        <v>Regular</v>
      </c>
      <c r="X246" s="1" t="str">
        <f t="shared" si="35"/>
        <v>Non Dis Bulk Order</v>
      </c>
    </row>
    <row r="247" spans="1:24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5">
        <v>2928.33</v>
      </c>
      <c r="P247" s="1">
        <f t="shared" si="27"/>
        <v>3082.45</v>
      </c>
      <c r="Q247" s="1" t="str">
        <f t="shared" si="28"/>
        <v>No</v>
      </c>
      <c r="R247" s="1" t="str">
        <f t="shared" si="29"/>
        <v>No</v>
      </c>
      <c r="S247" s="1" t="str">
        <f t="shared" si="30"/>
        <v>Yes</v>
      </c>
      <c r="T247" s="1" t="str">
        <f t="shared" si="31"/>
        <v>Normal</v>
      </c>
      <c r="U247" s="1" t="str">
        <f t="shared" si="32"/>
        <v>Yes</v>
      </c>
      <c r="V247" s="5" t="str">
        <f t="shared" si="33"/>
        <v>Yes</v>
      </c>
      <c r="W247" s="1" t="str">
        <f t="shared" si="34"/>
        <v>Regular</v>
      </c>
      <c r="X247" s="1" t="str">
        <f t="shared" si="35"/>
        <v>Discounted</v>
      </c>
    </row>
    <row r="248" spans="1:24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5">
        <v>11772.71</v>
      </c>
      <c r="P248" s="1">
        <f t="shared" si="27"/>
        <v>14715.89</v>
      </c>
      <c r="Q248" s="1" t="str">
        <f t="shared" si="28"/>
        <v>Yes</v>
      </c>
      <c r="R248" s="1" t="str">
        <f t="shared" si="29"/>
        <v>No</v>
      </c>
      <c r="S248" s="1" t="str">
        <f t="shared" si="30"/>
        <v>No</v>
      </c>
      <c r="T248" s="1" t="str">
        <f t="shared" si="31"/>
        <v>Normal</v>
      </c>
      <c r="U248" s="1" t="str">
        <f t="shared" si="32"/>
        <v>No</v>
      </c>
      <c r="V248" s="5" t="str">
        <f t="shared" si="33"/>
        <v>No</v>
      </c>
      <c r="W248" s="1" t="str">
        <f t="shared" si="34"/>
        <v>Regular</v>
      </c>
      <c r="X248" s="1" t="str">
        <f t="shared" si="35"/>
        <v>Discounted</v>
      </c>
    </row>
    <row r="249" spans="1:24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5">
        <v>14593.15</v>
      </c>
      <c r="P249" s="1">
        <f t="shared" si="27"/>
        <v>18241.440000000002</v>
      </c>
      <c r="Q249" s="1" t="str">
        <f t="shared" si="28"/>
        <v>Yes</v>
      </c>
      <c r="R249" s="1" t="str">
        <f t="shared" si="29"/>
        <v>No</v>
      </c>
      <c r="S249" s="1" t="str">
        <f t="shared" si="30"/>
        <v>No</v>
      </c>
      <c r="T249" s="1" t="str">
        <f t="shared" si="31"/>
        <v>Normal</v>
      </c>
      <c r="U249" s="1" t="str">
        <f t="shared" si="32"/>
        <v>No</v>
      </c>
      <c r="V249" s="5" t="str">
        <f t="shared" si="33"/>
        <v>No</v>
      </c>
      <c r="W249" s="1" t="str">
        <f t="shared" si="34"/>
        <v>Regular</v>
      </c>
      <c r="X249" s="1" t="str">
        <f t="shared" si="35"/>
        <v>Discounted</v>
      </c>
    </row>
    <row r="250" spans="1:24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5">
        <v>3942.92</v>
      </c>
      <c r="P250" s="1">
        <f t="shared" si="27"/>
        <v>3942.92</v>
      </c>
      <c r="Q250" s="1" t="str">
        <f t="shared" si="28"/>
        <v>No</v>
      </c>
      <c r="R250" s="1" t="str">
        <f t="shared" si="29"/>
        <v>No</v>
      </c>
      <c r="S250" s="1" t="str">
        <f t="shared" si="30"/>
        <v>Yes</v>
      </c>
      <c r="T250" s="1" t="str">
        <f t="shared" si="31"/>
        <v>Normal</v>
      </c>
      <c r="U250" s="1" t="str">
        <f t="shared" si="32"/>
        <v>No</v>
      </c>
      <c r="V250" s="5" t="str">
        <f t="shared" si="33"/>
        <v>No</v>
      </c>
      <c r="W250" s="1" t="str">
        <f t="shared" si="34"/>
        <v>Regular</v>
      </c>
      <c r="X250" s="1" t="str">
        <f t="shared" si="35"/>
        <v>Discounted</v>
      </c>
    </row>
    <row r="251" spans="1:24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5">
        <v>23767.17</v>
      </c>
      <c r="P251" s="1">
        <f t="shared" si="27"/>
        <v>27961.38</v>
      </c>
      <c r="Q251" s="1" t="str">
        <f t="shared" si="28"/>
        <v>Yes</v>
      </c>
      <c r="R251" s="1" t="str">
        <f t="shared" si="29"/>
        <v>Yes</v>
      </c>
      <c r="S251" s="1" t="str">
        <f t="shared" si="30"/>
        <v>Yes</v>
      </c>
      <c r="T251" s="1" t="str">
        <f t="shared" si="31"/>
        <v>Normal</v>
      </c>
      <c r="U251" s="1" t="str">
        <f t="shared" si="32"/>
        <v>No</v>
      </c>
      <c r="V251" s="5" t="str">
        <f t="shared" si="33"/>
        <v>No</v>
      </c>
      <c r="W251" s="1" t="str">
        <f t="shared" si="34"/>
        <v>Regular</v>
      </c>
      <c r="X251" s="1" t="str">
        <f t="shared" si="35"/>
        <v>Non Dis Bulk Order</v>
      </c>
    </row>
    <row r="252" spans="1:24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5">
        <v>11662.66</v>
      </c>
      <c r="P252" s="1">
        <f t="shared" si="27"/>
        <v>14578.32</v>
      </c>
      <c r="Q252" s="1" t="str">
        <f t="shared" si="28"/>
        <v>Yes</v>
      </c>
      <c r="R252" s="1" t="str">
        <f t="shared" si="29"/>
        <v>Yes</v>
      </c>
      <c r="S252" s="1" t="str">
        <f t="shared" si="30"/>
        <v>Yes</v>
      </c>
      <c r="T252" s="1" t="str">
        <f t="shared" si="31"/>
        <v>Normal</v>
      </c>
      <c r="U252" s="1" t="str">
        <f t="shared" si="32"/>
        <v>No</v>
      </c>
      <c r="V252" s="5" t="str">
        <f t="shared" si="33"/>
        <v>No</v>
      </c>
      <c r="W252" s="1" t="str">
        <f t="shared" si="34"/>
        <v>Regular</v>
      </c>
      <c r="X252" s="1" t="str">
        <f t="shared" si="35"/>
        <v>Non Dis Bulk Order</v>
      </c>
    </row>
    <row r="253" spans="1:24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5">
        <v>5980.16</v>
      </c>
      <c r="P253" s="1">
        <f t="shared" si="27"/>
        <v>7475.2</v>
      </c>
      <c r="Q253" s="1" t="str">
        <f t="shared" si="28"/>
        <v>No</v>
      </c>
      <c r="R253" s="1" t="str">
        <f t="shared" si="29"/>
        <v>No</v>
      </c>
      <c r="S253" s="1" t="str">
        <f t="shared" si="30"/>
        <v>Yes</v>
      </c>
      <c r="T253" s="1" t="str">
        <f t="shared" si="31"/>
        <v>Normal</v>
      </c>
      <c r="U253" s="1" t="str">
        <f t="shared" si="32"/>
        <v>Yes</v>
      </c>
      <c r="V253" s="5" t="str">
        <f t="shared" si="33"/>
        <v>Yes</v>
      </c>
      <c r="W253" s="1" t="str">
        <f t="shared" si="34"/>
        <v>Regular</v>
      </c>
      <c r="X253" s="1" t="str">
        <f t="shared" si="35"/>
        <v>Discounted</v>
      </c>
    </row>
    <row r="254" spans="1:24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5">
        <v>10762.15</v>
      </c>
      <c r="P254" s="1">
        <f t="shared" si="27"/>
        <v>12661.35</v>
      </c>
      <c r="Q254" s="1" t="str">
        <f t="shared" si="28"/>
        <v>No</v>
      </c>
      <c r="R254" s="1" t="str">
        <f t="shared" si="29"/>
        <v>No</v>
      </c>
      <c r="S254" s="1" t="str">
        <f t="shared" si="30"/>
        <v>Yes</v>
      </c>
      <c r="T254" s="1" t="str">
        <f t="shared" si="31"/>
        <v>Normal</v>
      </c>
      <c r="U254" s="1" t="str">
        <f t="shared" si="32"/>
        <v>Yes</v>
      </c>
      <c r="V254" s="5" t="str">
        <f t="shared" si="33"/>
        <v>Yes</v>
      </c>
      <c r="W254" s="1" t="str">
        <f t="shared" si="34"/>
        <v>Regular</v>
      </c>
      <c r="X254" s="1" t="str">
        <f t="shared" si="35"/>
        <v>Discounted</v>
      </c>
    </row>
    <row r="255" spans="1:24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5">
        <v>5423.32</v>
      </c>
      <c r="P255" s="1">
        <f t="shared" si="27"/>
        <v>5423.32</v>
      </c>
      <c r="Q255" s="1" t="str">
        <f t="shared" si="28"/>
        <v>No</v>
      </c>
      <c r="R255" s="1" t="str">
        <f t="shared" si="29"/>
        <v>No</v>
      </c>
      <c r="S255" s="1" t="str">
        <f t="shared" si="30"/>
        <v>Yes</v>
      </c>
      <c r="T255" s="1" t="str">
        <f t="shared" si="31"/>
        <v>Normal</v>
      </c>
      <c r="U255" s="1" t="str">
        <f t="shared" si="32"/>
        <v>No</v>
      </c>
      <c r="V255" s="5" t="str">
        <f t="shared" si="33"/>
        <v>No</v>
      </c>
      <c r="W255" s="1" t="str">
        <f t="shared" si="34"/>
        <v>Regular</v>
      </c>
      <c r="X255" s="1" t="str">
        <f t="shared" si="35"/>
        <v>Discounted</v>
      </c>
    </row>
    <row r="256" spans="1:24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5">
        <v>15894.71</v>
      </c>
      <c r="P256" s="1">
        <f t="shared" si="27"/>
        <v>18699.659999999996</v>
      </c>
      <c r="Q256" s="1" t="str">
        <f t="shared" si="28"/>
        <v>Yes</v>
      </c>
      <c r="R256" s="1" t="str">
        <f t="shared" si="29"/>
        <v>Yes</v>
      </c>
      <c r="S256" s="1" t="str">
        <f t="shared" si="30"/>
        <v>Yes</v>
      </c>
      <c r="T256" s="1" t="str">
        <f t="shared" si="31"/>
        <v>Normal</v>
      </c>
      <c r="U256" s="1" t="str">
        <f t="shared" si="32"/>
        <v>No</v>
      </c>
      <c r="V256" s="5" t="str">
        <f t="shared" si="33"/>
        <v>No</v>
      </c>
      <c r="W256" s="1" t="str">
        <f t="shared" si="34"/>
        <v>Regular</v>
      </c>
      <c r="X256" s="1" t="str">
        <f t="shared" si="35"/>
        <v>Non Dis Bulk Order</v>
      </c>
    </row>
    <row r="257" spans="1:24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5">
        <v>15796.32</v>
      </c>
      <c r="P257" s="1">
        <f t="shared" si="27"/>
        <v>15796.32</v>
      </c>
      <c r="Q257" s="1" t="str">
        <f t="shared" si="28"/>
        <v>Yes</v>
      </c>
      <c r="R257" s="1" t="str">
        <f t="shared" si="29"/>
        <v>No</v>
      </c>
      <c r="S257" s="1" t="str">
        <f t="shared" si="30"/>
        <v>Yes</v>
      </c>
      <c r="T257" s="1" t="str">
        <f t="shared" si="31"/>
        <v>Normal</v>
      </c>
      <c r="U257" s="1" t="str">
        <f t="shared" si="32"/>
        <v>Yes</v>
      </c>
      <c r="V257" s="5" t="str">
        <f t="shared" si="33"/>
        <v>Yes</v>
      </c>
      <c r="W257" s="1" t="str">
        <f t="shared" si="34"/>
        <v>Regular</v>
      </c>
      <c r="X257" s="1" t="str">
        <f t="shared" si="35"/>
        <v>Discounted</v>
      </c>
    </row>
    <row r="258" spans="1:24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5">
        <v>685.71</v>
      </c>
      <c r="P258" s="1">
        <f t="shared" si="27"/>
        <v>721.8</v>
      </c>
      <c r="Q258" s="1" t="str">
        <f t="shared" si="28"/>
        <v>No</v>
      </c>
      <c r="R258" s="1" t="str">
        <f t="shared" si="29"/>
        <v>No</v>
      </c>
      <c r="S258" s="1" t="str">
        <f t="shared" si="30"/>
        <v>Yes</v>
      </c>
      <c r="T258" s="1" t="str">
        <f t="shared" si="31"/>
        <v>Normal</v>
      </c>
      <c r="U258" s="1" t="str">
        <f t="shared" si="32"/>
        <v>Yes</v>
      </c>
      <c r="V258" s="5" t="str">
        <f t="shared" si="33"/>
        <v>Yes</v>
      </c>
      <c r="W258" s="1" t="str">
        <f t="shared" si="34"/>
        <v>Regular</v>
      </c>
      <c r="X258" s="1" t="str">
        <f t="shared" si="35"/>
        <v>Discounted</v>
      </c>
    </row>
    <row r="259" spans="1:24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5">
        <v>12628.35</v>
      </c>
      <c r="P259" s="1">
        <f t="shared" ref="P259:P322" si="36">L259*M259</f>
        <v>12628.35</v>
      </c>
      <c r="Q259" s="1" t="str">
        <f t="shared" ref="Q259:Q322" si="37">IF(AND(L259&gt;5,O259&gt;10000),"Yes","No")</f>
        <v>Yes</v>
      </c>
      <c r="R259" s="1" t="str">
        <f t="shared" ref="R259:R322" si="38">IF(AND(L259&gt;=8,N259&gt;=10),"Yes","No")</f>
        <v>No</v>
      </c>
      <c r="S259" s="1" t="str">
        <f t="shared" ref="S259:S322" si="39">IF(OR(G259="Mobile App",G259="Website"),"Yes","No")</f>
        <v>Yes</v>
      </c>
      <c r="T259" s="1" t="str">
        <f t="shared" ref="T259:T322" si="40">IF(AND(L259&lt;3,O259&lt;1000),"Special attention","Normal")</f>
        <v>Normal</v>
      </c>
      <c r="U259" s="1" t="str">
        <f t="shared" ref="U259:U322" si="41">IF(NOT(G259="Website"),"No","Yes")</f>
        <v>Yes</v>
      </c>
      <c r="V259" s="5" t="str">
        <f t="shared" ref="V259:V322" si="42">IF(G259&lt;&gt;"Website","No","Yes")</f>
        <v>Yes</v>
      </c>
      <c r="W259" s="1" t="str">
        <f t="shared" ref="W259:W322" si="43">IF(AND(O259&gt;15000,OR(I259="Electronics",I259="Beauty")),"Premium","Regular")</f>
        <v>Regular</v>
      </c>
      <c r="X259" s="1" t="str">
        <f t="shared" ref="X259:X322" si="44">IF(AND(L259&gt;=8,NOT(N259=0%)),"Non Dis Bulk Order","Discounted")</f>
        <v>Discounted</v>
      </c>
    </row>
    <row r="260" spans="1:24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5">
        <v>10464.43</v>
      </c>
      <c r="P260" s="1">
        <f t="shared" si="36"/>
        <v>11015.19</v>
      </c>
      <c r="Q260" s="1" t="str">
        <f t="shared" si="37"/>
        <v>Yes</v>
      </c>
      <c r="R260" s="1" t="str">
        <f t="shared" si="38"/>
        <v>No</v>
      </c>
      <c r="S260" s="1" t="str">
        <f t="shared" si="39"/>
        <v>Yes</v>
      </c>
      <c r="T260" s="1" t="str">
        <f t="shared" si="40"/>
        <v>Normal</v>
      </c>
      <c r="U260" s="1" t="str">
        <f t="shared" si="41"/>
        <v>Yes</v>
      </c>
      <c r="V260" s="5" t="str">
        <f t="shared" si="42"/>
        <v>Yes</v>
      </c>
      <c r="W260" s="1" t="str">
        <f t="shared" si="43"/>
        <v>Regular</v>
      </c>
      <c r="X260" s="1" t="str">
        <f t="shared" si="44"/>
        <v>Non Dis Bulk Order</v>
      </c>
    </row>
    <row r="261" spans="1:24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5">
        <v>1844.86</v>
      </c>
      <c r="P261" s="1">
        <f t="shared" si="36"/>
        <v>1941.96</v>
      </c>
      <c r="Q261" s="1" t="str">
        <f t="shared" si="37"/>
        <v>No</v>
      </c>
      <c r="R261" s="1" t="str">
        <f t="shared" si="38"/>
        <v>No</v>
      </c>
      <c r="S261" s="1" t="str">
        <f t="shared" si="39"/>
        <v>Yes</v>
      </c>
      <c r="T261" s="1" t="str">
        <f t="shared" si="40"/>
        <v>Normal</v>
      </c>
      <c r="U261" s="1" t="str">
        <f t="shared" si="41"/>
        <v>No</v>
      </c>
      <c r="V261" s="5" t="str">
        <f t="shared" si="42"/>
        <v>No</v>
      </c>
      <c r="W261" s="1" t="str">
        <f t="shared" si="43"/>
        <v>Regular</v>
      </c>
      <c r="X261" s="1" t="str">
        <f t="shared" si="44"/>
        <v>Discounted</v>
      </c>
    </row>
    <row r="262" spans="1:24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5">
        <v>1066.5</v>
      </c>
      <c r="P262" s="1">
        <f t="shared" si="36"/>
        <v>1066.5</v>
      </c>
      <c r="Q262" s="1" t="str">
        <f t="shared" si="37"/>
        <v>No</v>
      </c>
      <c r="R262" s="1" t="str">
        <f t="shared" si="38"/>
        <v>No</v>
      </c>
      <c r="S262" s="1" t="str">
        <f t="shared" si="39"/>
        <v>Yes</v>
      </c>
      <c r="T262" s="1" t="str">
        <f t="shared" si="40"/>
        <v>Normal</v>
      </c>
      <c r="U262" s="1" t="str">
        <f t="shared" si="41"/>
        <v>Yes</v>
      </c>
      <c r="V262" s="5" t="str">
        <f t="shared" si="42"/>
        <v>Yes</v>
      </c>
      <c r="W262" s="1" t="str">
        <f t="shared" si="43"/>
        <v>Regular</v>
      </c>
      <c r="X262" s="1" t="str">
        <f t="shared" si="44"/>
        <v>Discounted</v>
      </c>
    </row>
    <row r="263" spans="1:24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5">
        <v>15575.43</v>
      </c>
      <c r="P263" s="1">
        <f t="shared" si="36"/>
        <v>17306.03</v>
      </c>
      <c r="Q263" s="1" t="str">
        <f t="shared" si="37"/>
        <v>Yes</v>
      </c>
      <c r="R263" s="1" t="str">
        <f t="shared" si="38"/>
        <v>No</v>
      </c>
      <c r="S263" s="1" t="str">
        <f t="shared" si="39"/>
        <v>Yes</v>
      </c>
      <c r="T263" s="1" t="str">
        <f t="shared" si="40"/>
        <v>Normal</v>
      </c>
      <c r="U263" s="1" t="str">
        <f t="shared" si="41"/>
        <v>No</v>
      </c>
      <c r="V263" s="5" t="str">
        <f t="shared" si="42"/>
        <v>No</v>
      </c>
      <c r="W263" s="1" t="str">
        <f t="shared" si="43"/>
        <v>Regular</v>
      </c>
      <c r="X263" s="1" t="str">
        <f t="shared" si="44"/>
        <v>Discounted</v>
      </c>
    </row>
    <row r="264" spans="1:24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5">
        <v>15161.02</v>
      </c>
      <c r="P264" s="1">
        <f t="shared" si="36"/>
        <v>15161.02</v>
      </c>
      <c r="Q264" s="1" t="str">
        <f t="shared" si="37"/>
        <v>Yes</v>
      </c>
      <c r="R264" s="1" t="str">
        <f t="shared" si="38"/>
        <v>No</v>
      </c>
      <c r="S264" s="1" t="str">
        <f t="shared" si="39"/>
        <v>No</v>
      </c>
      <c r="T264" s="1" t="str">
        <f t="shared" si="40"/>
        <v>Normal</v>
      </c>
      <c r="U264" s="1" t="str">
        <f t="shared" si="41"/>
        <v>No</v>
      </c>
      <c r="V264" s="5" t="str">
        <f t="shared" si="42"/>
        <v>No</v>
      </c>
      <c r="W264" s="1" t="str">
        <f t="shared" si="43"/>
        <v>Premium</v>
      </c>
      <c r="X264" s="1" t="str">
        <f t="shared" si="44"/>
        <v>Discounted</v>
      </c>
    </row>
    <row r="265" spans="1:24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5">
        <v>3604.16</v>
      </c>
      <c r="P265" s="1">
        <f t="shared" si="36"/>
        <v>4505.2</v>
      </c>
      <c r="Q265" s="1" t="str">
        <f t="shared" si="37"/>
        <v>No</v>
      </c>
      <c r="R265" s="1" t="str">
        <f t="shared" si="38"/>
        <v>No</v>
      </c>
      <c r="S265" s="1" t="str">
        <f t="shared" si="39"/>
        <v>No</v>
      </c>
      <c r="T265" s="1" t="str">
        <f t="shared" si="40"/>
        <v>Normal</v>
      </c>
      <c r="U265" s="1" t="str">
        <f t="shared" si="41"/>
        <v>No</v>
      </c>
      <c r="V265" s="5" t="str">
        <f t="shared" si="42"/>
        <v>No</v>
      </c>
      <c r="W265" s="1" t="str">
        <f t="shared" si="43"/>
        <v>Regular</v>
      </c>
      <c r="X265" s="1" t="str">
        <f t="shared" si="44"/>
        <v>Discounted</v>
      </c>
    </row>
    <row r="266" spans="1:24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5">
        <v>14134.75</v>
      </c>
      <c r="P266" s="1">
        <f t="shared" si="36"/>
        <v>17668.440000000002</v>
      </c>
      <c r="Q266" s="1" t="str">
        <f t="shared" si="37"/>
        <v>Yes</v>
      </c>
      <c r="R266" s="1" t="str">
        <f t="shared" si="38"/>
        <v>Yes</v>
      </c>
      <c r="S266" s="1" t="str">
        <f t="shared" si="39"/>
        <v>Yes</v>
      </c>
      <c r="T266" s="1" t="str">
        <f t="shared" si="40"/>
        <v>Normal</v>
      </c>
      <c r="U266" s="1" t="str">
        <f t="shared" si="41"/>
        <v>Yes</v>
      </c>
      <c r="V266" s="5" t="str">
        <f t="shared" si="42"/>
        <v>Yes</v>
      </c>
      <c r="W266" s="1" t="str">
        <f t="shared" si="43"/>
        <v>Regular</v>
      </c>
      <c r="X266" s="1" t="str">
        <f t="shared" si="44"/>
        <v>Non Dis Bulk Order</v>
      </c>
    </row>
    <row r="267" spans="1:24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5">
        <v>14724.65</v>
      </c>
      <c r="P267" s="1">
        <f t="shared" si="36"/>
        <v>16360.72</v>
      </c>
      <c r="Q267" s="1" t="str">
        <f t="shared" si="37"/>
        <v>Yes</v>
      </c>
      <c r="R267" s="1" t="str">
        <f t="shared" si="38"/>
        <v>Yes</v>
      </c>
      <c r="S267" s="1" t="str">
        <f t="shared" si="39"/>
        <v>No</v>
      </c>
      <c r="T267" s="1" t="str">
        <f t="shared" si="40"/>
        <v>Normal</v>
      </c>
      <c r="U267" s="1" t="str">
        <f t="shared" si="41"/>
        <v>No</v>
      </c>
      <c r="V267" s="5" t="str">
        <f t="shared" si="42"/>
        <v>No</v>
      </c>
      <c r="W267" s="1" t="str">
        <f t="shared" si="43"/>
        <v>Regular</v>
      </c>
      <c r="X267" s="1" t="str">
        <f t="shared" si="44"/>
        <v>Non Dis Bulk Order</v>
      </c>
    </row>
    <row r="268" spans="1:24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5">
        <v>855.74</v>
      </c>
      <c r="P268" s="1">
        <f t="shared" si="36"/>
        <v>900.78</v>
      </c>
      <c r="Q268" s="1" t="str">
        <f t="shared" si="37"/>
        <v>No</v>
      </c>
      <c r="R268" s="1" t="str">
        <f t="shared" si="38"/>
        <v>No</v>
      </c>
      <c r="S268" s="1" t="str">
        <f t="shared" si="39"/>
        <v>No</v>
      </c>
      <c r="T268" s="1" t="str">
        <f t="shared" si="40"/>
        <v>Special attention</v>
      </c>
      <c r="U268" s="1" t="str">
        <f t="shared" si="41"/>
        <v>No</v>
      </c>
      <c r="V268" s="5" t="str">
        <f t="shared" si="42"/>
        <v>No</v>
      </c>
      <c r="W268" s="1" t="str">
        <f t="shared" si="43"/>
        <v>Regular</v>
      </c>
      <c r="X268" s="1" t="str">
        <f t="shared" si="44"/>
        <v>Discounted</v>
      </c>
    </row>
    <row r="269" spans="1:24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5">
        <v>2394.5</v>
      </c>
      <c r="P269" s="1">
        <f t="shared" si="36"/>
        <v>2660.56</v>
      </c>
      <c r="Q269" s="1" t="str">
        <f t="shared" si="37"/>
        <v>No</v>
      </c>
      <c r="R269" s="1" t="str">
        <f t="shared" si="38"/>
        <v>No</v>
      </c>
      <c r="S269" s="1" t="str">
        <f t="shared" si="39"/>
        <v>No</v>
      </c>
      <c r="T269" s="1" t="str">
        <f t="shared" si="40"/>
        <v>Normal</v>
      </c>
      <c r="U269" s="1" t="str">
        <f t="shared" si="41"/>
        <v>No</v>
      </c>
      <c r="V269" s="5" t="str">
        <f t="shared" si="42"/>
        <v>No</v>
      </c>
      <c r="W269" s="1" t="str">
        <f t="shared" si="43"/>
        <v>Regular</v>
      </c>
      <c r="X269" s="1" t="str">
        <f t="shared" si="44"/>
        <v>Discounted</v>
      </c>
    </row>
    <row r="270" spans="1:24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5">
        <v>12626.16</v>
      </c>
      <c r="P270" s="1">
        <f t="shared" si="36"/>
        <v>15782.7</v>
      </c>
      <c r="Q270" s="1" t="str">
        <f t="shared" si="37"/>
        <v>No</v>
      </c>
      <c r="R270" s="1" t="str">
        <f t="shared" si="38"/>
        <v>No</v>
      </c>
      <c r="S270" s="1" t="str">
        <f t="shared" si="39"/>
        <v>Yes</v>
      </c>
      <c r="T270" s="1" t="str">
        <f t="shared" si="40"/>
        <v>Normal</v>
      </c>
      <c r="U270" s="1" t="str">
        <f t="shared" si="41"/>
        <v>Yes</v>
      </c>
      <c r="V270" s="5" t="str">
        <f t="shared" si="42"/>
        <v>Yes</v>
      </c>
      <c r="W270" s="1" t="str">
        <f t="shared" si="43"/>
        <v>Regular</v>
      </c>
      <c r="X270" s="1" t="str">
        <f t="shared" si="44"/>
        <v>Discounted</v>
      </c>
    </row>
    <row r="271" spans="1:24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5">
        <v>17264.5</v>
      </c>
      <c r="P271" s="1">
        <f t="shared" si="36"/>
        <v>19182.78</v>
      </c>
      <c r="Q271" s="1" t="str">
        <f t="shared" si="37"/>
        <v>Yes</v>
      </c>
      <c r="R271" s="1" t="str">
        <f t="shared" si="38"/>
        <v>No</v>
      </c>
      <c r="S271" s="1" t="str">
        <f t="shared" si="39"/>
        <v>Yes</v>
      </c>
      <c r="T271" s="1" t="str">
        <f t="shared" si="40"/>
        <v>Normal</v>
      </c>
      <c r="U271" s="1" t="str">
        <f t="shared" si="41"/>
        <v>Yes</v>
      </c>
      <c r="V271" s="5" t="str">
        <f t="shared" si="42"/>
        <v>Yes</v>
      </c>
      <c r="W271" s="1" t="str">
        <f t="shared" si="43"/>
        <v>Regular</v>
      </c>
      <c r="X271" s="1" t="str">
        <f t="shared" si="44"/>
        <v>Discounted</v>
      </c>
    </row>
    <row r="272" spans="1:24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5">
        <v>7408.53</v>
      </c>
      <c r="P272" s="1">
        <f t="shared" si="36"/>
        <v>7408.5300000000007</v>
      </c>
      <c r="Q272" s="1" t="str">
        <f t="shared" si="37"/>
        <v>No</v>
      </c>
      <c r="R272" s="1" t="str">
        <f t="shared" si="38"/>
        <v>No</v>
      </c>
      <c r="S272" s="1" t="str">
        <f t="shared" si="39"/>
        <v>No</v>
      </c>
      <c r="T272" s="1" t="str">
        <f t="shared" si="40"/>
        <v>Normal</v>
      </c>
      <c r="U272" s="1" t="str">
        <f t="shared" si="41"/>
        <v>No</v>
      </c>
      <c r="V272" s="5" t="str">
        <f t="shared" si="42"/>
        <v>No</v>
      </c>
      <c r="W272" s="1" t="str">
        <f t="shared" si="43"/>
        <v>Regular</v>
      </c>
      <c r="X272" s="1" t="str">
        <f t="shared" si="44"/>
        <v>Discounted</v>
      </c>
    </row>
    <row r="273" spans="1:24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5">
        <v>17170.46</v>
      </c>
      <c r="P273" s="1">
        <f t="shared" si="36"/>
        <v>19078.29</v>
      </c>
      <c r="Q273" s="1" t="str">
        <f t="shared" si="37"/>
        <v>Yes</v>
      </c>
      <c r="R273" s="1" t="str">
        <f t="shared" si="38"/>
        <v>Yes</v>
      </c>
      <c r="S273" s="1" t="str">
        <f t="shared" si="39"/>
        <v>Yes</v>
      </c>
      <c r="T273" s="1" t="str">
        <f t="shared" si="40"/>
        <v>Normal</v>
      </c>
      <c r="U273" s="1" t="str">
        <f t="shared" si="41"/>
        <v>No</v>
      </c>
      <c r="V273" s="5" t="str">
        <f t="shared" si="42"/>
        <v>No</v>
      </c>
      <c r="W273" s="1" t="str">
        <f t="shared" si="43"/>
        <v>Regular</v>
      </c>
      <c r="X273" s="1" t="str">
        <f t="shared" si="44"/>
        <v>Non Dis Bulk Order</v>
      </c>
    </row>
    <row r="274" spans="1:24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5">
        <v>2193.8200000000002</v>
      </c>
      <c r="P274" s="1">
        <f t="shared" si="36"/>
        <v>2309.2799999999997</v>
      </c>
      <c r="Q274" s="1" t="str">
        <f t="shared" si="37"/>
        <v>No</v>
      </c>
      <c r="R274" s="1" t="str">
        <f t="shared" si="38"/>
        <v>No</v>
      </c>
      <c r="S274" s="1" t="str">
        <f t="shared" si="39"/>
        <v>No</v>
      </c>
      <c r="T274" s="1" t="str">
        <f t="shared" si="40"/>
        <v>Normal</v>
      </c>
      <c r="U274" s="1" t="str">
        <f t="shared" si="41"/>
        <v>No</v>
      </c>
      <c r="V274" s="5" t="str">
        <f t="shared" si="42"/>
        <v>No</v>
      </c>
      <c r="W274" s="1" t="str">
        <f t="shared" si="43"/>
        <v>Regular</v>
      </c>
      <c r="X274" s="1" t="str">
        <f t="shared" si="44"/>
        <v>Discounted</v>
      </c>
    </row>
    <row r="275" spans="1:24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5">
        <v>5032.6000000000004</v>
      </c>
      <c r="P275" s="1">
        <f t="shared" si="36"/>
        <v>5032.6000000000004</v>
      </c>
      <c r="Q275" s="1" t="str">
        <f t="shared" si="37"/>
        <v>No</v>
      </c>
      <c r="R275" s="1" t="str">
        <f t="shared" si="38"/>
        <v>No</v>
      </c>
      <c r="S275" s="1" t="str">
        <f t="shared" si="39"/>
        <v>Yes</v>
      </c>
      <c r="T275" s="1" t="str">
        <f t="shared" si="40"/>
        <v>Normal</v>
      </c>
      <c r="U275" s="1" t="str">
        <f t="shared" si="41"/>
        <v>Yes</v>
      </c>
      <c r="V275" s="5" t="str">
        <f t="shared" si="42"/>
        <v>Yes</v>
      </c>
      <c r="W275" s="1" t="str">
        <f t="shared" si="43"/>
        <v>Regular</v>
      </c>
      <c r="X275" s="1" t="str">
        <f t="shared" si="44"/>
        <v>Discounted</v>
      </c>
    </row>
    <row r="276" spans="1:24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5">
        <v>3029.14</v>
      </c>
      <c r="P276" s="1">
        <f t="shared" si="36"/>
        <v>3563.7000000000003</v>
      </c>
      <c r="Q276" s="1" t="str">
        <f t="shared" si="37"/>
        <v>No</v>
      </c>
      <c r="R276" s="1" t="str">
        <f t="shared" si="38"/>
        <v>No</v>
      </c>
      <c r="S276" s="1" t="str">
        <f t="shared" si="39"/>
        <v>Yes</v>
      </c>
      <c r="T276" s="1" t="str">
        <f t="shared" si="40"/>
        <v>Normal</v>
      </c>
      <c r="U276" s="1" t="str">
        <f t="shared" si="41"/>
        <v>Yes</v>
      </c>
      <c r="V276" s="5" t="str">
        <f t="shared" si="42"/>
        <v>Yes</v>
      </c>
      <c r="W276" s="1" t="str">
        <f t="shared" si="43"/>
        <v>Regular</v>
      </c>
      <c r="X276" s="1" t="str">
        <f t="shared" si="44"/>
        <v>Discounted</v>
      </c>
    </row>
    <row r="277" spans="1:24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5">
        <v>24708.61</v>
      </c>
      <c r="P277" s="1">
        <f t="shared" si="36"/>
        <v>30885.759999999998</v>
      </c>
      <c r="Q277" s="1" t="str">
        <f t="shared" si="37"/>
        <v>Yes</v>
      </c>
      <c r="R277" s="1" t="str">
        <f t="shared" si="38"/>
        <v>Yes</v>
      </c>
      <c r="S277" s="1" t="str">
        <f t="shared" si="39"/>
        <v>Yes</v>
      </c>
      <c r="T277" s="1" t="str">
        <f t="shared" si="40"/>
        <v>Normal</v>
      </c>
      <c r="U277" s="1" t="str">
        <f t="shared" si="41"/>
        <v>Yes</v>
      </c>
      <c r="V277" s="5" t="str">
        <f t="shared" si="42"/>
        <v>Yes</v>
      </c>
      <c r="W277" s="1" t="str">
        <f t="shared" si="43"/>
        <v>Premium</v>
      </c>
      <c r="X277" s="1" t="str">
        <f t="shared" si="44"/>
        <v>Non Dis Bulk Order</v>
      </c>
    </row>
    <row r="278" spans="1:24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5">
        <v>4824.43</v>
      </c>
      <c r="P278" s="1">
        <f t="shared" si="36"/>
        <v>6030.5399999999991</v>
      </c>
      <c r="Q278" s="1" t="str">
        <f t="shared" si="37"/>
        <v>No</v>
      </c>
      <c r="R278" s="1" t="str">
        <f t="shared" si="38"/>
        <v>Yes</v>
      </c>
      <c r="S278" s="1" t="str">
        <f t="shared" si="39"/>
        <v>No</v>
      </c>
      <c r="T278" s="1" t="str">
        <f t="shared" si="40"/>
        <v>Normal</v>
      </c>
      <c r="U278" s="1" t="str">
        <f t="shared" si="41"/>
        <v>No</v>
      </c>
      <c r="V278" s="5" t="str">
        <f t="shared" si="42"/>
        <v>No</v>
      </c>
      <c r="W278" s="1" t="str">
        <f t="shared" si="43"/>
        <v>Regular</v>
      </c>
      <c r="X278" s="1" t="str">
        <f t="shared" si="44"/>
        <v>Non Dis Bulk Order</v>
      </c>
    </row>
    <row r="279" spans="1:24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5">
        <v>3965.44</v>
      </c>
      <c r="P279" s="1">
        <f t="shared" si="36"/>
        <v>4406.04</v>
      </c>
      <c r="Q279" s="1" t="str">
        <f t="shared" si="37"/>
        <v>No</v>
      </c>
      <c r="R279" s="1" t="str">
        <f t="shared" si="38"/>
        <v>No</v>
      </c>
      <c r="S279" s="1" t="str">
        <f t="shared" si="39"/>
        <v>Yes</v>
      </c>
      <c r="T279" s="1" t="str">
        <f t="shared" si="40"/>
        <v>Normal</v>
      </c>
      <c r="U279" s="1" t="str">
        <f t="shared" si="41"/>
        <v>No</v>
      </c>
      <c r="V279" s="5" t="str">
        <f t="shared" si="42"/>
        <v>No</v>
      </c>
      <c r="W279" s="1" t="str">
        <f t="shared" si="43"/>
        <v>Regular</v>
      </c>
      <c r="X279" s="1" t="str">
        <f t="shared" si="44"/>
        <v>Discounted</v>
      </c>
    </row>
    <row r="280" spans="1:24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5">
        <v>21449.22</v>
      </c>
      <c r="P280" s="1">
        <f t="shared" si="36"/>
        <v>21449.22</v>
      </c>
      <c r="Q280" s="1" t="str">
        <f t="shared" si="37"/>
        <v>Yes</v>
      </c>
      <c r="R280" s="1" t="str">
        <f t="shared" si="38"/>
        <v>No</v>
      </c>
      <c r="S280" s="1" t="str">
        <f t="shared" si="39"/>
        <v>Yes</v>
      </c>
      <c r="T280" s="1" t="str">
        <f t="shared" si="40"/>
        <v>Normal</v>
      </c>
      <c r="U280" s="1" t="str">
        <f t="shared" si="41"/>
        <v>Yes</v>
      </c>
      <c r="V280" s="5" t="str">
        <f t="shared" si="42"/>
        <v>Yes</v>
      </c>
      <c r="W280" s="1" t="str">
        <f t="shared" si="43"/>
        <v>Premium</v>
      </c>
      <c r="X280" s="1" t="str">
        <f t="shared" si="44"/>
        <v>Discounted</v>
      </c>
    </row>
    <row r="281" spans="1:24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5">
        <v>25732.02</v>
      </c>
      <c r="P281" s="1">
        <f t="shared" si="36"/>
        <v>30272.959999999999</v>
      </c>
      <c r="Q281" s="1" t="str">
        <f t="shared" si="37"/>
        <v>Yes</v>
      </c>
      <c r="R281" s="1" t="str">
        <f t="shared" si="38"/>
        <v>Yes</v>
      </c>
      <c r="S281" s="1" t="str">
        <f t="shared" si="39"/>
        <v>Yes</v>
      </c>
      <c r="T281" s="1" t="str">
        <f t="shared" si="40"/>
        <v>Normal</v>
      </c>
      <c r="U281" s="1" t="str">
        <f t="shared" si="41"/>
        <v>Yes</v>
      </c>
      <c r="V281" s="5" t="str">
        <f t="shared" si="42"/>
        <v>Yes</v>
      </c>
      <c r="W281" s="1" t="str">
        <f t="shared" si="43"/>
        <v>Premium</v>
      </c>
      <c r="X281" s="1" t="str">
        <f t="shared" si="44"/>
        <v>Non Dis Bulk Order</v>
      </c>
    </row>
    <row r="282" spans="1:24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5">
        <v>15492.2</v>
      </c>
      <c r="P282" s="1">
        <f t="shared" si="36"/>
        <v>15492.2</v>
      </c>
      <c r="Q282" s="1" t="str">
        <f t="shared" si="37"/>
        <v>No</v>
      </c>
      <c r="R282" s="1" t="str">
        <f t="shared" si="38"/>
        <v>No</v>
      </c>
      <c r="S282" s="1" t="str">
        <f t="shared" si="39"/>
        <v>No</v>
      </c>
      <c r="T282" s="1" t="str">
        <f t="shared" si="40"/>
        <v>Normal</v>
      </c>
      <c r="U282" s="1" t="str">
        <f t="shared" si="41"/>
        <v>No</v>
      </c>
      <c r="V282" s="5" t="str">
        <f t="shared" si="42"/>
        <v>No</v>
      </c>
      <c r="W282" s="1" t="str">
        <f t="shared" si="43"/>
        <v>Regular</v>
      </c>
      <c r="X282" s="1" t="str">
        <f t="shared" si="44"/>
        <v>Discounted</v>
      </c>
    </row>
    <row r="283" spans="1:24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5">
        <v>409.94</v>
      </c>
      <c r="P283" s="1">
        <f t="shared" si="36"/>
        <v>512.43000000000006</v>
      </c>
      <c r="Q283" s="1" t="str">
        <f t="shared" si="37"/>
        <v>No</v>
      </c>
      <c r="R283" s="1" t="str">
        <f t="shared" si="38"/>
        <v>No</v>
      </c>
      <c r="S283" s="1" t="str">
        <f t="shared" si="39"/>
        <v>Yes</v>
      </c>
      <c r="T283" s="1" t="str">
        <f t="shared" si="40"/>
        <v>Normal</v>
      </c>
      <c r="U283" s="1" t="str">
        <f t="shared" si="41"/>
        <v>No</v>
      </c>
      <c r="V283" s="5" t="str">
        <f t="shared" si="42"/>
        <v>No</v>
      </c>
      <c r="W283" s="1" t="str">
        <f t="shared" si="43"/>
        <v>Regular</v>
      </c>
      <c r="X283" s="1" t="str">
        <f t="shared" si="44"/>
        <v>Discounted</v>
      </c>
    </row>
    <row r="284" spans="1:24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5">
        <v>465.54</v>
      </c>
      <c r="P284" s="1">
        <f t="shared" si="36"/>
        <v>465.54</v>
      </c>
      <c r="Q284" s="1" t="str">
        <f t="shared" si="37"/>
        <v>No</v>
      </c>
      <c r="R284" s="1" t="str">
        <f t="shared" si="38"/>
        <v>No</v>
      </c>
      <c r="S284" s="1" t="str">
        <f t="shared" si="39"/>
        <v>No</v>
      </c>
      <c r="T284" s="1" t="str">
        <f t="shared" si="40"/>
        <v>Normal</v>
      </c>
      <c r="U284" s="1" t="str">
        <f t="shared" si="41"/>
        <v>No</v>
      </c>
      <c r="V284" s="5" t="str">
        <f t="shared" si="42"/>
        <v>No</v>
      </c>
      <c r="W284" s="1" t="str">
        <f t="shared" si="43"/>
        <v>Regular</v>
      </c>
      <c r="X284" s="1" t="str">
        <f t="shared" si="44"/>
        <v>Discounted</v>
      </c>
    </row>
    <row r="285" spans="1:24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5">
        <v>8189.02</v>
      </c>
      <c r="P285" s="1">
        <f t="shared" si="36"/>
        <v>9634.14</v>
      </c>
      <c r="Q285" s="1" t="str">
        <f t="shared" si="37"/>
        <v>No</v>
      </c>
      <c r="R285" s="1" t="str">
        <f t="shared" si="38"/>
        <v>No</v>
      </c>
      <c r="S285" s="1" t="str">
        <f t="shared" si="39"/>
        <v>Yes</v>
      </c>
      <c r="T285" s="1" t="str">
        <f t="shared" si="40"/>
        <v>Normal</v>
      </c>
      <c r="U285" s="1" t="str">
        <f t="shared" si="41"/>
        <v>Yes</v>
      </c>
      <c r="V285" s="5" t="str">
        <f t="shared" si="42"/>
        <v>Yes</v>
      </c>
      <c r="W285" s="1" t="str">
        <f t="shared" si="43"/>
        <v>Regular</v>
      </c>
      <c r="X285" s="1" t="str">
        <f t="shared" si="44"/>
        <v>Discounted</v>
      </c>
    </row>
    <row r="286" spans="1:24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5">
        <v>1263.73</v>
      </c>
      <c r="P286" s="1">
        <f t="shared" si="36"/>
        <v>1404.14</v>
      </c>
      <c r="Q286" s="1" t="str">
        <f t="shared" si="37"/>
        <v>No</v>
      </c>
      <c r="R286" s="1" t="str">
        <f t="shared" si="38"/>
        <v>No</v>
      </c>
      <c r="S286" s="1" t="str">
        <f t="shared" si="39"/>
        <v>Yes</v>
      </c>
      <c r="T286" s="1" t="str">
        <f t="shared" si="40"/>
        <v>Normal</v>
      </c>
      <c r="U286" s="1" t="str">
        <f t="shared" si="41"/>
        <v>No</v>
      </c>
      <c r="V286" s="5" t="str">
        <f t="shared" si="42"/>
        <v>No</v>
      </c>
      <c r="W286" s="1" t="str">
        <f t="shared" si="43"/>
        <v>Regular</v>
      </c>
      <c r="X286" s="1" t="str">
        <f t="shared" si="44"/>
        <v>Discounted</v>
      </c>
    </row>
    <row r="287" spans="1:24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5">
        <v>1258.5</v>
      </c>
      <c r="P287" s="1">
        <f t="shared" si="36"/>
        <v>1324.74</v>
      </c>
      <c r="Q287" s="1" t="str">
        <f t="shared" si="37"/>
        <v>No</v>
      </c>
      <c r="R287" s="1" t="str">
        <f t="shared" si="38"/>
        <v>No</v>
      </c>
      <c r="S287" s="1" t="str">
        <f t="shared" si="39"/>
        <v>Yes</v>
      </c>
      <c r="T287" s="1" t="str">
        <f t="shared" si="40"/>
        <v>Normal</v>
      </c>
      <c r="U287" s="1" t="str">
        <f t="shared" si="41"/>
        <v>No</v>
      </c>
      <c r="V287" s="5" t="str">
        <f t="shared" si="42"/>
        <v>No</v>
      </c>
      <c r="W287" s="1" t="str">
        <f t="shared" si="43"/>
        <v>Regular</v>
      </c>
      <c r="X287" s="1" t="str">
        <f t="shared" si="44"/>
        <v>Discounted</v>
      </c>
    </row>
    <row r="288" spans="1:24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5">
        <v>11619.96</v>
      </c>
      <c r="P288" s="1">
        <f t="shared" si="36"/>
        <v>11619.960000000001</v>
      </c>
      <c r="Q288" s="1" t="str">
        <f t="shared" si="37"/>
        <v>Yes</v>
      </c>
      <c r="R288" s="1" t="str">
        <f t="shared" si="38"/>
        <v>No</v>
      </c>
      <c r="S288" s="1" t="str">
        <f t="shared" si="39"/>
        <v>Yes</v>
      </c>
      <c r="T288" s="1" t="str">
        <f t="shared" si="40"/>
        <v>Normal</v>
      </c>
      <c r="U288" s="1" t="str">
        <f t="shared" si="41"/>
        <v>Yes</v>
      </c>
      <c r="V288" s="5" t="str">
        <f t="shared" si="42"/>
        <v>Yes</v>
      </c>
      <c r="W288" s="1" t="str">
        <f t="shared" si="43"/>
        <v>Regular</v>
      </c>
      <c r="X288" s="1" t="str">
        <f t="shared" si="44"/>
        <v>Discounted</v>
      </c>
    </row>
    <row r="289" spans="1:24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5">
        <v>28734</v>
      </c>
      <c r="P289" s="1">
        <f t="shared" si="36"/>
        <v>30246.32</v>
      </c>
      <c r="Q289" s="1" t="str">
        <f t="shared" si="37"/>
        <v>Yes</v>
      </c>
      <c r="R289" s="1" t="str">
        <f t="shared" si="38"/>
        <v>No</v>
      </c>
      <c r="S289" s="1" t="str">
        <f t="shared" si="39"/>
        <v>Yes</v>
      </c>
      <c r="T289" s="1" t="str">
        <f t="shared" si="40"/>
        <v>Normal</v>
      </c>
      <c r="U289" s="1" t="str">
        <f t="shared" si="41"/>
        <v>No</v>
      </c>
      <c r="V289" s="5" t="str">
        <f t="shared" si="42"/>
        <v>No</v>
      </c>
      <c r="W289" s="1" t="str">
        <f t="shared" si="43"/>
        <v>Regular</v>
      </c>
      <c r="X289" s="1" t="str">
        <f t="shared" si="44"/>
        <v>Non Dis Bulk Order</v>
      </c>
    </row>
    <row r="290" spans="1:24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5">
        <v>7821.58</v>
      </c>
      <c r="P290" s="1">
        <f t="shared" si="36"/>
        <v>9776.9700000000012</v>
      </c>
      <c r="Q290" s="1" t="str">
        <f t="shared" si="37"/>
        <v>No</v>
      </c>
      <c r="R290" s="1" t="str">
        <f t="shared" si="38"/>
        <v>No</v>
      </c>
      <c r="S290" s="1" t="str">
        <f t="shared" si="39"/>
        <v>Yes</v>
      </c>
      <c r="T290" s="1" t="str">
        <f t="shared" si="40"/>
        <v>Normal</v>
      </c>
      <c r="U290" s="1" t="str">
        <f t="shared" si="41"/>
        <v>No</v>
      </c>
      <c r="V290" s="5" t="str">
        <f t="shared" si="42"/>
        <v>No</v>
      </c>
      <c r="W290" s="1" t="str">
        <f t="shared" si="43"/>
        <v>Regular</v>
      </c>
      <c r="X290" s="1" t="str">
        <f t="shared" si="44"/>
        <v>Discounted</v>
      </c>
    </row>
    <row r="291" spans="1:24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5">
        <v>19406.810000000001</v>
      </c>
      <c r="P291" s="1">
        <f t="shared" si="36"/>
        <v>21563.119999999999</v>
      </c>
      <c r="Q291" s="1" t="str">
        <f t="shared" si="37"/>
        <v>Yes</v>
      </c>
      <c r="R291" s="1" t="str">
        <f t="shared" si="38"/>
        <v>Yes</v>
      </c>
      <c r="S291" s="1" t="str">
        <f t="shared" si="39"/>
        <v>No</v>
      </c>
      <c r="T291" s="1" t="str">
        <f t="shared" si="40"/>
        <v>Normal</v>
      </c>
      <c r="U291" s="1" t="str">
        <f t="shared" si="41"/>
        <v>No</v>
      </c>
      <c r="V291" s="5" t="str">
        <f t="shared" si="42"/>
        <v>No</v>
      </c>
      <c r="W291" s="1" t="str">
        <f t="shared" si="43"/>
        <v>Regular</v>
      </c>
      <c r="X291" s="1" t="str">
        <f t="shared" si="44"/>
        <v>Non Dis Bulk Order</v>
      </c>
    </row>
    <row r="292" spans="1:24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5">
        <v>21554.99</v>
      </c>
      <c r="P292" s="1">
        <f t="shared" si="36"/>
        <v>23949.99</v>
      </c>
      <c r="Q292" s="1" t="str">
        <f t="shared" si="37"/>
        <v>Yes</v>
      </c>
      <c r="R292" s="1" t="str">
        <f t="shared" si="38"/>
        <v>Yes</v>
      </c>
      <c r="S292" s="1" t="str">
        <f t="shared" si="39"/>
        <v>Yes</v>
      </c>
      <c r="T292" s="1" t="str">
        <f t="shared" si="40"/>
        <v>Normal</v>
      </c>
      <c r="U292" s="1" t="str">
        <f t="shared" si="41"/>
        <v>Yes</v>
      </c>
      <c r="V292" s="5" t="str">
        <f t="shared" si="42"/>
        <v>Yes</v>
      </c>
      <c r="W292" s="1" t="str">
        <f t="shared" si="43"/>
        <v>Premium</v>
      </c>
      <c r="X292" s="1" t="str">
        <f t="shared" si="44"/>
        <v>Non Dis Bulk Order</v>
      </c>
    </row>
    <row r="293" spans="1:24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5">
        <v>6699.96</v>
      </c>
      <c r="P293" s="1">
        <f t="shared" si="36"/>
        <v>6699.9600000000009</v>
      </c>
      <c r="Q293" s="1" t="str">
        <f t="shared" si="37"/>
        <v>No</v>
      </c>
      <c r="R293" s="1" t="str">
        <f t="shared" si="38"/>
        <v>No</v>
      </c>
      <c r="S293" s="1" t="str">
        <f t="shared" si="39"/>
        <v>Yes</v>
      </c>
      <c r="T293" s="1" t="str">
        <f t="shared" si="40"/>
        <v>Normal</v>
      </c>
      <c r="U293" s="1" t="str">
        <f t="shared" si="41"/>
        <v>Yes</v>
      </c>
      <c r="V293" s="5" t="str">
        <f t="shared" si="42"/>
        <v>Yes</v>
      </c>
      <c r="W293" s="1" t="str">
        <f t="shared" si="43"/>
        <v>Regular</v>
      </c>
      <c r="X293" s="1" t="str">
        <f t="shared" si="44"/>
        <v>Discounted</v>
      </c>
    </row>
    <row r="294" spans="1:24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5">
        <v>7166.18</v>
      </c>
      <c r="P294" s="1">
        <f t="shared" si="36"/>
        <v>7962.42</v>
      </c>
      <c r="Q294" s="1" t="str">
        <f t="shared" si="37"/>
        <v>No</v>
      </c>
      <c r="R294" s="1" t="str">
        <f t="shared" si="38"/>
        <v>No</v>
      </c>
      <c r="S294" s="1" t="str">
        <f t="shared" si="39"/>
        <v>Yes</v>
      </c>
      <c r="T294" s="1" t="str">
        <f t="shared" si="40"/>
        <v>Normal</v>
      </c>
      <c r="U294" s="1" t="str">
        <f t="shared" si="41"/>
        <v>Yes</v>
      </c>
      <c r="V294" s="5" t="str">
        <f t="shared" si="42"/>
        <v>Yes</v>
      </c>
      <c r="W294" s="1" t="str">
        <f t="shared" si="43"/>
        <v>Regular</v>
      </c>
      <c r="X294" s="1" t="str">
        <f t="shared" si="44"/>
        <v>Discounted</v>
      </c>
    </row>
    <row r="295" spans="1:24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5">
        <v>2902.47</v>
      </c>
      <c r="P295" s="1">
        <f t="shared" si="36"/>
        <v>2902.4700000000003</v>
      </c>
      <c r="Q295" s="1" t="str">
        <f t="shared" si="37"/>
        <v>No</v>
      </c>
      <c r="R295" s="1" t="str">
        <f t="shared" si="38"/>
        <v>No</v>
      </c>
      <c r="S295" s="1" t="str">
        <f t="shared" si="39"/>
        <v>Yes</v>
      </c>
      <c r="T295" s="1" t="str">
        <f t="shared" si="40"/>
        <v>Normal</v>
      </c>
      <c r="U295" s="1" t="str">
        <f t="shared" si="41"/>
        <v>Yes</v>
      </c>
      <c r="V295" s="5" t="str">
        <f t="shared" si="42"/>
        <v>Yes</v>
      </c>
      <c r="W295" s="1" t="str">
        <f t="shared" si="43"/>
        <v>Regular</v>
      </c>
      <c r="X295" s="1" t="str">
        <f t="shared" si="44"/>
        <v>Discounted</v>
      </c>
    </row>
    <row r="296" spans="1:24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5">
        <v>619.73</v>
      </c>
      <c r="P296" s="1">
        <f t="shared" si="36"/>
        <v>619.73</v>
      </c>
      <c r="Q296" s="1" t="str">
        <f t="shared" si="37"/>
        <v>No</v>
      </c>
      <c r="R296" s="1" t="str">
        <f t="shared" si="38"/>
        <v>No</v>
      </c>
      <c r="S296" s="1" t="str">
        <f t="shared" si="39"/>
        <v>Yes</v>
      </c>
      <c r="T296" s="1" t="str">
        <f t="shared" si="40"/>
        <v>Special attention</v>
      </c>
      <c r="U296" s="1" t="str">
        <f t="shared" si="41"/>
        <v>Yes</v>
      </c>
      <c r="V296" s="5" t="str">
        <f t="shared" si="42"/>
        <v>Yes</v>
      </c>
      <c r="W296" s="1" t="str">
        <f t="shared" si="43"/>
        <v>Regular</v>
      </c>
      <c r="X296" s="1" t="str">
        <f t="shared" si="44"/>
        <v>Discounted</v>
      </c>
    </row>
    <row r="297" spans="1:24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5">
        <v>13539.07</v>
      </c>
      <c r="P297" s="1">
        <f t="shared" si="36"/>
        <v>14251.65</v>
      </c>
      <c r="Q297" s="1" t="str">
        <f t="shared" si="37"/>
        <v>No</v>
      </c>
      <c r="R297" s="1" t="str">
        <f t="shared" si="38"/>
        <v>No</v>
      </c>
      <c r="S297" s="1" t="str">
        <f t="shared" si="39"/>
        <v>Yes</v>
      </c>
      <c r="T297" s="1" t="str">
        <f t="shared" si="40"/>
        <v>Normal</v>
      </c>
      <c r="U297" s="1" t="str">
        <f t="shared" si="41"/>
        <v>No</v>
      </c>
      <c r="V297" s="5" t="str">
        <f t="shared" si="42"/>
        <v>No</v>
      </c>
      <c r="W297" s="1" t="str">
        <f t="shared" si="43"/>
        <v>Regular</v>
      </c>
      <c r="X297" s="1" t="str">
        <f t="shared" si="44"/>
        <v>Discounted</v>
      </c>
    </row>
    <row r="298" spans="1:24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5">
        <v>2112.3000000000002</v>
      </c>
      <c r="P298" s="1">
        <f t="shared" si="36"/>
        <v>2347</v>
      </c>
      <c r="Q298" s="1" t="str">
        <f t="shared" si="37"/>
        <v>No</v>
      </c>
      <c r="R298" s="1" t="str">
        <f t="shared" si="38"/>
        <v>No</v>
      </c>
      <c r="S298" s="1" t="str">
        <f t="shared" si="39"/>
        <v>No</v>
      </c>
      <c r="T298" s="1" t="str">
        <f t="shared" si="40"/>
        <v>Normal</v>
      </c>
      <c r="U298" s="1" t="str">
        <f t="shared" si="41"/>
        <v>No</v>
      </c>
      <c r="V298" s="5" t="str">
        <f t="shared" si="42"/>
        <v>No</v>
      </c>
      <c r="W298" s="1" t="str">
        <f t="shared" si="43"/>
        <v>Regular</v>
      </c>
      <c r="X298" s="1" t="str">
        <f t="shared" si="44"/>
        <v>Discounted</v>
      </c>
    </row>
    <row r="299" spans="1:24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5">
        <v>35892.9</v>
      </c>
      <c r="P299" s="1">
        <f t="shared" si="36"/>
        <v>35892.9</v>
      </c>
      <c r="Q299" s="1" t="str">
        <f t="shared" si="37"/>
        <v>Yes</v>
      </c>
      <c r="R299" s="1" t="str">
        <f t="shared" si="38"/>
        <v>No</v>
      </c>
      <c r="S299" s="1" t="str">
        <f t="shared" si="39"/>
        <v>Yes</v>
      </c>
      <c r="T299" s="1" t="str">
        <f t="shared" si="40"/>
        <v>Normal</v>
      </c>
      <c r="U299" s="1" t="str">
        <f t="shared" si="41"/>
        <v>Yes</v>
      </c>
      <c r="V299" s="5" t="str">
        <f t="shared" si="42"/>
        <v>Yes</v>
      </c>
      <c r="W299" s="1" t="str">
        <f t="shared" si="43"/>
        <v>Regular</v>
      </c>
      <c r="X299" s="1" t="str">
        <f t="shared" si="44"/>
        <v>Discounted</v>
      </c>
    </row>
    <row r="300" spans="1:24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5">
        <v>7321.28</v>
      </c>
      <c r="P300" s="1">
        <f t="shared" si="36"/>
        <v>7706.61</v>
      </c>
      <c r="Q300" s="1" t="str">
        <f t="shared" si="37"/>
        <v>No</v>
      </c>
      <c r="R300" s="1" t="str">
        <f t="shared" si="38"/>
        <v>No</v>
      </c>
      <c r="S300" s="1" t="str">
        <f t="shared" si="39"/>
        <v>No</v>
      </c>
      <c r="T300" s="1" t="str">
        <f t="shared" si="40"/>
        <v>Normal</v>
      </c>
      <c r="U300" s="1" t="str">
        <f t="shared" si="41"/>
        <v>No</v>
      </c>
      <c r="V300" s="5" t="str">
        <f t="shared" si="42"/>
        <v>No</v>
      </c>
      <c r="W300" s="1" t="str">
        <f t="shared" si="43"/>
        <v>Regular</v>
      </c>
      <c r="X300" s="1" t="str">
        <f t="shared" si="44"/>
        <v>Non Dis Bulk Order</v>
      </c>
    </row>
    <row r="301" spans="1:24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5">
        <v>10359.16</v>
      </c>
      <c r="P301" s="1">
        <f t="shared" si="36"/>
        <v>12187.25</v>
      </c>
      <c r="Q301" s="1" t="str">
        <f t="shared" si="37"/>
        <v>No</v>
      </c>
      <c r="R301" s="1" t="str">
        <f t="shared" si="38"/>
        <v>No</v>
      </c>
      <c r="S301" s="1" t="str">
        <f t="shared" si="39"/>
        <v>No</v>
      </c>
      <c r="T301" s="1" t="str">
        <f t="shared" si="40"/>
        <v>Normal</v>
      </c>
      <c r="U301" s="1" t="str">
        <f t="shared" si="41"/>
        <v>No</v>
      </c>
      <c r="V301" s="5" t="str">
        <f t="shared" si="42"/>
        <v>No</v>
      </c>
      <c r="W301" s="1" t="str">
        <f t="shared" si="43"/>
        <v>Regular</v>
      </c>
      <c r="X301" s="1" t="str">
        <f t="shared" si="44"/>
        <v>Discounted</v>
      </c>
    </row>
    <row r="302" spans="1:24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5">
        <v>6588.4</v>
      </c>
      <c r="P302" s="1">
        <f t="shared" si="36"/>
        <v>6935.16</v>
      </c>
      <c r="Q302" s="1" t="str">
        <f t="shared" si="37"/>
        <v>No</v>
      </c>
      <c r="R302" s="1" t="str">
        <f t="shared" si="38"/>
        <v>No</v>
      </c>
      <c r="S302" s="1" t="str">
        <f t="shared" si="39"/>
        <v>Yes</v>
      </c>
      <c r="T302" s="1" t="str">
        <f t="shared" si="40"/>
        <v>Normal</v>
      </c>
      <c r="U302" s="1" t="str">
        <f t="shared" si="41"/>
        <v>No</v>
      </c>
      <c r="V302" s="5" t="str">
        <f t="shared" si="42"/>
        <v>No</v>
      </c>
      <c r="W302" s="1" t="str">
        <f t="shared" si="43"/>
        <v>Regular</v>
      </c>
      <c r="X302" s="1" t="str">
        <f t="shared" si="44"/>
        <v>Discounted</v>
      </c>
    </row>
    <row r="303" spans="1:24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5">
        <v>4233.32</v>
      </c>
      <c r="P303" s="1">
        <f t="shared" si="36"/>
        <v>4456.13</v>
      </c>
      <c r="Q303" s="1" t="str">
        <f t="shared" si="37"/>
        <v>No</v>
      </c>
      <c r="R303" s="1" t="str">
        <f t="shared" si="38"/>
        <v>No</v>
      </c>
      <c r="S303" s="1" t="str">
        <f t="shared" si="39"/>
        <v>Yes</v>
      </c>
      <c r="T303" s="1" t="str">
        <f t="shared" si="40"/>
        <v>Normal</v>
      </c>
      <c r="U303" s="1" t="str">
        <f t="shared" si="41"/>
        <v>Yes</v>
      </c>
      <c r="V303" s="5" t="str">
        <f t="shared" si="42"/>
        <v>Yes</v>
      </c>
      <c r="W303" s="1" t="str">
        <f t="shared" si="43"/>
        <v>Regular</v>
      </c>
      <c r="X303" s="1" t="str">
        <f t="shared" si="44"/>
        <v>Discounted</v>
      </c>
    </row>
    <row r="304" spans="1:24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5">
        <v>1543.2</v>
      </c>
      <c r="P304" s="1">
        <f t="shared" si="36"/>
        <v>1543.1999999999998</v>
      </c>
      <c r="Q304" s="1" t="str">
        <f t="shared" si="37"/>
        <v>No</v>
      </c>
      <c r="R304" s="1" t="str">
        <f t="shared" si="38"/>
        <v>No</v>
      </c>
      <c r="S304" s="1" t="str">
        <f t="shared" si="39"/>
        <v>Yes</v>
      </c>
      <c r="T304" s="1" t="str">
        <f t="shared" si="40"/>
        <v>Normal</v>
      </c>
      <c r="U304" s="1" t="str">
        <f t="shared" si="41"/>
        <v>No</v>
      </c>
      <c r="V304" s="5" t="str">
        <f t="shared" si="42"/>
        <v>No</v>
      </c>
      <c r="W304" s="1" t="str">
        <f t="shared" si="43"/>
        <v>Regular</v>
      </c>
      <c r="X304" s="1" t="str">
        <f t="shared" si="44"/>
        <v>Discounted</v>
      </c>
    </row>
    <row r="305" spans="1:24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5">
        <v>8152.06</v>
      </c>
      <c r="P305" s="1">
        <f t="shared" si="36"/>
        <v>10190.08</v>
      </c>
      <c r="Q305" s="1" t="str">
        <f t="shared" si="37"/>
        <v>No</v>
      </c>
      <c r="R305" s="1" t="str">
        <f t="shared" si="38"/>
        <v>No</v>
      </c>
      <c r="S305" s="1" t="str">
        <f t="shared" si="39"/>
        <v>Yes</v>
      </c>
      <c r="T305" s="1" t="str">
        <f t="shared" si="40"/>
        <v>Normal</v>
      </c>
      <c r="U305" s="1" t="str">
        <f t="shared" si="41"/>
        <v>Yes</v>
      </c>
      <c r="V305" s="5" t="str">
        <f t="shared" si="42"/>
        <v>Yes</v>
      </c>
      <c r="W305" s="1" t="str">
        <f t="shared" si="43"/>
        <v>Regular</v>
      </c>
      <c r="X305" s="1" t="str">
        <f t="shared" si="44"/>
        <v>Discounted</v>
      </c>
    </row>
    <row r="306" spans="1:24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5">
        <v>5209.63</v>
      </c>
      <c r="P306" s="1">
        <f t="shared" si="36"/>
        <v>6512.04</v>
      </c>
      <c r="Q306" s="1" t="str">
        <f t="shared" si="37"/>
        <v>No</v>
      </c>
      <c r="R306" s="1" t="str">
        <f t="shared" si="38"/>
        <v>No</v>
      </c>
      <c r="S306" s="1" t="str">
        <f t="shared" si="39"/>
        <v>Yes</v>
      </c>
      <c r="T306" s="1" t="str">
        <f t="shared" si="40"/>
        <v>Normal</v>
      </c>
      <c r="U306" s="1" t="str">
        <f t="shared" si="41"/>
        <v>No</v>
      </c>
      <c r="V306" s="5" t="str">
        <f t="shared" si="42"/>
        <v>No</v>
      </c>
      <c r="W306" s="1" t="str">
        <f t="shared" si="43"/>
        <v>Regular</v>
      </c>
      <c r="X306" s="1" t="str">
        <f t="shared" si="44"/>
        <v>Discounted</v>
      </c>
    </row>
    <row r="307" spans="1:24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5">
        <v>2713.41</v>
      </c>
      <c r="P307" s="1">
        <f t="shared" si="36"/>
        <v>3391.76</v>
      </c>
      <c r="Q307" s="1" t="str">
        <f t="shared" si="37"/>
        <v>No</v>
      </c>
      <c r="R307" s="1" t="str">
        <f t="shared" si="38"/>
        <v>No</v>
      </c>
      <c r="S307" s="1" t="str">
        <f t="shared" si="39"/>
        <v>No</v>
      </c>
      <c r="T307" s="1" t="str">
        <f t="shared" si="40"/>
        <v>Normal</v>
      </c>
      <c r="U307" s="1" t="str">
        <f t="shared" si="41"/>
        <v>No</v>
      </c>
      <c r="V307" s="5" t="str">
        <f t="shared" si="42"/>
        <v>No</v>
      </c>
      <c r="W307" s="1" t="str">
        <f t="shared" si="43"/>
        <v>Regular</v>
      </c>
      <c r="X307" s="1" t="str">
        <f t="shared" si="44"/>
        <v>Discounted</v>
      </c>
    </row>
    <row r="308" spans="1:24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5">
        <v>7632.11</v>
      </c>
      <c r="P308" s="1">
        <f t="shared" si="36"/>
        <v>8033.8</v>
      </c>
      <c r="Q308" s="1" t="str">
        <f t="shared" si="37"/>
        <v>No</v>
      </c>
      <c r="R308" s="1" t="str">
        <f t="shared" si="38"/>
        <v>No</v>
      </c>
      <c r="S308" s="1" t="str">
        <f t="shared" si="39"/>
        <v>Yes</v>
      </c>
      <c r="T308" s="1" t="str">
        <f t="shared" si="40"/>
        <v>Normal</v>
      </c>
      <c r="U308" s="1" t="str">
        <f t="shared" si="41"/>
        <v>Yes</v>
      </c>
      <c r="V308" s="5" t="str">
        <f t="shared" si="42"/>
        <v>Yes</v>
      </c>
      <c r="W308" s="1" t="str">
        <f t="shared" si="43"/>
        <v>Regular</v>
      </c>
      <c r="X308" s="1" t="str">
        <f t="shared" si="44"/>
        <v>Discounted</v>
      </c>
    </row>
    <row r="309" spans="1:24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5">
        <v>12572.8</v>
      </c>
      <c r="P309" s="1">
        <f t="shared" si="36"/>
        <v>12572.8</v>
      </c>
      <c r="Q309" s="1" t="str">
        <f t="shared" si="37"/>
        <v>No</v>
      </c>
      <c r="R309" s="1" t="str">
        <f t="shared" si="38"/>
        <v>No</v>
      </c>
      <c r="S309" s="1" t="str">
        <f t="shared" si="39"/>
        <v>No</v>
      </c>
      <c r="T309" s="1" t="str">
        <f t="shared" si="40"/>
        <v>Normal</v>
      </c>
      <c r="U309" s="1" t="str">
        <f t="shared" si="41"/>
        <v>No</v>
      </c>
      <c r="V309" s="5" t="str">
        <f t="shared" si="42"/>
        <v>No</v>
      </c>
      <c r="W309" s="1" t="str">
        <f t="shared" si="43"/>
        <v>Regular</v>
      </c>
      <c r="X309" s="1" t="str">
        <f t="shared" si="44"/>
        <v>Discounted</v>
      </c>
    </row>
    <row r="310" spans="1:24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5">
        <v>2466.41</v>
      </c>
      <c r="P310" s="1">
        <f t="shared" si="36"/>
        <v>2740.46</v>
      </c>
      <c r="Q310" s="1" t="str">
        <f t="shared" si="37"/>
        <v>No</v>
      </c>
      <c r="R310" s="1" t="str">
        <f t="shared" si="38"/>
        <v>No</v>
      </c>
      <c r="S310" s="1" t="str">
        <f t="shared" si="39"/>
        <v>No</v>
      </c>
      <c r="T310" s="1" t="str">
        <f t="shared" si="40"/>
        <v>Normal</v>
      </c>
      <c r="U310" s="1" t="str">
        <f t="shared" si="41"/>
        <v>No</v>
      </c>
      <c r="V310" s="5" t="str">
        <f t="shared" si="42"/>
        <v>No</v>
      </c>
      <c r="W310" s="1" t="str">
        <f t="shared" si="43"/>
        <v>Regular</v>
      </c>
      <c r="X310" s="1" t="str">
        <f t="shared" si="44"/>
        <v>Discounted</v>
      </c>
    </row>
    <row r="311" spans="1:24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5">
        <v>16748.77</v>
      </c>
      <c r="P311" s="1">
        <f t="shared" si="36"/>
        <v>17630.28</v>
      </c>
      <c r="Q311" s="1" t="str">
        <f t="shared" si="37"/>
        <v>Yes</v>
      </c>
      <c r="R311" s="1" t="str">
        <f t="shared" si="38"/>
        <v>No</v>
      </c>
      <c r="S311" s="1" t="str">
        <f t="shared" si="39"/>
        <v>Yes</v>
      </c>
      <c r="T311" s="1" t="str">
        <f t="shared" si="40"/>
        <v>Normal</v>
      </c>
      <c r="U311" s="1" t="str">
        <f t="shared" si="41"/>
        <v>No</v>
      </c>
      <c r="V311" s="5" t="str">
        <f t="shared" si="42"/>
        <v>No</v>
      </c>
      <c r="W311" s="1" t="str">
        <f t="shared" si="43"/>
        <v>Premium</v>
      </c>
      <c r="X311" s="1" t="str">
        <f t="shared" si="44"/>
        <v>Discounted</v>
      </c>
    </row>
    <row r="312" spans="1:24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5">
        <v>7776.74</v>
      </c>
      <c r="P312" s="1">
        <f t="shared" si="36"/>
        <v>8186.04</v>
      </c>
      <c r="Q312" s="1" t="str">
        <f t="shared" si="37"/>
        <v>No</v>
      </c>
      <c r="R312" s="1" t="str">
        <f t="shared" si="38"/>
        <v>No</v>
      </c>
      <c r="S312" s="1" t="str">
        <f t="shared" si="39"/>
        <v>Yes</v>
      </c>
      <c r="T312" s="1" t="str">
        <f t="shared" si="40"/>
        <v>Normal</v>
      </c>
      <c r="U312" s="1" t="str">
        <f t="shared" si="41"/>
        <v>Yes</v>
      </c>
      <c r="V312" s="5" t="str">
        <f t="shared" si="42"/>
        <v>Yes</v>
      </c>
      <c r="W312" s="1" t="str">
        <f t="shared" si="43"/>
        <v>Regular</v>
      </c>
      <c r="X312" s="1" t="str">
        <f t="shared" si="44"/>
        <v>Discounted</v>
      </c>
    </row>
    <row r="313" spans="1:24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5">
        <v>2588.64</v>
      </c>
      <c r="P313" s="1">
        <f t="shared" si="36"/>
        <v>2588.64</v>
      </c>
      <c r="Q313" s="1" t="str">
        <f t="shared" si="37"/>
        <v>No</v>
      </c>
      <c r="R313" s="1" t="str">
        <f t="shared" si="38"/>
        <v>No</v>
      </c>
      <c r="S313" s="1" t="str">
        <f t="shared" si="39"/>
        <v>No</v>
      </c>
      <c r="T313" s="1" t="str">
        <f t="shared" si="40"/>
        <v>Normal</v>
      </c>
      <c r="U313" s="1" t="str">
        <f t="shared" si="41"/>
        <v>No</v>
      </c>
      <c r="V313" s="5" t="str">
        <f t="shared" si="42"/>
        <v>No</v>
      </c>
      <c r="W313" s="1" t="str">
        <f t="shared" si="43"/>
        <v>Regular</v>
      </c>
      <c r="X313" s="1" t="str">
        <f t="shared" si="44"/>
        <v>Discounted</v>
      </c>
    </row>
    <row r="314" spans="1:24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5">
        <v>2763.58</v>
      </c>
      <c r="P314" s="1">
        <f t="shared" si="36"/>
        <v>3251.27</v>
      </c>
      <c r="Q314" s="1" t="str">
        <f t="shared" si="37"/>
        <v>No</v>
      </c>
      <c r="R314" s="1" t="str">
        <f t="shared" si="38"/>
        <v>No</v>
      </c>
      <c r="S314" s="1" t="str">
        <f t="shared" si="39"/>
        <v>Yes</v>
      </c>
      <c r="T314" s="1" t="str">
        <f t="shared" si="40"/>
        <v>Normal</v>
      </c>
      <c r="U314" s="1" t="str">
        <f t="shared" si="41"/>
        <v>No</v>
      </c>
      <c r="V314" s="5" t="str">
        <f t="shared" si="42"/>
        <v>No</v>
      </c>
      <c r="W314" s="1" t="str">
        <f t="shared" si="43"/>
        <v>Regular</v>
      </c>
      <c r="X314" s="1" t="str">
        <f t="shared" si="44"/>
        <v>Discounted</v>
      </c>
    </row>
    <row r="315" spans="1:24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5">
        <v>1597.76</v>
      </c>
      <c r="P315" s="1">
        <f t="shared" si="36"/>
        <v>1681.85</v>
      </c>
      <c r="Q315" s="1" t="str">
        <f t="shared" si="37"/>
        <v>No</v>
      </c>
      <c r="R315" s="1" t="str">
        <f t="shared" si="38"/>
        <v>No</v>
      </c>
      <c r="S315" s="1" t="str">
        <f t="shared" si="39"/>
        <v>Yes</v>
      </c>
      <c r="T315" s="1" t="str">
        <f t="shared" si="40"/>
        <v>Normal</v>
      </c>
      <c r="U315" s="1" t="str">
        <f t="shared" si="41"/>
        <v>Yes</v>
      </c>
      <c r="V315" s="5" t="str">
        <f t="shared" si="42"/>
        <v>Yes</v>
      </c>
      <c r="W315" s="1" t="str">
        <f t="shared" si="43"/>
        <v>Regular</v>
      </c>
      <c r="X315" s="1" t="str">
        <f t="shared" si="44"/>
        <v>Discounted</v>
      </c>
    </row>
    <row r="316" spans="1:24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5">
        <v>22120.54</v>
      </c>
      <c r="P316" s="1">
        <f t="shared" si="36"/>
        <v>26024.16</v>
      </c>
      <c r="Q316" s="1" t="str">
        <f t="shared" si="37"/>
        <v>Yes</v>
      </c>
      <c r="R316" s="1" t="str">
        <f t="shared" si="38"/>
        <v>Yes</v>
      </c>
      <c r="S316" s="1" t="str">
        <f t="shared" si="39"/>
        <v>Yes</v>
      </c>
      <c r="T316" s="1" t="str">
        <f t="shared" si="40"/>
        <v>Normal</v>
      </c>
      <c r="U316" s="1" t="str">
        <f t="shared" si="41"/>
        <v>Yes</v>
      </c>
      <c r="V316" s="5" t="str">
        <f t="shared" si="42"/>
        <v>Yes</v>
      </c>
      <c r="W316" s="1" t="str">
        <f t="shared" si="43"/>
        <v>Premium</v>
      </c>
      <c r="X316" s="1" t="str">
        <f t="shared" si="44"/>
        <v>Non Dis Bulk Order</v>
      </c>
    </row>
    <row r="317" spans="1:24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5">
        <v>16518.97</v>
      </c>
      <c r="P317" s="1">
        <f t="shared" si="36"/>
        <v>19434.080000000002</v>
      </c>
      <c r="Q317" s="1" t="str">
        <f t="shared" si="37"/>
        <v>Yes</v>
      </c>
      <c r="R317" s="1" t="str">
        <f t="shared" si="38"/>
        <v>Yes</v>
      </c>
      <c r="S317" s="1" t="str">
        <f t="shared" si="39"/>
        <v>No</v>
      </c>
      <c r="T317" s="1" t="str">
        <f t="shared" si="40"/>
        <v>Normal</v>
      </c>
      <c r="U317" s="1" t="str">
        <f t="shared" si="41"/>
        <v>No</v>
      </c>
      <c r="V317" s="5" t="str">
        <f t="shared" si="42"/>
        <v>No</v>
      </c>
      <c r="W317" s="1" t="str">
        <f t="shared" si="43"/>
        <v>Regular</v>
      </c>
      <c r="X317" s="1" t="str">
        <f t="shared" si="44"/>
        <v>Non Dis Bulk Order</v>
      </c>
    </row>
    <row r="318" spans="1:24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5">
        <v>1261.95</v>
      </c>
      <c r="P318" s="1">
        <f t="shared" si="36"/>
        <v>1577.44</v>
      </c>
      <c r="Q318" s="1" t="str">
        <f t="shared" si="37"/>
        <v>No</v>
      </c>
      <c r="R318" s="1" t="str">
        <f t="shared" si="38"/>
        <v>No</v>
      </c>
      <c r="S318" s="1" t="str">
        <f t="shared" si="39"/>
        <v>Yes</v>
      </c>
      <c r="T318" s="1" t="str">
        <f t="shared" si="40"/>
        <v>Normal</v>
      </c>
      <c r="U318" s="1" t="str">
        <f t="shared" si="41"/>
        <v>Yes</v>
      </c>
      <c r="V318" s="5" t="str">
        <f t="shared" si="42"/>
        <v>Yes</v>
      </c>
      <c r="W318" s="1" t="str">
        <f t="shared" si="43"/>
        <v>Regular</v>
      </c>
      <c r="X318" s="1" t="str">
        <f t="shared" si="44"/>
        <v>Discounted</v>
      </c>
    </row>
    <row r="319" spans="1:24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5">
        <v>1715.21</v>
      </c>
      <c r="P319" s="1">
        <f t="shared" si="36"/>
        <v>1715.21</v>
      </c>
      <c r="Q319" s="1" t="str">
        <f t="shared" si="37"/>
        <v>No</v>
      </c>
      <c r="R319" s="1" t="str">
        <f t="shared" si="38"/>
        <v>No</v>
      </c>
      <c r="S319" s="1" t="str">
        <f t="shared" si="39"/>
        <v>No</v>
      </c>
      <c r="T319" s="1" t="str">
        <f t="shared" si="40"/>
        <v>Normal</v>
      </c>
      <c r="U319" s="1" t="str">
        <f t="shared" si="41"/>
        <v>No</v>
      </c>
      <c r="V319" s="5" t="str">
        <f t="shared" si="42"/>
        <v>No</v>
      </c>
      <c r="W319" s="1" t="str">
        <f t="shared" si="43"/>
        <v>Regular</v>
      </c>
      <c r="X319" s="1" t="str">
        <f t="shared" si="44"/>
        <v>Discounted</v>
      </c>
    </row>
    <row r="320" spans="1:24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5">
        <v>10516.88</v>
      </c>
      <c r="P320" s="1">
        <f t="shared" si="36"/>
        <v>12372.8</v>
      </c>
      <c r="Q320" s="1" t="str">
        <f t="shared" si="37"/>
        <v>Yes</v>
      </c>
      <c r="R320" s="1" t="str">
        <f t="shared" si="38"/>
        <v>Yes</v>
      </c>
      <c r="S320" s="1" t="str">
        <f t="shared" si="39"/>
        <v>Yes</v>
      </c>
      <c r="T320" s="1" t="str">
        <f t="shared" si="40"/>
        <v>Normal</v>
      </c>
      <c r="U320" s="1" t="str">
        <f t="shared" si="41"/>
        <v>Yes</v>
      </c>
      <c r="V320" s="5" t="str">
        <f t="shared" si="42"/>
        <v>Yes</v>
      </c>
      <c r="W320" s="1" t="str">
        <f t="shared" si="43"/>
        <v>Regular</v>
      </c>
      <c r="X320" s="1" t="str">
        <f t="shared" si="44"/>
        <v>Non Dis Bulk Order</v>
      </c>
    </row>
    <row r="321" spans="1:24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5">
        <v>18038.240000000002</v>
      </c>
      <c r="P321" s="1">
        <f t="shared" si="36"/>
        <v>18038.240000000002</v>
      </c>
      <c r="Q321" s="1" t="str">
        <f t="shared" si="37"/>
        <v>Yes</v>
      </c>
      <c r="R321" s="1" t="str">
        <f t="shared" si="38"/>
        <v>No</v>
      </c>
      <c r="S321" s="1" t="str">
        <f t="shared" si="39"/>
        <v>Yes</v>
      </c>
      <c r="T321" s="1" t="str">
        <f t="shared" si="40"/>
        <v>Normal</v>
      </c>
      <c r="U321" s="1" t="str">
        <f t="shared" si="41"/>
        <v>No</v>
      </c>
      <c r="V321" s="5" t="str">
        <f t="shared" si="42"/>
        <v>No</v>
      </c>
      <c r="W321" s="1" t="str">
        <f t="shared" si="43"/>
        <v>Regular</v>
      </c>
      <c r="X321" s="1" t="str">
        <f t="shared" si="44"/>
        <v>Discounted</v>
      </c>
    </row>
    <row r="322" spans="1:24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5">
        <v>18946.54</v>
      </c>
      <c r="P322" s="1">
        <f t="shared" si="36"/>
        <v>23683.17</v>
      </c>
      <c r="Q322" s="1" t="str">
        <f t="shared" si="37"/>
        <v>Yes</v>
      </c>
      <c r="R322" s="1" t="str">
        <f t="shared" si="38"/>
        <v>No</v>
      </c>
      <c r="S322" s="1" t="str">
        <f t="shared" si="39"/>
        <v>No</v>
      </c>
      <c r="T322" s="1" t="str">
        <f t="shared" si="40"/>
        <v>Normal</v>
      </c>
      <c r="U322" s="1" t="str">
        <f t="shared" si="41"/>
        <v>No</v>
      </c>
      <c r="V322" s="5" t="str">
        <f t="shared" si="42"/>
        <v>No</v>
      </c>
      <c r="W322" s="1" t="str">
        <f t="shared" si="43"/>
        <v>Premium</v>
      </c>
      <c r="X322" s="1" t="str">
        <f t="shared" si="44"/>
        <v>Discounted</v>
      </c>
    </row>
    <row r="323" spans="1:24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5">
        <v>3204.1</v>
      </c>
      <c r="P323" s="1">
        <f t="shared" ref="P323:P386" si="45">L323*M323</f>
        <v>3204.1000000000004</v>
      </c>
      <c r="Q323" s="1" t="str">
        <f t="shared" ref="Q323:Q386" si="46">IF(AND(L323&gt;5,O323&gt;10000),"Yes","No")</f>
        <v>No</v>
      </c>
      <c r="R323" s="1" t="str">
        <f t="shared" ref="R323:R386" si="47">IF(AND(L323&gt;=8,N323&gt;=10),"Yes","No")</f>
        <v>No</v>
      </c>
      <c r="S323" s="1" t="str">
        <f t="shared" ref="S323:S386" si="48">IF(OR(G323="Mobile App",G323="Website"),"Yes","No")</f>
        <v>No</v>
      </c>
      <c r="T323" s="1" t="str">
        <f t="shared" ref="T323:T386" si="49">IF(AND(L323&lt;3,O323&lt;1000),"Special attention","Normal")</f>
        <v>Normal</v>
      </c>
      <c r="U323" s="1" t="str">
        <f t="shared" ref="U323:U386" si="50">IF(NOT(G323="Website"),"No","Yes")</f>
        <v>No</v>
      </c>
      <c r="V323" s="5" t="str">
        <f t="shared" ref="V323:V386" si="51">IF(G323&lt;&gt;"Website","No","Yes")</f>
        <v>No</v>
      </c>
      <c r="W323" s="1" t="str">
        <f t="shared" ref="W323:W386" si="52">IF(AND(O323&gt;15000,OR(I323="Electronics",I323="Beauty")),"Premium","Regular")</f>
        <v>Regular</v>
      </c>
      <c r="X323" s="1" t="str">
        <f t="shared" ref="X323:X386" si="53">IF(AND(L323&gt;=8,NOT(N323=0%)),"Non Dis Bulk Order","Discounted")</f>
        <v>Discounted</v>
      </c>
    </row>
    <row r="324" spans="1:24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5">
        <v>3069.25</v>
      </c>
      <c r="P324" s="1">
        <f t="shared" si="45"/>
        <v>3230.79</v>
      </c>
      <c r="Q324" s="1" t="str">
        <f t="shared" si="46"/>
        <v>No</v>
      </c>
      <c r="R324" s="1" t="str">
        <f t="shared" si="47"/>
        <v>No</v>
      </c>
      <c r="S324" s="1" t="str">
        <f t="shared" si="48"/>
        <v>Yes</v>
      </c>
      <c r="T324" s="1" t="str">
        <f t="shared" si="49"/>
        <v>Normal</v>
      </c>
      <c r="U324" s="1" t="str">
        <f t="shared" si="50"/>
        <v>Yes</v>
      </c>
      <c r="V324" s="5" t="str">
        <f t="shared" si="51"/>
        <v>Yes</v>
      </c>
      <c r="W324" s="1" t="str">
        <f t="shared" si="52"/>
        <v>Regular</v>
      </c>
      <c r="X324" s="1" t="str">
        <f t="shared" si="53"/>
        <v>Discounted</v>
      </c>
    </row>
    <row r="325" spans="1:24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5">
        <v>26565.24</v>
      </c>
      <c r="P325" s="1">
        <f t="shared" si="45"/>
        <v>31253.22</v>
      </c>
      <c r="Q325" s="1" t="str">
        <f t="shared" si="46"/>
        <v>Yes</v>
      </c>
      <c r="R325" s="1" t="str">
        <f t="shared" si="47"/>
        <v>Yes</v>
      </c>
      <c r="S325" s="1" t="str">
        <f t="shared" si="48"/>
        <v>Yes</v>
      </c>
      <c r="T325" s="1" t="str">
        <f t="shared" si="49"/>
        <v>Normal</v>
      </c>
      <c r="U325" s="1" t="str">
        <f t="shared" si="50"/>
        <v>Yes</v>
      </c>
      <c r="V325" s="5" t="str">
        <f t="shared" si="51"/>
        <v>Yes</v>
      </c>
      <c r="W325" s="1" t="str">
        <f t="shared" si="52"/>
        <v>Regular</v>
      </c>
      <c r="X325" s="1" t="str">
        <f t="shared" si="53"/>
        <v>Non Dis Bulk Order</v>
      </c>
    </row>
    <row r="326" spans="1:24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5">
        <v>5111.05</v>
      </c>
      <c r="P326" s="1">
        <f t="shared" si="45"/>
        <v>5111.05</v>
      </c>
      <c r="Q326" s="1" t="str">
        <f t="shared" si="46"/>
        <v>No</v>
      </c>
      <c r="R326" s="1" t="str">
        <f t="shared" si="47"/>
        <v>No</v>
      </c>
      <c r="S326" s="1" t="str">
        <f t="shared" si="48"/>
        <v>No</v>
      </c>
      <c r="T326" s="1" t="str">
        <f t="shared" si="49"/>
        <v>Normal</v>
      </c>
      <c r="U326" s="1" t="str">
        <f t="shared" si="50"/>
        <v>No</v>
      </c>
      <c r="V326" s="5" t="str">
        <f t="shared" si="51"/>
        <v>No</v>
      </c>
      <c r="W326" s="1" t="str">
        <f t="shared" si="52"/>
        <v>Regular</v>
      </c>
      <c r="X326" s="1" t="str">
        <f t="shared" si="53"/>
        <v>Discounted</v>
      </c>
    </row>
    <row r="327" spans="1:24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5">
        <v>6171.55</v>
      </c>
      <c r="P327" s="1">
        <f t="shared" si="45"/>
        <v>6857.28</v>
      </c>
      <c r="Q327" s="1" t="str">
        <f t="shared" si="46"/>
        <v>No</v>
      </c>
      <c r="R327" s="1" t="str">
        <f t="shared" si="47"/>
        <v>No</v>
      </c>
      <c r="S327" s="1" t="str">
        <f t="shared" si="48"/>
        <v>Yes</v>
      </c>
      <c r="T327" s="1" t="str">
        <f t="shared" si="49"/>
        <v>Normal</v>
      </c>
      <c r="U327" s="1" t="str">
        <f t="shared" si="50"/>
        <v>Yes</v>
      </c>
      <c r="V327" s="5" t="str">
        <f t="shared" si="51"/>
        <v>Yes</v>
      </c>
      <c r="W327" s="1" t="str">
        <f t="shared" si="52"/>
        <v>Regular</v>
      </c>
      <c r="X327" s="1" t="str">
        <f t="shared" si="53"/>
        <v>Discounted</v>
      </c>
    </row>
    <row r="328" spans="1:24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5">
        <v>23802.6</v>
      </c>
      <c r="P328" s="1">
        <f t="shared" si="45"/>
        <v>23802.6</v>
      </c>
      <c r="Q328" s="1" t="str">
        <f t="shared" si="46"/>
        <v>Yes</v>
      </c>
      <c r="R328" s="1" t="str">
        <f t="shared" si="47"/>
        <v>No</v>
      </c>
      <c r="S328" s="1" t="str">
        <f t="shared" si="48"/>
        <v>Yes</v>
      </c>
      <c r="T328" s="1" t="str">
        <f t="shared" si="49"/>
        <v>Normal</v>
      </c>
      <c r="U328" s="1" t="str">
        <f t="shared" si="50"/>
        <v>No</v>
      </c>
      <c r="V328" s="5" t="str">
        <f t="shared" si="51"/>
        <v>No</v>
      </c>
      <c r="W328" s="1" t="str">
        <f t="shared" si="52"/>
        <v>Premium</v>
      </c>
      <c r="X328" s="1" t="str">
        <f t="shared" si="53"/>
        <v>Discounted</v>
      </c>
    </row>
    <row r="329" spans="1:24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5">
        <v>5012.16</v>
      </c>
      <c r="P329" s="1">
        <f t="shared" si="45"/>
        <v>5896.66</v>
      </c>
      <c r="Q329" s="1" t="str">
        <f t="shared" si="46"/>
        <v>No</v>
      </c>
      <c r="R329" s="1" t="str">
        <f t="shared" si="47"/>
        <v>No</v>
      </c>
      <c r="S329" s="1" t="str">
        <f t="shared" si="48"/>
        <v>Yes</v>
      </c>
      <c r="T329" s="1" t="str">
        <f t="shared" si="49"/>
        <v>Normal</v>
      </c>
      <c r="U329" s="1" t="str">
        <f t="shared" si="50"/>
        <v>Yes</v>
      </c>
      <c r="V329" s="5" t="str">
        <f t="shared" si="51"/>
        <v>Yes</v>
      </c>
      <c r="W329" s="1" t="str">
        <f t="shared" si="52"/>
        <v>Regular</v>
      </c>
      <c r="X329" s="1" t="str">
        <f t="shared" si="53"/>
        <v>Discounted</v>
      </c>
    </row>
    <row r="330" spans="1:24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5">
        <v>2537.09</v>
      </c>
      <c r="P330" s="1">
        <f t="shared" si="45"/>
        <v>3171.36</v>
      </c>
      <c r="Q330" s="1" t="str">
        <f t="shared" si="46"/>
        <v>No</v>
      </c>
      <c r="R330" s="1" t="str">
        <f t="shared" si="47"/>
        <v>No</v>
      </c>
      <c r="S330" s="1" t="str">
        <f t="shared" si="48"/>
        <v>Yes</v>
      </c>
      <c r="T330" s="1" t="str">
        <f t="shared" si="49"/>
        <v>Normal</v>
      </c>
      <c r="U330" s="1" t="str">
        <f t="shared" si="50"/>
        <v>No</v>
      </c>
      <c r="V330" s="5" t="str">
        <f t="shared" si="51"/>
        <v>No</v>
      </c>
      <c r="W330" s="1" t="str">
        <f t="shared" si="52"/>
        <v>Regular</v>
      </c>
      <c r="X330" s="1" t="str">
        <f t="shared" si="53"/>
        <v>Discounted</v>
      </c>
    </row>
    <row r="331" spans="1:24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5">
        <v>22279.599999999999</v>
      </c>
      <c r="P331" s="1">
        <f t="shared" si="45"/>
        <v>27849.5</v>
      </c>
      <c r="Q331" s="1" t="str">
        <f t="shared" si="46"/>
        <v>Yes</v>
      </c>
      <c r="R331" s="1" t="str">
        <f t="shared" si="47"/>
        <v>No</v>
      </c>
      <c r="S331" s="1" t="str">
        <f t="shared" si="48"/>
        <v>Yes</v>
      </c>
      <c r="T331" s="1" t="str">
        <f t="shared" si="49"/>
        <v>Normal</v>
      </c>
      <c r="U331" s="1" t="str">
        <f t="shared" si="50"/>
        <v>No</v>
      </c>
      <c r="V331" s="5" t="str">
        <f t="shared" si="51"/>
        <v>No</v>
      </c>
      <c r="W331" s="1" t="str">
        <f t="shared" si="52"/>
        <v>Premium</v>
      </c>
      <c r="X331" s="1" t="str">
        <f t="shared" si="53"/>
        <v>Discounted</v>
      </c>
    </row>
    <row r="332" spans="1:24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5">
        <v>4217.87</v>
      </c>
      <c r="P332" s="1">
        <f t="shared" si="45"/>
        <v>4962.2</v>
      </c>
      <c r="Q332" s="1" t="str">
        <f t="shared" si="46"/>
        <v>No</v>
      </c>
      <c r="R332" s="1" t="str">
        <f t="shared" si="47"/>
        <v>No</v>
      </c>
      <c r="S332" s="1" t="str">
        <f t="shared" si="48"/>
        <v>Yes</v>
      </c>
      <c r="T332" s="1" t="str">
        <f t="shared" si="49"/>
        <v>Normal</v>
      </c>
      <c r="U332" s="1" t="str">
        <f t="shared" si="50"/>
        <v>No</v>
      </c>
      <c r="V332" s="5" t="str">
        <f t="shared" si="51"/>
        <v>No</v>
      </c>
      <c r="W332" s="1" t="str">
        <f t="shared" si="52"/>
        <v>Regular</v>
      </c>
      <c r="X332" s="1" t="str">
        <f t="shared" si="53"/>
        <v>Discounted</v>
      </c>
    </row>
    <row r="333" spans="1:24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5">
        <v>2537.1799999999998</v>
      </c>
      <c r="P333" s="1">
        <f t="shared" si="45"/>
        <v>2670.72</v>
      </c>
      <c r="Q333" s="1" t="str">
        <f t="shared" si="46"/>
        <v>No</v>
      </c>
      <c r="R333" s="1" t="str">
        <f t="shared" si="47"/>
        <v>No</v>
      </c>
      <c r="S333" s="1" t="str">
        <f t="shared" si="48"/>
        <v>Yes</v>
      </c>
      <c r="T333" s="1" t="str">
        <f t="shared" si="49"/>
        <v>Normal</v>
      </c>
      <c r="U333" s="1" t="str">
        <f t="shared" si="50"/>
        <v>No</v>
      </c>
      <c r="V333" s="5" t="str">
        <f t="shared" si="51"/>
        <v>No</v>
      </c>
      <c r="W333" s="1" t="str">
        <f t="shared" si="52"/>
        <v>Regular</v>
      </c>
      <c r="X333" s="1" t="str">
        <f t="shared" si="53"/>
        <v>Discounted</v>
      </c>
    </row>
    <row r="334" spans="1:24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5">
        <v>16028.83</v>
      </c>
      <c r="P334" s="1">
        <f t="shared" si="45"/>
        <v>16872.449999999997</v>
      </c>
      <c r="Q334" s="1" t="str">
        <f t="shared" si="46"/>
        <v>No</v>
      </c>
      <c r="R334" s="1" t="str">
        <f t="shared" si="47"/>
        <v>No</v>
      </c>
      <c r="S334" s="1" t="str">
        <f t="shared" si="48"/>
        <v>Yes</v>
      </c>
      <c r="T334" s="1" t="str">
        <f t="shared" si="49"/>
        <v>Normal</v>
      </c>
      <c r="U334" s="1" t="str">
        <f t="shared" si="50"/>
        <v>No</v>
      </c>
      <c r="V334" s="5" t="str">
        <f t="shared" si="51"/>
        <v>No</v>
      </c>
      <c r="W334" s="1" t="str">
        <f t="shared" si="52"/>
        <v>Premium</v>
      </c>
      <c r="X334" s="1" t="str">
        <f t="shared" si="53"/>
        <v>Discounted</v>
      </c>
    </row>
    <row r="335" spans="1:24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5">
        <v>10063.08</v>
      </c>
      <c r="P335" s="1">
        <f t="shared" si="45"/>
        <v>12578.85</v>
      </c>
      <c r="Q335" s="1" t="str">
        <f t="shared" si="46"/>
        <v>No</v>
      </c>
      <c r="R335" s="1" t="str">
        <f t="shared" si="47"/>
        <v>No</v>
      </c>
      <c r="S335" s="1" t="str">
        <f t="shared" si="48"/>
        <v>Yes</v>
      </c>
      <c r="T335" s="1" t="str">
        <f t="shared" si="49"/>
        <v>Normal</v>
      </c>
      <c r="U335" s="1" t="str">
        <f t="shared" si="50"/>
        <v>Yes</v>
      </c>
      <c r="V335" s="5" t="str">
        <f t="shared" si="51"/>
        <v>Yes</v>
      </c>
      <c r="W335" s="1" t="str">
        <f t="shared" si="52"/>
        <v>Regular</v>
      </c>
      <c r="X335" s="1" t="str">
        <f t="shared" si="53"/>
        <v>Discounted</v>
      </c>
    </row>
    <row r="336" spans="1:24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5">
        <v>13370.56</v>
      </c>
      <c r="P336" s="1">
        <f t="shared" si="45"/>
        <v>16713.2</v>
      </c>
      <c r="Q336" s="1" t="str">
        <f t="shared" si="46"/>
        <v>Yes</v>
      </c>
      <c r="R336" s="1" t="str">
        <f t="shared" si="47"/>
        <v>No</v>
      </c>
      <c r="S336" s="1" t="str">
        <f t="shared" si="48"/>
        <v>Yes</v>
      </c>
      <c r="T336" s="1" t="str">
        <f t="shared" si="49"/>
        <v>Normal</v>
      </c>
      <c r="U336" s="1" t="str">
        <f t="shared" si="50"/>
        <v>No</v>
      </c>
      <c r="V336" s="5" t="str">
        <f t="shared" si="51"/>
        <v>No</v>
      </c>
      <c r="W336" s="1" t="str">
        <f t="shared" si="52"/>
        <v>Regular</v>
      </c>
      <c r="X336" s="1" t="str">
        <f t="shared" si="53"/>
        <v>Discounted</v>
      </c>
    </row>
    <row r="337" spans="1:24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5">
        <v>957.52</v>
      </c>
      <c r="P337" s="1">
        <f t="shared" si="45"/>
        <v>1126.5</v>
      </c>
      <c r="Q337" s="1" t="str">
        <f t="shared" si="46"/>
        <v>No</v>
      </c>
      <c r="R337" s="1" t="str">
        <f t="shared" si="47"/>
        <v>No</v>
      </c>
      <c r="S337" s="1" t="str">
        <f t="shared" si="48"/>
        <v>Yes</v>
      </c>
      <c r="T337" s="1" t="str">
        <f t="shared" si="49"/>
        <v>Special attention</v>
      </c>
      <c r="U337" s="1" t="str">
        <f t="shared" si="50"/>
        <v>Yes</v>
      </c>
      <c r="V337" s="5" t="str">
        <f t="shared" si="51"/>
        <v>Yes</v>
      </c>
      <c r="W337" s="1" t="str">
        <f t="shared" si="52"/>
        <v>Regular</v>
      </c>
      <c r="X337" s="1" t="str">
        <f t="shared" si="53"/>
        <v>Discounted</v>
      </c>
    </row>
    <row r="338" spans="1:24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5">
        <v>23270.36</v>
      </c>
      <c r="P338" s="1">
        <f t="shared" si="45"/>
        <v>24495.119999999999</v>
      </c>
      <c r="Q338" s="1" t="str">
        <f t="shared" si="46"/>
        <v>Yes</v>
      </c>
      <c r="R338" s="1" t="str">
        <f t="shared" si="47"/>
        <v>No</v>
      </c>
      <c r="S338" s="1" t="str">
        <f t="shared" si="48"/>
        <v>Yes</v>
      </c>
      <c r="T338" s="1" t="str">
        <f t="shared" si="49"/>
        <v>Normal</v>
      </c>
      <c r="U338" s="1" t="str">
        <f t="shared" si="50"/>
        <v>No</v>
      </c>
      <c r="V338" s="5" t="str">
        <f t="shared" si="51"/>
        <v>No</v>
      </c>
      <c r="W338" s="1" t="str">
        <f t="shared" si="52"/>
        <v>Regular</v>
      </c>
      <c r="X338" s="1" t="str">
        <f t="shared" si="53"/>
        <v>Non Dis Bulk Order</v>
      </c>
    </row>
    <row r="339" spans="1:24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5">
        <v>1114.6099999999999</v>
      </c>
      <c r="P339" s="1">
        <f t="shared" si="45"/>
        <v>1393.26</v>
      </c>
      <c r="Q339" s="1" t="str">
        <f t="shared" si="46"/>
        <v>No</v>
      </c>
      <c r="R339" s="1" t="str">
        <f t="shared" si="47"/>
        <v>No</v>
      </c>
      <c r="S339" s="1" t="str">
        <f t="shared" si="48"/>
        <v>No</v>
      </c>
      <c r="T339" s="1" t="str">
        <f t="shared" si="49"/>
        <v>Normal</v>
      </c>
      <c r="U339" s="1" t="str">
        <f t="shared" si="50"/>
        <v>No</v>
      </c>
      <c r="V339" s="5" t="str">
        <f t="shared" si="51"/>
        <v>No</v>
      </c>
      <c r="W339" s="1" t="str">
        <f t="shared" si="52"/>
        <v>Regular</v>
      </c>
      <c r="X339" s="1" t="str">
        <f t="shared" si="53"/>
        <v>Discounted</v>
      </c>
    </row>
    <row r="340" spans="1:24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5">
        <v>14092.34</v>
      </c>
      <c r="P340" s="1">
        <f t="shared" si="45"/>
        <v>14834.04</v>
      </c>
      <c r="Q340" s="1" t="str">
        <f t="shared" si="46"/>
        <v>No</v>
      </c>
      <c r="R340" s="1" t="str">
        <f t="shared" si="47"/>
        <v>No</v>
      </c>
      <c r="S340" s="1" t="str">
        <f t="shared" si="48"/>
        <v>Yes</v>
      </c>
      <c r="T340" s="1" t="str">
        <f t="shared" si="49"/>
        <v>Normal</v>
      </c>
      <c r="U340" s="1" t="str">
        <f t="shared" si="50"/>
        <v>No</v>
      </c>
      <c r="V340" s="5" t="str">
        <f t="shared" si="51"/>
        <v>No</v>
      </c>
      <c r="W340" s="1" t="str">
        <f t="shared" si="52"/>
        <v>Regular</v>
      </c>
      <c r="X340" s="1" t="str">
        <f t="shared" si="53"/>
        <v>Discounted</v>
      </c>
    </row>
    <row r="341" spans="1:24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5">
        <v>10111.82</v>
      </c>
      <c r="P341" s="1">
        <f t="shared" si="45"/>
        <v>12639.78</v>
      </c>
      <c r="Q341" s="1" t="str">
        <f t="shared" si="46"/>
        <v>Yes</v>
      </c>
      <c r="R341" s="1" t="str">
        <f t="shared" si="47"/>
        <v>Yes</v>
      </c>
      <c r="S341" s="1" t="str">
        <f t="shared" si="48"/>
        <v>No</v>
      </c>
      <c r="T341" s="1" t="str">
        <f t="shared" si="49"/>
        <v>Normal</v>
      </c>
      <c r="U341" s="1" t="str">
        <f t="shared" si="50"/>
        <v>No</v>
      </c>
      <c r="V341" s="5" t="str">
        <f t="shared" si="51"/>
        <v>No</v>
      </c>
      <c r="W341" s="1" t="str">
        <f t="shared" si="52"/>
        <v>Regular</v>
      </c>
      <c r="X341" s="1" t="str">
        <f t="shared" si="53"/>
        <v>Non Dis Bulk Order</v>
      </c>
    </row>
    <row r="342" spans="1:24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5">
        <v>2567.7199999999998</v>
      </c>
      <c r="P342" s="1">
        <f t="shared" si="45"/>
        <v>2567.7199999999998</v>
      </c>
      <c r="Q342" s="1" t="str">
        <f t="shared" si="46"/>
        <v>No</v>
      </c>
      <c r="R342" s="1" t="str">
        <f t="shared" si="47"/>
        <v>No</v>
      </c>
      <c r="S342" s="1" t="str">
        <f t="shared" si="48"/>
        <v>Yes</v>
      </c>
      <c r="T342" s="1" t="str">
        <f t="shared" si="49"/>
        <v>Normal</v>
      </c>
      <c r="U342" s="1" t="str">
        <f t="shared" si="50"/>
        <v>No</v>
      </c>
      <c r="V342" s="5" t="str">
        <f t="shared" si="51"/>
        <v>No</v>
      </c>
      <c r="W342" s="1" t="str">
        <f t="shared" si="52"/>
        <v>Regular</v>
      </c>
      <c r="X342" s="1" t="str">
        <f t="shared" si="53"/>
        <v>Discounted</v>
      </c>
    </row>
    <row r="343" spans="1:24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5">
        <v>8338.99</v>
      </c>
      <c r="P343" s="1">
        <f t="shared" si="45"/>
        <v>9265.5499999999993</v>
      </c>
      <c r="Q343" s="1" t="str">
        <f t="shared" si="46"/>
        <v>No</v>
      </c>
      <c r="R343" s="1" t="str">
        <f t="shared" si="47"/>
        <v>No</v>
      </c>
      <c r="S343" s="1" t="str">
        <f t="shared" si="48"/>
        <v>Yes</v>
      </c>
      <c r="T343" s="1" t="str">
        <f t="shared" si="49"/>
        <v>Normal</v>
      </c>
      <c r="U343" s="1" t="str">
        <f t="shared" si="50"/>
        <v>No</v>
      </c>
      <c r="V343" s="5" t="str">
        <f t="shared" si="51"/>
        <v>No</v>
      </c>
      <c r="W343" s="1" t="str">
        <f t="shared" si="52"/>
        <v>Regular</v>
      </c>
      <c r="X343" s="1" t="str">
        <f t="shared" si="53"/>
        <v>Discounted</v>
      </c>
    </row>
    <row r="344" spans="1:24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5">
        <v>2194.5700000000002</v>
      </c>
      <c r="P344" s="1">
        <f t="shared" si="45"/>
        <v>2194.5699999999997</v>
      </c>
      <c r="Q344" s="1" t="str">
        <f t="shared" si="46"/>
        <v>No</v>
      </c>
      <c r="R344" s="1" t="str">
        <f t="shared" si="47"/>
        <v>No</v>
      </c>
      <c r="S344" s="1" t="str">
        <f t="shared" si="48"/>
        <v>Yes</v>
      </c>
      <c r="T344" s="1" t="str">
        <f t="shared" si="49"/>
        <v>Normal</v>
      </c>
      <c r="U344" s="1" t="str">
        <f t="shared" si="50"/>
        <v>No</v>
      </c>
      <c r="V344" s="5" t="str">
        <f t="shared" si="51"/>
        <v>No</v>
      </c>
      <c r="W344" s="1" t="str">
        <f t="shared" si="52"/>
        <v>Regular</v>
      </c>
      <c r="X344" s="1" t="str">
        <f t="shared" si="53"/>
        <v>Discounted</v>
      </c>
    </row>
    <row r="345" spans="1:24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5">
        <v>8914.59</v>
      </c>
      <c r="P345" s="1">
        <f t="shared" si="45"/>
        <v>11143.24</v>
      </c>
      <c r="Q345" s="1" t="str">
        <f t="shared" si="46"/>
        <v>No</v>
      </c>
      <c r="R345" s="1" t="str">
        <f t="shared" si="47"/>
        <v>No</v>
      </c>
      <c r="S345" s="1" t="str">
        <f t="shared" si="48"/>
        <v>No</v>
      </c>
      <c r="T345" s="1" t="str">
        <f t="shared" si="49"/>
        <v>Normal</v>
      </c>
      <c r="U345" s="1" t="str">
        <f t="shared" si="50"/>
        <v>No</v>
      </c>
      <c r="V345" s="5" t="str">
        <f t="shared" si="51"/>
        <v>No</v>
      </c>
      <c r="W345" s="1" t="str">
        <f t="shared" si="52"/>
        <v>Regular</v>
      </c>
      <c r="X345" s="1" t="str">
        <f t="shared" si="53"/>
        <v>Discounted</v>
      </c>
    </row>
    <row r="346" spans="1:24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5">
        <v>3262.88</v>
      </c>
      <c r="P346" s="1">
        <f t="shared" si="45"/>
        <v>3625.42</v>
      </c>
      <c r="Q346" s="1" t="str">
        <f t="shared" si="46"/>
        <v>No</v>
      </c>
      <c r="R346" s="1" t="str">
        <f t="shared" si="47"/>
        <v>No</v>
      </c>
      <c r="S346" s="1" t="str">
        <f t="shared" si="48"/>
        <v>No</v>
      </c>
      <c r="T346" s="1" t="str">
        <f t="shared" si="49"/>
        <v>Normal</v>
      </c>
      <c r="U346" s="1" t="str">
        <f t="shared" si="50"/>
        <v>No</v>
      </c>
      <c r="V346" s="5" t="str">
        <f t="shared" si="51"/>
        <v>No</v>
      </c>
      <c r="W346" s="1" t="str">
        <f t="shared" si="52"/>
        <v>Regular</v>
      </c>
      <c r="X346" s="1" t="str">
        <f t="shared" si="53"/>
        <v>Discounted</v>
      </c>
    </row>
    <row r="347" spans="1:24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5">
        <v>27325.03</v>
      </c>
      <c r="P347" s="1">
        <f t="shared" si="45"/>
        <v>30361.14</v>
      </c>
      <c r="Q347" s="1" t="str">
        <f t="shared" si="46"/>
        <v>Yes</v>
      </c>
      <c r="R347" s="1" t="str">
        <f t="shared" si="47"/>
        <v>Yes</v>
      </c>
      <c r="S347" s="1" t="str">
        <f t="shared" si="48"/>
        <v>Yes</v>
      </c>
      <c r="T347" s="1" t="str">
        <f t="shared" si="49"/>
        <v>Normal</v>
      </c>
      <c r="U347" s="1" t="str">
        <f t="shared" si="50"/>
        <v>No</v>
      </c>
      <c r="V347" s="5" t="str">
        <f t="shared" si="51"/>
        <v>No</v>
      </c>
      <c r="W347" s="1" t="str">
        <f t="shared" si="52"/>
        <v>Regular</v>
      </c>
      <c r="X347" s="1" t="str">
        <f t="shared" si="53"/>
        <v>Non Dis Bulk Order</v>
      </c>
    </row>
    <row r="348" spans="1:24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5">
        <v>2049.1799999999998</v>
      </c>
      <c r="P348" s="1">
        <f t="shared" si="45"/>
        <v>2561.48</v>
      </c>
      <c r="Q348" s="1" t="str">
        <f t="shared" si="46"/>
        <v>No</v>
      </c>
      <c r="R348" s="1" t="str">
        <f t="shared" si="47"/>
        <v>No</v>
      </c>
      <c r="S348" s="1" t="str">
        <f t="shared" si="48"/>
        <v>Yes</v>
      </c>
      <c r="T348" s="1" t="str">
        <f t="shared" si="49"/>
        <v>Normal</v>
      </c>
      <c r="U348" s="1" t="str">
        <f t="shared" si="50"/>
        <v>Yes</v>
      </c>
      <c r="V348" s="5" t="str">
        <f t="shared" si="51"/>
        <v>Yes</v>
      </c>
      <c r="W348" s="1" t="str">
        <f t="shared" si="52"/>
        <v>Regular</v>
      </c>
      <c r="X348" s="1" t="str">
        <f t="shared" si="53"/>
        <v>Discounted</v>
      </c>
    </row>
    <row r="349" spans="1:24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5">
        <v>4580.21</v>
      </c>
      <c r="P349" s="1">
        <f t="shared" si="45"/>
        <v>5725.26</v>
      </c>
      <c r="Q349" s="1" t="str">
        <f t="shared" si="46"/>
        <v>No</v>
      </c>
      <c r="R349" s="1" t="str">
        <f t="shared" si="47"/>
        <v>Yes</v>
      </c>
      <c r="S349" s="1" t="str">
        <f t="shared" si="48"/>
        <v>Yes</v>
      </c>
      <c r="T349" s="1" t="str">
        <f t="shared" si="49"/>
        <v>Normal</v>
      </c>
      <c r="U349" s="1" t="str">
        <f t="shared" si="50"/>
        <v>No</v>
      </c>
      <c r="V349" s="5" t="str">
        <f t="shared" si="51"/>
        <v>No</v>
      </c>
      <c r="W349" s="1" t="str">
        <f t="shared" si="52"/>
        <v>Regular</v>
      </c>
      <c r="X349" s="1" t="str">
        <f t="shared" si="53"/>
        <v>Non Dis Bulk Order</v>
      </c>
    </row>
    <row r="350" spans="1:24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5">
        <v>18705.8</v>
      </c>
      <c r="P350" s="1">
        <f t="shared" si="45"/>
        <v>19690.32</v>
      </c>
      <c r="Q350" s="1" t="str">
        <f t="shared" si="46"/>
        <v>Yes</v>
      </c>
      <c r="R350" s="1" t="str">
        <f t="shared" si="47"/>
        <v>No</v>
      </c>
      <c r="S350" s="1" t="str">
        <f t="shared" si="48"/>
        <v>No</v>
      </c>
      <c r="T350" s="1" t="str">
        <f t="shared" si="49"/>
        <v>Normal</v>
      </c>
      <c r="U350" s="1" t="str">
        <f t="shared" si="50"/>
        <v>No</v>
      </c>
      <c r="V350" s="5" t="str">
        <f t="shared" si="51"/>
        <v>No</v>
      </c>
      <c r="W350" s="1" t="str">
        <f t="shared" si="52"/>
        <v>Regular</v>
      </c>
      <c r="X350" s="1" t="str">
        <f t="shared" si="53"/>
        <v>Discounted</v>
      </c>
    </row>
    <row r="351" spans="1:24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5">
        <v>2966.7</v>
      </c>
      <c r="P351" s="1">
        <f t="shared" si="45"/>
        <v>3708.38</v>
      </c>
      <c r="Q351" s="1" t="str">
        <f t="shared" si="46"/>
        <v>No</v>
      </c>
      <c r="R351" s="1" t="str">
        <f t="shared" si="47"/>
        <v>No</v>
      </c>
      <c r="S351" s="1" t="str">
        <f t="shared" si="48"/>
        <v>Yes</v>
      </c>
      <c r="T351" s="1" t="str">
        <f t="shared" si="49"/>
        <v>Normal</v>
      </c>
      <c r="U351" s="1" t="str">
        <f t="shared" si="50"/>
        <v>No</v>
      </c>
      <c r="V351" s="5" t="str">
        <f t="shared" si="51"/>
        <v>No</v>
      </c>
      <c r="W351" s="1" t="str">
        <f t="shared" si="52"/>
        <v>Regular</v>
      </c>
      <c r="X351" s="1" t="str">
        <f t="shared" si="53"/>
        <v>Discounted</v>
      </c>
    </row>
    <row r="352" spans="1:24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5">
        <v>4905.13</v>
      </c>
      <c r="P352" s="1">
        <f t="shared" si="45"/>
        <v>5770.74</v>
      </c>
      <c r="Q352" s="1" t="str">
        <f t="shared" si="46"/>
        <v>No</v>
      </c>
      <c r="R352" s="1" t="str">
        <f t="shared" si="47"/>
        <v>No</v>
      </c>
      <c r="S352" s="1" t="str">
        <f t="shared" si="48"/>
        <v>No</v>
      </c>
      <c r="T352" s="1" t="str">
        <f t="shared" si="49"/>
        <v>Normal</v>
      </c>
      <c r="U352" s="1" t="str">
        <f t="shared" si="50"/>
        <v>No</v>
      </c>
      <c r="V352" s="5" t="str">
        <f t="shared" si="51"/>
        <v>No</v>
      </c>
      <c r="W352" s="1" t="str">
        <f t="shared" si="52"/>
        <v>Regular</v>
      </c>
      <c r="X352" s="1" t="str">
        <f t="shared" si="53"/>
        <v>Discounted</v>
      </c>
    </row>
    <row r="353" spans="1:24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5">
        <v>3313.66</v>
      </c>
      <c r="P353" s="1">
        <f t="shared" si="45"/>
        <v>4142.08</v>
      </c>
      <c r="Q353" s="1" t="str">
        <f t="shared" si="46"/>
        <v>No</v>
      </c>
      <c r="R353" s="1" t="str">
        <f t="shared" si="47"/>
        <v>No</v>
      </c>
      <c r="S353" s="1" t="str">
        <f t="shared" si="48"/>
        <v>No</v>
      </c>
      <c r="T353" s="1" t="str">
        <f t="shared" si="49"/>
        <v>Normal</v>
      </c>
      <c r="U353" s="1" t="str">
        <f t="shared" si="50"/>
        <v>No</v>
      </c>
      <c r="V353" s="5" t="str">
        <f t="shared" si="51"/>
        <v>No</v>
      </c>
      <c r="W353" s="1" t="str">
        <f t="shared" si="52"/>
        <v>Regular</v>
      </c>
      <c r="X353" s="1" t="str">
        <f t="shared" si="53"/>
        <v>Discounted</v>
      </c>
    </row>
    <row r="354" spans="1:24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5">
        <v>10521.12</v>
      </c>
      <c r="P354" s="1">
        <f t="shared" si="45"/>
        <v>12377.789999999999</v>
      </c>
      <c r="Q354" s="1" t="str">
        <f t="shared" si="46"/>
        <v>Yes</v>
      </c>
      <c r="R354" s="1" t="str">
        <f t="shared" si="47"/>
        <v>Yes</v>
      </c>
      <c r="S354" s="1" t="str">
        <f t="shared" si="48"/>
        <v>No</v>
      </c>
      <c r="T354" s="1" t="str">
        <f t="shared" si="49"/>
        <v>Normal</v>
      </c>
      <c r="U354" s="1" t="str">
        <f t="shared" si="50"/>
        <v>No</v>
      </c>
      <c r="V354" s="5" t="str">
        <f t="shared" si="51"/>
        <v>No</v>
      </c>
      <c r="W354" s="1" t="str">
        <f t="shared" si="52"/>
        <v>Regular</v>
      </c>
      <c r="X354" s="1" t="str">
        <f t="shared" si="53"/>
        <v>Non Dis Bulk Order</v>
      </c>
    </row>
    <row r="355" spans="1:24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5">
        <v>2874.34</v>
      </c>
      <c r="P355" s="1">
        <f t="shared" si="45"/>
        <v>3592.92</v>
      </c>
      <c r="Q355" s="1" t="str">
        <f t="shared" si="46"/>
        <v>No</v>
      </c>
      <c r="R355" s="1" t="str">
        <f t="shared" si="47"/>
        <v>No</v>
      </c>
      <c r="S355" s="1" t="str">
        <f t="shared" si="48"/>
        <v>Yes</v>
      </c>
      <c r="T355" s="1" t="str">
        <f t="shared" si="49"/>
        <v>Normal</v>
      </c>
      <c r="U355" s="1" t="str">
        <f t="shared" si="50"/>
        <v>No</v>
      </c>
      <c r="V355" s="5" t="str">
        <f t="shared" si="51"/>
        <v>No</v>
      </c>
      <c r="W355" s="1" t="str">
        <f t="shared" si="52"/>
        <v>Regular</v>
      </c>
      <c r="X355" s="1" t="str">
        <f t="shared" si="53"/>
        <v>Discounted</v>
      </c>
    </row>
    <row r="356" spans="1:24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5">
        <v>22511.119999999999</v>
      </c>
      <c r="P356" s="1">
        <f t="shared" si="45"/>
        <v>23695.920000000002</v>
      </c>
      <c r="Q356" s="1" t="str">
        <f t="shared" si="46"/>
        <v>Yes</v>
      </c>
      <c r="R356" s="1" t="str">
        <f t="shared" si="47"/>
        <v>No</v>
      </c>
      <c r="S356" s="1" t="str">
        <f t="shared" si="48"/>
        <v>No</v>
      </c>
      <c r="T356" s="1" t="str">
        <f t="shared" si="49"/>
        <v>Normal</v>
      </c>
      <c r="U356" s="1" t="str">
        <f t="shared" si="50"/>
        <v>No</v>
      </c>
      <c r="V356" s="5" t="str">
        <f t="shared" si="51"/>
        <v>No</v>
      </c>
      <c r="W356" s="1" t="str">
        <f t="shared" si="52"/>
        <v>Premium</v>
      </c>
      <c r="X356" s="1" t="str">
        <f t="shared" si="53"/>
        <v>Non Dis Bulk Order</v>
      </c>
    </row>
    <row r="357" spans="1:24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5">
        <v>9637.24</v>
      </c>
      <c r="P357" s="1">
        <f t="shared" si="45"/>
        <v>11337.93</v>
      </c>
      <c r="Q357" s="1" t="str">
        <f t="shared" si="46"/>
        <v>No</v>
      </c>
      <c r="R357" s="1" t="str">
        <f t="shared" si="47"/>
        <v>Yes</v>
      </c>
      <c r="S357" s="1" t="str">
        <f t="shared" si="48"/>
        <v>No</v>
      </c>
      <c r="T357" s="1" t="str">
        <f t="shared" si="49"/>
        <v>Normal</v>
      </c>
      <c r="U357" s="1" t="str">
        <f t="shared" si="50"/>
        <v>No</v>
      </c>
      <c r="V357" s="5" t="str">
        <f t="shared" si="51"/>
        <v>No</v>
      </c>
      <c r="W357" s="1" t="str">
        <f t="shared" si="52"/>
        <v>Regular</v>
      </c>
      <c r="X357" s="1" t="str">
        <f t="shared" si="53"/>
        <v>Non Dis Bulk Order</v>
      </c>
    </row>
    <row r="358" spans="1:24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5">
        <v>10402.48</v>
      </c>
      <c r="P358" s="1">
        <f t="shared" si="45"/>
        <v>10402.48</v>
      </c>
      <c r="Q358" s="1" t="str">
        <f t="shared" si="46"/>
        <v>Yes</v>
      </c>
      <c r="R358" s="1" t="str">
        <f t="shared" si="47"/>
        <v>No</v>
      </c>
      <c r="S358" s="1" t="str">
        <f t="shared" si="48"/>
        <v>Yes</v>
      </c>
      <c r="T358" s="1" t="str">
        <f t="shared" si="49"/>
        <v>Normal</v>
      </c>
      <c r="U358" s="1" t="str">
        <f t="shared" si="50"/>
        <v>No</v>
      </c>
      <c r="V358" s="5" t="str">
        <f t="shared" si="51"/>
        <v>No</v>
      </c>
      <c r="W358" s="1" t="str">
        <f t="shared" si="52"/>
        <v>Regular</v>
      </c>
      <c r="X358" s="1" t="str">
        <f t="shared" si="53"/>
        <v>Discounted</v>
      </c>
    </row>
    <row r="359" spans="1:24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5">
        <v>24351.62</v>
      </c>
      <c r="P359" s="1">
        <f t="shared" si="45"/>
        <v>28648.959999999999</v>
      </c>
      <c r="Q359" s="1" t="str">
        <f t="shared" si="46"/>
        <v>Yes</v>
      </c>
      <c r="R359" s="1" t="str">
        <f t="shared" si="47"/>
        <v>Yes</v>
      </c>
      <c r="S359" s="1" t="str">
        <f t="shared" si="48"/>
        <v>No</v>
      </c>
      <c r="T359" s="1" t="str">
        <f t="shared" si="49"/>
        <v>Normal</v>
      </c>
      <c r="U359" s="1" t="str">
        <f t="shared" si="50"/>
        <v>No</v>
      </c>
      <c r="V359" s="5" t="str">
        <f t="shared" si="51"/>
        <v>No</v>
      </c>
      <c r="W359" s="1" t="str">
        <f t="shared" si="52"/>
        <v>Regular</v>
      </c>
      <c r="X359" s="1" t="str">
        <f t="shared" si="53"/>
        <v>Non Dis Bulk Order</v>
      </c>
    </row>
    <row r="360" spans="1:24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5">
        <v>192.37</v>
      </c>
      <c r="P360" s="1">
        <f t="shared" si="45"/>
        <v>202.49</v>
      </c>
      <c r="Q360" s="1" t="str">
        <f t="shared" si="46"/>
        <v>No</v>
      </c>
      <c r="R360" s="1" t="str">
        <f t="shared" si="47"/>
        <v>No</v>
      </c>
      <c r="S360" s="1" t="str">
        <f t="shared" si="48"/>
        <v>Yes</v>
      </c>
      <c r="T360" s="1" t="str">
        <f t="shared" si="49"/>
        <v>Special attention</v>
      </c>
      <c r="U360" s="1" t="str">
        <f t="shared" si="50"/>
        <v>No</v>
      </c>
      <c r="V360" s="5" t="str">
        <f t="shared" si="51"/>
        <v>No</v>
      </c>
      <c r="W360" s="1" t="str">
        <f t="shared" si="52"/>
        <v>Regular</v>
      </c>
      <c r="X360" s="1" t="str">
        <f t="shared" si="53"/>
        <v>Discounted</v>
      </c>
    </row>
    <row r="361" spans="1:24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5">
        <v>9469</v>
      </c>
      <c r="P361" s="1">
        <f t="shared" si="45"/>
        <v>11140</v>
      </c>
      <c r="Q361" s="1" t="str">
        <f t="shared" si="46"/>
        <v>No</v>
      </c>
      <c r="R361" s="1" t="str">
        <f t="shared" si="47"/>
        <v>Yes</v>
      </c>
      <c r="S361" s="1" t="str">
        <f t="shared" si="48"/>
        <v>No</v>
      </c>
      <c r="T361" s="1" t="str">
        <f t="shared" si="49"/>
        <v>Normal</v>
      </c>
      <c r="U361" s="1" t="str">
        <f t="shared" si="50"/>
        <v>No</v>
      </c>
      <c r="V361" s="5" t="str">
        <f t="shared" si="51"/>
        <v>No</v>
      </c>
      <c r="W361" s="1" t="str">
        <f t="shared" si="52"/>
        <v>Regular</v>
      </c>
      <c r="X361" s="1" t="str">
        <f t="shared" si="53"/>
        <v>Non Dis Bulk Order</v>
      </c>
    </row>
    <row r="362" spans="1:24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5">
        <v>5482.25</v>
      </c>
      <c r="P362" s="1">
        <f t="shared" si="45"/>
        <v>6852.8099999999995</v>
      </c>
      <c r="Q362" s="1" t="str">
        <f t="shared" si="46"/>
        <v>No</v>
      </c>
      <c r="R362" s="1" t="str">
        <f t="shared" si="47"/>
        <v>No</v>
      </c>
      <c r="S362" s="1" t="str">
        <f t="shared" si="48"/>
        <v>Yes</v>
      </c>
      <c r="T362" s="1" t="str">
        <f t="shared" si="49"/>
        <v>Normal</v>
      </c>
      <c r="U362" s="1" t="str">
        <f t="shared" si="50"/>
        <v>Yes</v>
      </c>
      <c r="V362" s="5" t="str">
        <f t="shared" si="51"/>
        <v>Yes</v>
      </c>
      <c r="W362" s="1" t="str">
        <f t="shared" si="52"/>
        <v>Regular</v>
      </c>
      <c r="X362" s="1" t="str">
        <f t="shared" si="53"/>
        <v>Discounted</v>
      </c>
    </row>
    <row r="363" spans="1:24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5">
        <v>4035.58</v>
      </c>
      <c r="P363" s="1">
        <f t="shared" si="45"/>
        <v>5044.4799999999996</v>
      </c>
      <c r="Q363" s="1" t="str">
        <f t="shared" si="46"/>
        <v>No</v>
      </c>
      <c r="R363" s="1" t="str">
        <f t="shared" si="47"/>
        <v>No</v>
      </c>
      <c r="S363" s="1" t="str">
        <f t="shared" si="48"/>
        <v>Yes</v>
      </c>
      <c r="T363" s="1" t="str">
        <f t="shared" si="49"/>
        <v>Normal</v>
      </c>
      <c r="U363" s="1" t="str">
        <f t="shared" si="50"/>
        <v>Yes</v>
      </c>
      <c r="V363" s="5" t="str">
        <f t="shared" si="51"/>
        <v>Yes</v>
      </c>
      <c r="W363" s="1" t="str">
        <f t="shared" si="52"/>
        <v>Regular</v>
      </c>
      <c r="X363" s="1" t="str">
        <f t="shared" si="53"/>
        <v>Discounted</v>
      </c>
    </row>
    <row r="364" spans="1:24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5">
        <v>479.35</v>
      </c>
      <c r="P364" s="1">
        <f t="shared" si="45"/>
        <v>504.58</v>
      </c>
      <c r="Q364" s="1" t="str">
        <f t="shared" si="46"/>
        <v>No</v>
      </c>
      <c r="R364" s="1" t="str">
        <f t="shared" si="47"/>
        <v>No</v>
      </c>
      <c r="S364" s="1" t="str">
        <f t="shared" si="48"/>
        <v>No</v>
      </c>
      <c r="T364" s="1" t="str">
        <f t="shared" si="49"/>
        <v>Special attention</v>
      </c>
      <c r="U364" s="1" t="str">
        <f t="shared" si="50"/>
        <v>No</v>
      </c>
      <c r="V364" s="5" t="str">
        <f t="shared" si="51"/>
        <v>No</v>
      </c>
      <c r="W364" s="1" t="str">
        <f t="shared" si="52"/>
        <v>Regular</v>
      </c>
      <c r="X364" s="1" t="str">
        <f t="shared" si="53"/>
        <v>Discounted</v>
      </c>
    </row>
    <row r="365" spans="1:24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5">
        <v>2959.93</v>
      </c>
      <c r="P365" s="1">
        <f t="shared" si="45"/>
        <v>3288.81</v>
      </c>
      <c r="Q365" s="1" t="str">
        <f t="shared" si="46"/>
        <v>No</v>
      </c>
      <c r="R365" s="1" t="str">
        <f t="shared" si="47"/>
        <v>No</v>
      </c>
      <c r="S365" s="1" t="str">
        <f t="shared" si="48"/>
        <v>Yes</v>
      </c>
      <c r="T365" s="1" t="str">
        <f t="shared" si="49"/>
        <v>Normal</v>
      </c>
      <c r="U365" s="1" t="str">
        <f t="shared" si="50"/>
        <v>Yes</v>
      </c>
      <c r="V365" s="5" t="str">
        <f t="shared" si="51"/>
        <v>Yes</v>
      </c>
      <c r="W365" s="1" t="str">
        <f t="shared" si="52"/>
        <v>Regular</v>
      </c>
      <c r="X365" s="1" t="str">
        <f t="shared" si="53"/>
        <v>Discounted</v>
      </c>
    </row>
    <row r="366" spans="1:24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5">
        <v>14373.84</v>
      </c>
      <c r="P366" s="1">
        <f t="shared" si="45"/>
        <v>17967.3</v>
      </c>
      <c r="Q366" s="1" t="str">
        <f t="shared" si="46"/>
        <v>No</v>
      </c>
      <c r="R366" s="1" t="str">
        <f t="shared" si="47"/>
        <v>No</v>
      </c>
      <c r="S366" s="1" t="str">
        <f t="shared" si="48"/>
        <v>Yes</v>
      </c>
      <c r="T366" s="1" t="str">
        <f t="shared" si="49"/>
        <v>Normal</v>
      </c>
      <c r="U366" s="1" t="str">
        <f t="shared" si="50"/>
        <v>No</v>
      </c>
      <c r="V366" s="5" t="str">
        <f t="shared" si="51"/>
        <v>No</v>
      </c>
      <c r="W366" s="1" t="str">
        <f t="shared" si="52"/>
        <v>Regular</v>
      </c>
      <c r="X366" s="1" t="str">
        <f t="shared" si="53"/>
        <v>Discounted</v>
      </c>
    </row>
    <row r="367" spans="1:24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5">
        <v>16604.400000000001</v>
      </c>
      <c r="P367" s="1">
        <f t="shared" si="45"/>
        <v>16604.400000000001</v>
      </c>
      <c r="Q367" s="1" t="str">
        <f t="shared" si="46"/>
        <v>No</v>
      </c>
      <c r="R367" s="1" t="str">
        <f t="shared" si="47"/>
        <v>No</v>
      </c>
      <c r="S367" s="1" t="str">
        <f t="shared" si="48"/>
        <v>Yes</v>
      </c>
      <c r="T367" s="1" t="str">
        <f t="shared" si="49"/>
        <v>Normal</v>
      </c>
      <c r="U367" s="1" t="str">
        <f t="shared" si="50"/>
        <v>Yes</v>
      </c>
      <c r="V367" s="5" t="str">
        <f t="shared" si="51"/>
        <v>Yes</v>
      </c>
      <c r="W367" s="1" t="str">
        <f t="shared" si="52"/>
        <v>Premium</v>
      </c>
      <c r="X367" s="1" t="str">
        <f t="shared" si="53"/>
        <v>Discounted</v>
      </c>
    </row>
    <row r="368" spans="1:24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5">
        <v>27438.51</v>
      </c>
      <c r="P368" s="1">
        <f t="shared" si="45"/>
        <v>28882.639999999999</v>
      </c>
      <c r="Q368" s="1" t="str">
        <f t="shared" si="46"/>
        <v>Yes</v>
      </c>
      <c r="R368" s="1" t="str">
        <f t="shared" si="47"/>
        <v>No</v>
      </c>
      <c r="S368" s="1" t="str">
        <f t="shared" si="48"/>
        <v>No</v>
      </c>
      <c r="T368" s="1" t="str">
        <f t="shared" si="49"/>
        <v>Normal</v>
      </c>
      <c r="U368" s="1" t="str">
        <f t="shared" si="50"/>
        <v>No</v>
      </c>
      <c r="V368" s="5" t="str">
        <f t="shared" si="51"/>
        <v>No</v>
      </c>
      <c r="W368" s="1" t="str">
        <f t="shared" si="52"/>
        <v>Regular</v>
      </c>
      <c r="X368" s="1" t="str">
        <f t="shared" si="53"/>
        <v>Non Dis Bulk Order</v>
      </c>
    </row>
    <row r="369" spans="1:24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5">
        <v>13562.91</v>
      </c>
      <c r="P369" s="1">
        <f t="shared" si="45"/>
        <v>15956.36</v>
      </c>
      <c r="Q369" s="1" t="str">
        <f t="shared" si="46"/>
        <v>Yes</v>
      </c>
      <c r="R369" s="1" t="str">
        <f t="shared" si="47"/>
        <v>No</v>
      </c>
      <c r="S369" s="1" t="str">
        <f t="shared" si="48"/>
        <v>No</v>
      </c>
      <c r="T369" s="1" t="str">
        <f t="shared" si="49"/>
        <v>Normal</v>
      </c>
      <c r="U369" s="1" t="str">
        <f t="shared" si="50"/>
        <v>No</v>
      </c>
      <c r="V369" s="5" t="str">
        <f t="shared" si="51"/>
        <v>No</v>
      </c>
      <c r="W369" s="1" t="str">
        <f t="shared" si="52"/>
        <v>Regular</v>
      </c>
      <c r="X369" s="1" t="str">
        <f t="shared" si="53"/>
        <v>Discounted</v>
      </c>
    </row>
    <row r="370" spans="1:24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5">
        <v>22284.89</v>
      </c>
      <c r="P370" s="1">
        <f t="shared" si="45"/>
        <v>26217.52</v>
      </c>
      <c r="Q370" s="1" t="str">
        <f t="shared" si="46"/>
        <v>Yes</v>
      </c>
      <c r="R370" s="1" t="str">
        <f t="shared" si="47"/>
        <v>Yes</v>
      </c>
      <c r="S370" s="1" t="str">
        <f t="shared" si="48"/>
        <v>Yes</v>
      </c>
      <c r="T370" s="1" t="str">
        <f t="shared" si="49"/>
        <v>Normal</v>
      </c>
      <c r="U370" s="1" t="str">
        <f t="shared" si="50"/>
        <v>No</v>
      </c>
      <c r="V370" s="5" t="str">
        <f t="shared" si="51"/>
        <v>No</v>
      </c>
      <c r="W370" s="1" t="str">
        <f t="shared" si="52"/>
        <v>Regular</v>
      </c>
      <c r="X370" s="1" t="str">
        <f t="shared" si="53"/>
        <v>Non Dis Bulk Order</v>
      </c>
    </row>
    <row r="371" spans="1:24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5">
        <v>9771.36</v>
      </c>
      <c r="P371" s="1">
        <f t="shared" si="45"/>
        <v>9771.36</v>
      </c>
      <c r="Q371" s="1" t="str">
        <f t="shared" si="46"/>
        <v>No</v>
      </c>
      <c r="R371" s="1" t="str">
        <f t="shared" si="47"/>
        <v>No</v>
      </c>
      <c r="S371" s="1" t="str">
        <f t="shared" si="48"/>
        <v>No</v>
      </c>
      <c r="T371" s="1" t="str">
        <f t="shared" si="49"/>
        <v>Normal</v>
      </c>
      <c r="U371" s="1" t="str">
        <f t="shared" si="50"/>
        <v>No</v>
      </c>
      <c r="V371" s="5" t="str">
        <f t="shared" si="51"/>
        <v>No</v>
      </c>
      <c r="W371" s="1" t="str">
        <f t="shared" si="52"/>
        <v>Regular</v>
      </c>
      <c r="X371" s="1" t="str">
        <f t="shared" si="53"/>
        <v>Discounted</v>
      </c>
    </row>
    <row r="372" spans="1:24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5">
        <v>13032.62</v>
      </c>
      <c r="P372" s="1">
        <f t="shared" si="45"/>
        <v>16290.78</v>
      </c>
      <c r="Q372" s="1" t="str">
        <f t="shared" si="46"/>
        <v>Yes</v>
      </c>
      <c r="R372" s="1" t="str">
        <f t="shared" si="47"/>
        <v>No</v>
      </c>
      <c r="S372" s="1" t="str">
        <f t="shared" si="48"/>
        <v>Yes</v>
      </c>
      <c r="T372" s="1" t="str">
        <f t="shared" si="49"/>
        <v>Normal</v>
      </c>
      <c r="U372" s="1" t="str">
        <f t="shared" si="50"/>
        <v>No</v>
      </c>
      <c r="V372" s="5" t="str">
        <f t="shared" si="51"/>
        <v>No</v>
      </c>
      <c r="W372" s="1" t="str">
        <f t="shared" si="52"/>
        <v>Regular</v>
      </c>
      <c r="X372" s="1" t="str">
        <f t="shared" si="53"/>
        <v>Discounted</v>
      </c>
    </row>
    <row r="373" spans="1:24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5">
        <v>7518.34</v>
      </c>
      <c r="P373" s="1">
        <f t="shared" si="45"/>
        <v>7914.04</v>
      </c>
      <c r="Q373" s="1" t="str">
        <f t="shared" si="46"/>
        <v>No</v>
      </c>
      <c r="R373" s="1" t="str">
        <f t="shared" si="47"/>
        <v>No</v>
      </c>
      <c r="S373" s="1" t="str">
        <f t="shared" si="48"/>
        <v>Yes</v>
      </c>
      <c r="T373" s="1" t="str">
        <f t="shared" si="49"/>
        <v>Normal</v>
      </c>
      <c r="U373" s="1" t="str">
        <f t="shared" si="50"/>
        <v>Yes</v>
      </c>
      <c r="V373" s="5" t="str">
        <f t="shared" si="51"/>
        <v>Yes</v>
      </c>
      <c r="W373" s="1" t="str">
        <f t="shared" si="52"/>
        <v>Regular</v>
      </c>
      <c r="X373" s="1" t="str">
        <f t="shared" si="53"/>
        <v>Discounted</v>
      </c>
    </row>
    <row r="374" spans="1:24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5">
        <v>6114.3</v>
      </c>
      <c r="P374" s="1">
        <f t="shared" si="45"/>
        <v>6114.2999999999993</v>
      </c>
      <c r="Q374" s="1" t="str">
        <f t="shared" si="46"/>
        <v>No</v>
      </c>
      <c r="R374" s="1" t="str">
        <f t="shared" si="47"/>
        <v>No</v>
      </c>
      <c r="S374" s="1" t="str">
        <f t="shared" si="48"/>
        <v>Yes</v>
      </c>
      <c r="T374" s="1" t="str">
        <f t="shared" si="49"/>
        <v>Normal</v>
      </c>
      <c r="U374" s="1" t="str">
        <f t="shared" si="50"/>
        <v>Yes</v>
      </c>
      <c r="V374" s="5" t="str">
        <f t="shared" si="51"/>
        <v>Yes</v>
      </c>
      <c r="W374" s="1" t="str">
        <f t="shared" si="52"/>
        <v>Regular</v>
      </c>
      <c r="X374" s="1" t="str">
        <f t="shared" si="53"/>
        <v>Discounted</v>
      </c>
    </row>
    <row r="375" spans="1:24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5">
        <v>6604.44</v>
      </c>
      <c r="P375" s="1">
        <f t="shared" si="45"/>
        <v>8255.5499999999993</v>
      </c>
      <c r="Q375" s="1" t="str">
        <f t="shared" si="46"/>
        <v>No</v>
      </c>
      <c r="R375" s="1" t="str">
        <f t="shared" si="47"/>
        <v>No</v>
      </c>
      <c r="S375" s="1" t="str">
        <f t="shared" si="48"/>
        <v>Yes</v>
      </c>
      <c r="T375" s="1" t="str">
        <f t="shared" si="49"/>
        <v>Normal</v>
      </c>
      <c r="U375" s="1" t="str">
        <f t="shared" si="50"/>
        <v>No</v>
      </c>
      <c r="V375" s="5" t="str">
        <f t="shared" si="51"/>
        <v>No</v>
      </c>
      <c r="W375" s="1" t="str">
        <f t="shared" si="52"/>
        <v>Regular</v>
      </c>
      <c r="X375" s="1" t="str">
        <f t="shared" si="53"/>
        <v>Discounted</v>
      </c>
    </row>
    <row r="376" spans="1:24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5">
        <v>5694.81</v>
      </c>
      <c r="P376" s="1">
        <f t="shared" si="45"/>
        <v>5994.54</v>
      </c>
      <c r="Q376" s="1" t="str">
        <f t="shared" si="46"/>
        <v>No</v>
      </c>
      <c r="R376" s="1" t="str">
        <f t="shared" si="47"/>
        <v>No</v>
      </c>
      <c r="S376" s="1" t="str">
        <f t="shared" si="48"/>
        <v>Yes</v>
      </c>
      <c r="T376" s="1" t="str">
        <f t="shared" si="49"/>
        <v>Normal</v>
      </c>
      <c r="U376" s="1" t="str">
        <f t="shared" si="50"/>
        <v>No</v>
      </c>
      <c r="V376" s="5" t="str">
        <f t="shared" si="51"/>
        <v>No</v>
      </c>
      <c r="W376" s="1" t="str">
        <f t="shared" si="52"/>
        <v>Regular</v>
      </c>
      <c r="X376" s="1" t="str">
        <f t="shared" si="53"/>
        <v>Discounted</v>
      </c>
    </row>
    <row r="377" spans="1:24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5">
        <v>3474.94</v>
      </c>
      <c r="P377" s="1">
        <f t="shared" si="45"/>
        <v>4088.16</v>
      </c>
      <c r="Q377" s="1" t="str">
        <f t="shared" si="46"/>
        <v>No</v>
      </c>
      <c r="R377" s="1" t="str">
        <f t="shared" si="47"/>
        <v>No</v>
      </c>
      <c r="S377" s="1" t="str">
        <f t="shared" si="48"/>
        <v>No</v>
      </c>
      <c r="T377" s="1" t="str">
        <f t="shared" si="49"/>
        <v>Normal</v>
      </c>
      <c r="U377" s="1" t="str">
        <f t="shared" si="50"/>
        <v>No</v>
      </c>
      <c r="V377" s="5" t="str">
        <f t="shared" si="51"/>
        <v>No</v>
      </c>
      <c r="W377" s="1" t="str">
        <f t="shared" si="52"/>
        <v>Regular</v>
      </c>
      <c r="X377" s="1" t="str">
        <f t="shared" si="53"/>
        <v>Discounted</v>
      </c>
    </row>
    <row r="378" spans="1:24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5">
        <v>3511.2</v>
      </c>
      <c r="P378" s="1">
        <f t="shared" si="45"/>
        <v>3696</v>
      </c>
      <c r="Q378" s="1" t="str">
        <f t="shared" si="46"/>
        <v>No</v>
      </c>
      <c r="R378" s="1" t="str">
        <f t="shared" si="47"/>
        <v>No</v>
      </c>
      <c r="S378" s="1" t="str">
        <f t="shared" si="48"/>
        <v>Yes</v>
      </c>
      <c r="T378" s="1" t="str">
        <f t="shared" si="49"/>
        <v>Normal</v>
      </c>
      <c r="U378" s="1" t="str">
        <f t="shared" si="50"/>
        <v>Yes</v>
      </c>
      <c r="V378" s="5" t="str">
        <f t="shared" si="51"/>
        <v>Yes</v>
      </c>
      <c r="W378" s="1" t="str">
        <f t="shared" si="52"/>
        <v>Regular</v>
      </c>
      <c r="X378" s="1" t="str">
        <f t="shared" si="53"/>
        <v>Non Dis Bulk Order</v>
      </c>
    </row>
    <row r="379" spans="1:24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5">
        <v>27089.88</v>
      </c>
      <c r="P379" s="1">
        <f t="shared" si="45"/>
        <v>30099.87</v>
      </c>
      <c r="Q379" s="1" t="str">
        <f t="shared" si="46"/>
        <v>Yes</v>
      </c>
      <c r="R379" s="1" t="str">
        <f t="shared" si="47"/>
        <v>Yes</v>
      </c>
      <c r="S379" s="1" t="str">
        <f t="shared" si="48"/>
        <v>Yes</v>
      </c>
      <c r="T379" s="1" t="str">
        <f t="shared" si="49"/>
        <v>Normal</v>
      </c>
      <c r="U379" s="1" t="str">
        <f t="shared" si="50"/>
        <v>No</v>
      </c>
      <c r="V379" s="5" t="str">
        <f t="shared" si="51"/>
        <v>No</v>
      </c>
      <c r="W379" s="1" t="str">
        <f t="shared" si="52"/>
        <v>Premium</v>
      </c>
      <c r="X379" s="1" t="str">
        <f t="shared" si="53"/>
        <v>Non Dis Bulk Order</v>
      </c>
    </row>
    <row r="380" spans="1:24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5">
        <v>3715.13</v>
      </c>
      <c r="P380" s="1">
        <f t="shared" si="45"/>
        <v>3910.66</v>
      </c>
      <c r="Q380" s="1" t="str">
        <f t="shared" si="46"/>
        <v>No</v>
      </c>
      <c r="R380" s="1" t="str">
        <f t="shared" si="47"/>
        <v>No</v>
      </c>
      <c r="S380" s="1" t="str">
        <f t="shared" si="48"/>
        <v>Yes</v>
      </c>
      <c r="T380" s="1" t="str">
        <f t="shared" si="49"/>
        <v>Normal</v>
      </c>
      <c r="U380" s="1" t="str">
        <f t="shared" si="50"/>
        <v>Yes</v>
      </c>
      <c r="V380" s="5" t="str">
        <f t="shared" si="51"/>
        <v>Yes</v>
      </c>
      <c r="W380" s="1" t="str">
        <f t="shared" si="52"/>
        <v>Regular</v>
      </c>
      <c r="X380" s="1" t="str">
        <f t="shared" si="53"/>
        <v>Discounted</v>
      </c>
    </row>
    <row r="381" spans="1:24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5">
        <v>4612.1099999999997</v>
      </c>
      <c r="P381" s="1">
        <f t="shared" si="45"/>
        <v>5124.57</v>
      </c>
      <c r="Q381" s="1" t="str">
        <f t="shared" si="46"/>
        <v>No</v>
      </c>
      <c r="R381" s="1" t="str">
        <f t="shared" si="47"/>
        <v>No</v>
      </c>
      <c r="S381" s="1" t="str">
        <f t="shared" si="48"/>
        <v>Yes</v>
      </c>
      <c r="T381" s="1" t="str">
        <f t="shared" si="49"/>
        <v>Normal</v>
      </c>
      <c r="U381" s="1" t="str">
        <f t="shared" si="50"/>
        <v>No</v>
      </c>
      <c r="V381" s="5" t="str">
        <f t="shared" si="51"/>
        <v>No</v>
      </c>
      <c r="W381" s="1" t="str">
        <f t="shared" si="52"/>
        <v>Regular</v>
      </c>
      <c r="X381" s="1" t="str">
        <f t="shared" si="53"/>
        <v>Discounted</v>
      </c>
    </row>
    <row r="382" spans="1:24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5">
        <v>1389.23</v>
      </c>
      <c r="P382" s="1">
        <f t="shared" si="45"/>
        <v>1462.35</v>
      </c>
      <c r="Q382" s="1" t="str">
        <f t="shared" si="46"/>
        <v>No</v>
      </c>
      <c r="R382" s="1" t="str">
        <f t="shared" si="47"/>
        <v>No</v>
      </c>
      <c r="S382" s="1" t="str">
        <f t="shared" si="48"/>
        <v>Yes</v>
      </c>
      <c r="T382" s="1" t="str">
        <f t="shared" si="49"/>
        <v>Normal</v>
      </c>
      <c r="U382" s="1" t="str">
        <f t="shared" si="50"/>
        <v>Yes</v>
      </c>
      <c r="V382" s="5" t="str">
        <f t="shared" si="51"/>
        <v>Yes</v>
      </c>
      <c r="W382" s="1" t="str">
        <f t="shared" si="52"/>
        <v>Regular</v>
      </c>
      <c r="X382" s="1" t="str">
        <f t="shared" si="53"/>
        <v>Discounted</v>
      </c>
    </row>
    <row r="383" spans="1:24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5">
        <v>2904.34</v>
      </c>
      <c r="P383" s="1">
        <f t="shared" si="45"/>
        <v>3227.04</v>
      </c>
      <c r="Q383" s="1" t="str">
        <f t="shared" si="46"/>
        <v>No</v>
      </c>
      <c r="R383" s="1" t="str">
        <f t="shared" si="47"/>
        <v>Yes</v>
      </c>
      <c r="S383" s="1" t="str">
        <f t="shared" si="48"/>
        <v>No</v>
      </c>
      <c r="T383" s="1" t="str">
        <f t="shared" si="49"/>
        <v>Normal</v>
      </c>
      <c r="U383" s="1" t="str">
        <f t="shared" si="50"/>
        <v>No</v>
      </c>
      <c r="V383" s="5" t="str">
        <f t="shared" si="51"/>
        <v>No</v>
      </c>
      <c r="W383" s="1" t="str">
        <f t="shared" si="52"/>
        <v>Regular</v>
      </c>
      <c r="X383" s="1" t="str">
        <f t="shared" si="53"/>
        <v>Non Dis Bulk Order</v>
      </c>
    </row>
    <row r="384" spans="1:24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5">
        <v>3044.34</v>
      </c>
      <c r="P384" s="1">
        <f t="shared" si="45"/>
        <v>3581.58</v>
      </c>
      <c r="Q384" s="1" t="str">
        <f t="shared" si="46"/>
        <v>No</v>
      </c>
      <c r="R384" s="1" t="str">
        <f t="shared" si="47"/>
        <v>No</v>
      </c>
      <c r="S384" s="1" t="str">
        <f t="shared" si="48"/>
        <v>Yes</v>
      </c>
      <c r="T384" s="1" t="str">
        <f t="shared" si="49"/>
        <v>Normal</v>
      </c>
      <c r="U384" s="1" t="str">
        <f t="shared" si="50"/>
        <v>Yes</v>
      </c>
      <c r="V384" s="5" t="str">
        <f t="shared" si="51"/>
        <v>Yes</v>
      </c>
      <c r="W384" s="1" t="str">
        <f t="shared" si="52"/>
        <v>Regular</v>
      </c>
      <c r="X384" s="1" t="str">
        <f t="shared" si="53"/>
        <v>Discounted</v>
      </c>
    </row>
    <row r="385" spans="1:24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5">
        <v>7742.72</v>
      </c>
      <c r="P385" s="1">
        <f t="shared" si="45"/>
        <v>9678.4</v>
      </c>
      <c r="Q385" s="1" t="str">
        <f t="shared" si="46"/>
        <v>No</v>
      </c>
      <c r="R385" s="1" t="str">
        <f t="shared" si="47"/>
        <v>No</v>
      </c>
      <c r="S385" s="1" t="str">
        <f t="shared" si="48"/>
        <v>Yes</v>
      </c>
      <c r="T385" s="1" t="str">
        <f t="shared" si="49"/>
        <v>Normal</v>
      </c>
      <c r="U385" s="1" t="str">
        <f t="shared" si="50"/>
        <v>Yes</v>
      </c>
      <c r="V385" s="5" t="str">
        <f t="shared" si="51"/>
        <v>Yes</v>
      </c>
      <c r="W385" s="1" t="str">
        <f t="shared" si="52"/>
        <v>Regular</v>
      </c>
      <c r="X385" s="1" t="str">
        <f t="shared" si="53"/>
        <v>Discounted</v>
      </c>
    </row>
    <row r="386" spans="1:24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5">
        <v>3731.7</v>
      </c>
      <c r="P386" s="1">
        <f t="shared" si="45"/>
        <v>4146.33</v>
      </c>
      <c r="Q386" s="1" t="str">
        <f t="shared" si="46"/>
        <v>No</v>
      </c>
      <c r="R386" s="1" t="str">
        <f t="shared" si="47"/>
        <v>No</v>
      </c>
      <c r="S386" s="1" t="str">
        <f t="shared" si="48"/>
        <v>Yes</v>
      </c>
      <c r="T386" s="1" t="str">
        <f t="shared" si="49"/>
        <v>Normal</v>
      </c>
      <c r="U386" s="1" t="str">
        <f t="shared" si="50"/>
        <v>Yes</v>
      </c>
      <c r="V386" s="5" t="str">
        <f t="shared" si="51"/>
        <v>Yes</v>
      </c>
      <c r="W386" s="1" t="str">
        <f t="shared" si="52"/>
        <v>Regular</v>
      </c>
      <c r="X386" s="1" t="str">
        <f t="shared" si="53"/>
        <v>Discounted</v>
      </c>
    </row>
    <row r="387" spans="1:24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5">
        <v>3571.88</v>
      </c>
      <c r="P387" s="1">
        <f t="shared" ref="P387:P450" si="54">L387*M387</f>
        <v>3968.76</v>
      </c>
      <c r="Q387" s="1" t="str">
        <f t="shared" ref="Q387:Q450" si="55">IF(AND(L387&gt;5,O387&gt;10000),"Yes","No")</f>
        <v>No</v>
      </c>
      <c r="R387" s="1" t="str">
        <f t="shared" ref="R387:R450" si="56">IF(AND(L387&gt;=8,N387&gt;=10),"Yes","No")</f>
        <v>No</v>
      </c>
      <c r="S387" s="1" t="str">
        <f t="shared" ref="S387:S450" si="57">IF(OR(G387="Mobile App",G387="Website"),"Yes","No")</f>
        <v>Yes</v>
      </c>
      <c r="T387" s="1" t="str">
        <f t="shared" ref="T387:T450" si="58">IF(AND(L387&lt;3,O387&lt;1000),"Special attention","Normal")</f>
        <v>Normal</v>
      </c>
      <c r="U387" s="1" t="str">
        <f t="shared" ref="U387:U450" si="59">IF(NOT(G387="Website"),"No","Yes")</f>
        <v>Yes</v>
      </c>
      <c r="V387" s="5" t="str">
        <f t="shared" ref="V387:V450" si="60">IF(G387&lt;&gt;"Website","No","Yes")</f>
        <v>Yes</v>
      </c>
      <c r="W387" s="1" t="str">
        <f t="shared" ref="W387:W450" si="61">IF(AND(O387&gt;15000,OR(I387="Electronics",I387="Beauty")),"Premium","Regular")</f>
        <v>Regular</v>
      </c>
      <c r="X387" s="1" t="str">
        <f t="shared" ref="X387:X450" si="62">IF(AND(L387&gt;=8,NOT(N387=0%)),"Non Dis Bulk Order","Discounted")</f>
        <v>Discounted</v>
      </c>
    </row>
    <row r="388" spans="1:24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5">
        <v>9353.2000000000007</v>
      </c>
      <c r="P388" s="1">
        <f t="shared" si="54"/>
        <v>11003.76</v>
      </c>
      <c r="Q388" s="1" t="str">
        <f t="shared" si="55"/>
        <v>No</v>
      </c>
      <c r="R388" s="1" t="str">
        <f t="shared" si="56"/>
        <v>Yes</v>
      </c>
      <c r="S388" s="1" t="str">
        <f t="shared" si="57"/>
        <v>Yes</v>
      </c>
      <c r="T388" s="1" t="str">
        <f t="shared" si="58"/>
        <v>Normal</v>
      </c>
      <c r="U388" s="1" t="str">
        <f t="shared" si="59"/>
        <v>Yes</v>
      </c>
      <c r="V388" s="5" t="str">
        <f t="shared" si="60"/>
        <v>Yes</v>
      </c>
      <c r="W388" s="1" t="str">
        <f t="shared" si="61"/>
        <v>Regular</v>
      </c>
      <c r="X388" s="1" t="str">
        <f t="shared" si="62"/>
        <v>Non Dis Bulk Order</v>
      </c>
    </row>
    <row r="389" spans="1:24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5">
        <v>5488.53</v>
      </c>
      <c r="P389" s="1">
        <f t="shared" si="54"/>
        <v>6098.37</v>
      </c>
      <c r="Q389" s="1" t="str">
        <f t="shared" si="55"/>
        <v>No</v>
      </c>
      <c r="R389" s="1" t="str">
        <f t="shared" si="56"/>
        <v>No</v>
      </c>
      <c r="S389" s="1" t="str">
        <f t="shared" si="57"/>
        <v>No</v>
      </c>
      <c r="T389" s="1" t="str">
        <f t="shared" si="58"/>
        <v>Normal</v>
      </c>
      <c r="U389" s="1" t="str">
        <f t="shared" si="59"/>
        <v>No</v>
      </c>
      <c r="V389" s="5" t="str">
        <f t="shared" si="60"/>
        <v>No</v>
      </c>
      <c r="W389" s="1" t="str">
        <f t="shared" si="61"/>
        <v>Regular</v>
      </c>
      <c r="X389" s="1" t="str">
        <f t="shared" si="62"/>
        <v>Discounted</v>
      </c>
    </row>
    <row r="390" spans="1:24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5">
        <v>24215.03</v>
      </c>
      <c r="P390" s="1">
        <f t="shared" si="54"/>
        <v>24215.03</v>
      </c>
      <c r="Q390" s="1" t="str">
        <f t="shared" si="55"/>
        <v>Yes</v>
      </c>
      <c r="R390" s="1" t="str">
        <f t="shared" si="56"/>
        <v>No</v>
      </c>
      <c r="S390" s="1" t="str">
        <f t="shared" si="57"/>
        <v>Yes</v>
      </c>
      <c r="T390" s="1" t="str">
        <f t="shared" si="58"/>
        <v>Normal</v>
      </c>
      <c r="U390" s="1" t="str">
        <f t="shared" si="59"/>
        <v>No</v>
      </c>
      <c r="V390" s="5" t="str">
        <f t="shared" si="60"/>
        <v>No</v>
      </c>
      <c r="W390" s="1" t="str">
        <f t="shared" si="61"/>
        <v>Regular</v>
      </c>
      <c r="X390" s="1" t="str">
        <f t="shared" si="62"/>
        <v>Discounted</v>
      </c>
    </row>
    <row r="391" spans="1:24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5">
        <v>2065.81</v>
      </c>
      <c r="P391" s="1">
        <f t="shared" si="54"/>
        <v>2430.36</v>
      </c>
      <c r="Q391" s="1" t="str">
        <f t="shared" si="55"/>
        <v>No</v>
      </c>
      <c r="R391" s="1" t="str">
        <f t="shared" si="56"/>
        <v>No</v>
      </c>
      <c r="S391" s="1" t="str">
        <f t="shared" si="57"/>
        <v>Yes</v>
      </c>
      <c r="T391" s="1" t="str">
        <f t="shared" si="58"/>
        <v>Normal</v>
      </c>
      <c r="U391" s="1" t="str">
        <f t="shared" si="59"/>
        <v>Yes</v>
      </c>
      <c r="V391" s="5" t="str">
        <f t="shared" si="60"/>
        <v>Yes</v>
      </c>
      <c r="W391" s="1" t="str">
        <f t="shared" si="61"/>
        <v>Regular</v>
      </c>
      <c r="X391" s="1" t="str">
        <f t="shared" si="62"/>
        <v>Discounted</v>
      </c>
    </row>
    <row r="392" spans="1:24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5">
        <v>16946.52</v>
      </c>
      <c r="P392" s="1">
        <f t="shared" si="54"/>
        <v>16946.52</v>
      </c>
      <c r="Q392" s="1" t="str">
        <f t="shared" si="55"/>
        <v>Yes</v>
      </c>
      <c r="R392" s="1" t="str">
        <f t="shared" si="56"/>
        <v>No</v>
      </c>
      <c r="S392" s="1" t="str">
        <f t="shared" si="57"/>
        <v>No</v>
      </c>
      <c r="T392" s="1" t="str">
        <f t="shared" si="58"/>
        <v>Normal</v>
      </c>
      <c r="U392" s="1" t="str">
        <f t="shared" si="59"/>
        <v>No</v>
      </c>
      <c r="V392" s="5" t="str">
        <f t="shared" si="60"/>
        <v>No</v>
      </c>
      <c r="W392" s="1" t="str">
        <f t="shared" si="61"/>
        <v>Regular</v>
      </c>
      <c r="X392" s="1" t="str">
        <f t="shared" si="62"/>
        <v>Discounted</v>
      </c>
    </row>
    <row r="393" spans="1:24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5">
        <v>3962.65</v>
      </c>
      <c r="P393" s="1">
        <f t="shared" si="54"/>
        <v>4661.9400000000005</v>
      </c>
      <c r="Q393" s="1" t="str">
        <f t="shared" si="55"/>
        <v>No</v>
      </c>
      <c r="R393" s="1" t="str">
        <f t="shared" si="56"/>
        <v>No</v>
      </c>
      <c r="S393" s="1" t="str">
        <f t="shared" si="57"/>
        <v>Yes</v>
      </c>
      <c r="T393" s="1" t="str">
        <f t="shared" si="58"/>
        <v>Normal</v>
      </c>
      <c r="U393" s="1" t="str">
        <f t="shared" si="59"/>
        <v>Yes</v>
      </c>
      <c r="V393" s="5" t="str">
        <f t="shared" si="60"/>
        <v>Yes</v>
      </c>
      <c r="W393" s="1" t="str">
        <f t="shared" si="61"/>
        <v>Regular</v>
      </c>
      <c r="X393" s="1" t="str">
        <f t="shared" si="62"/>
        <v>Discounted</v>
      </c>
    </row>
    <row r="394" spans="1:24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5">
        <v>21551.4</v>
      </c>
      <c r="P394" s="1">
        <f t="shared" si="54"/>
        <v>23946</v>
      </c>
      <c r="Q394" s="1" t="str">
        <f t="shared" si="55"/>
        <v>Yes</v>
      </c>
      <c r="R394" s="1" t="str">
        <f t="shared" si="56"/>
        <v>Yes</v>
      </c>
      <c r="S394" s="1" t="str">
        <f t="shared" si="57"/>
        <v>Yes</v>
      </c>
      <c r="T394" s="1" t="str">
        <f t="shared" si="58"/>
        <v>Normal</v>
      </c>
      <c r="U394" s="1" t="str">
        <f t="shared" si="59"/>
        <v>Yes</v>
      </c>
      <c r="V394" s="5" t="str">
        <f t="shared" si="60"/>
        <v>Yes</v>
      </c>
      <c r="W394" s="1" t="str">
        <f t="shared" si="61"/>
        <v>Premium</v>
      </c>
      <c r="X394" s="1" t="str">
        <f t="shared" si="62"/>
        <v>Non Dis Bulk Order</v>
      </c>
    </row>
    <row r="395" spans="1:24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5">
        <v>16298.88</v>
      </c>
      <c r="P395" s="1">
        <f t="shared" si="54"/>
        <v>16298.880000000001</v>
      </c>
      <c r="Q395" s="1" t="str">
        <f t="shared" si="55"/>
        <v>Yes</v>
      </c>
      <c r="R395" s="1" t="str">
        <f t="shared" si="56"/>
        <v>No</v>
      </c>
      <c r="S395" s="1" t="str">
        <f t="shared" si="57"/>
        <v>Yes</v>
      </c>
      <c r="T395" s="1" t="str">
        <f t="shared" si="58"/>
        <v>Normal</v>
      </c>
      <c r="U395" s="1" t="str">
        <f t="shared" si="59"/>
        <v>No</v>
      </c>
      <c r="V395" s="5" t="str">
        <f t="shared" si="60"/>
        <v>No</v>
      </c>
      <c r="W395" s="1" t="str">
        <f t="shared" si="61"/>
        <v>Premium</v>
      </c>
      <c r="X395" s="1" t="str">
        <f t="shared" si="62"/>
        <v>Discounted</v>
      </c>
    </row>
    <row r="396" spans="1:24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5">
        <v>1098.56</v>
      </c>
      <c r="P396" s="1">
        <f t="shared" si="54"/>
        <v>1220.6199999999999</v>
      </c>
      <c r="Q396" s="1" t="str">
        <f t="shared" si="55"/>
        <v>No</v>
      </c>
      <c r="R396" s="1" t="str">
        <f t="shared" si="56"/>
        <v>No</v>
      </c>
      <c r="S396" s="1" t="str">
        <f t="shared" si="57"/>
        <v>Yes</v>
      </c>
      <c r="T396" s="1" t="str">
        <f t="shared" si="58"/>
        <v>Normal</v>
      </c>
      <c r="U396" s="1" t="str">
        <f t="shared" si="59"/>
        <v>Yes</v>
      </c>
      <c r="V396" s="5" t="str">
        <f t="shared" si="60"/>
        <v>Yes</v>
      </c>
      <c r="W396" s="1" t="str">
        <f t="shared" si="61"/>
        <v>Regular</v>
      </c>
      <c r="X396" s="1" t="str">
        <f t="shared" si="62"/>
        <v>Discounted</v>
      </c>
    </row>
    <row r="397" spans="1:24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5">
        <v>12008.82</v>
      </c>
      <c r="P397" s="1">
        <f t="shared" si="54"/>
        <v>14128.02</v>
      </c>
      <c r="Q397" s="1" t="str">
        <f t="shared" si="55"/>
        <v>Yes</v>
      </c>
      <c r="R397" s="1" t="str">
        <f t="shared" si="56"/>
        <v>No</v>
      </c>
      <c r="S397" s="1" t="str">
        <f t="shared" si="57"/>
        <v>No</v>
      </c>
      <c r="T397" s="1" t="str">
        <f t="shared" si="58"/>
        <v>Normal</v>
      </c>
      <c r="U397" s="1" t="str">
        <f t="shared" si="59"/>
        <v>No</v>
      </c>
      <c r="V397" s="5" t="str">
        <f t="shared" si="60"/>
        <v>No</v>
      </c>
      <c r="W397" s="1" t="str">
        <f t="shared" si="61"/>
        <v>Regular</v>
      </c>
      <c r="X397" s="1" t="str">
        <f t="shared" si="62"/>
        <v>Discounted</v>
      </c>
    </row>
    <row r="398" spans="1:24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5">
        <v>7172.3</v>
      </c>
      <c r="P398" s="1">
        <f t="shared" si="54"/>
        <v>7969.22</v>
      </c>
      <c r="Q398" s="1" t="str">
        <f t="shared" si="55"/>
        <v>No</v>
      </c>
      <c r="R398" s="1" t="str">
        <f t="shared" si="56"/>
        <v>No</v>
      </c>
      <c r="S398" s="1" t="str">
        <f t="shared" si="57"/>
        <v>No</v>
      </c>
      <c r="T398" s="1" t="str">
        <f t="shared" si="58"/>
        <v>Normal</v>
      </c>
      <c r="U398" s="1" t="str">
        <f t="shared" si="59"/>
        <v>No</v>
      </c>
      <c r="V398" s="5" t="str">
        <f t="shared" si="60"/>
        <v>No</v>
      </c>
      <c r="W398" s="1" t="str">
        <f t="shared" si="61"/>
        <v>Regular</v>
      </c>
      <c r="X398" s="1" t="str">
        <f t="shared" si="62"/>
        <v>Discounted</v>
      </c>
    </row>
    <row r="399" spans="1:24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5">
        <v>16228.85</v>
      </c>
      <c r="P399" s="1">
        <f t="shared" si="54"/>
        <v>16228.85</v>
      </c>
      <c r="Q399" s="1" t="str">
        <f t="shared" si="55"/>
        <v>No</v>
      </c>
      <c r="R399" s="1" t="str">
        <f t="shared" si="56"/>
        <v>No</v>
      </c>
      <c r="S399" s="1" t="str">
        <f t="shared" si="57"/>
        <v>Yes</v>
      </c>
      <c r="T399" s="1" t="str">
        <f t="shared" si="58"/>
        <v>Normal</v>
      </c>
      <c r="U399" s="1" t="str">
        <f t="shared" si="59"/>
        <v>No</v>
      </c>
      <c r="V399" s="5" t="str">
        <f t="shared" si="60"/>
        <v>No</v>
      </c>
      <c r="W399" s="1" t="str">
        <f t="shared" si="61"/>
        <v>Premium</v>
      </c>
      <c r="X399" s="1" t="str">
        <f t="shared" si="62"/>
        <v>Discounted</v>
      </c>
    </row>
    <row r="400" spans="1:24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5">
        <v>5369.58</v>
      </c>
      <c r="P400" s="1">
        <f t="shared" si="54"/>
        <v>5369.58</v>
      </c>
      <c r="Q400" s="1" t="str">
        <f t="shared" si="55"/>
        <v>No</v>
      </c>
      <c r="R400" s="1" t="str">
        <f t="shared" si="56"/>
        <v>No</v>
      </c>
      <c r="S400" s="1" t="str">
        <f t="shared" si="57"/>
        <v>Yes</v>
      </c>
      <c r="T400" s="1" t="str">
        <f t="shared" si="58"/>
        <v>Normal</v>
      </c>
      <c r="U400" s="1" t="str">
        <f t="shared" si="59"/>
        <v>Yes</v>
      </c>
      <c r="V400" s="5" t="str">
        <f t="shared" si="60"/>
        <v>Yes</v>
      </c>
      <c r="W400" s="1" t="str">
        <f t="shared" si="61"/>
        <v>Regular</v>
      </c>
      <c r="X400" s="1" t="str">
        <f t="shared" si="62"/>
        <v>Discounted</v>
      </c>
    </row>
    <row r="401" spans="1:24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5">
        <v>14326.31</v>
      </c>
      <c r="P401" s="1">
        <f t="shared" si="54"/>
        <v>15918.12</v>
      </c>
      <c r="Q401" s="1" t="str">
        <f t="shared" si="55"/>
        <v>No</v>
      </c>
      <c r="R401" s="1" t="str">
        <f t="shared" si="56"/>
        <v>No</v>
      </c>
      <c r="S401" s="1" t="str">
        <f t="shared" si="57"/>
        <v>No</v>
      </c>
      <c r="T401" s="1" t="str">
        <f t="shared" si="58"/>
        <v>Normal</v>
      </c>
      <c r="U401" s="1" t="str">
        <f t="shared" si="59"/>
        <v>No</v>
      </c>
      <c r="V401" s="5" t="str">
        <f t="shared" si="60"/>
        <v>No</v>
      </c>
      <c r="W401" s="1" t="str">
        <f t="shared" si="61"/>
        <v>Regular</v>
      </c>
      <c r="X401" s="1" t="str">
        <f t="shared" si="62"/>
        <v>Discounted</v>
      </c>
    </row>
    <row r="402" spans="1:24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5">
        <v>1923.29</v>
      </c>
      <c r="P402" s="1">
        <f t="shared" si="54"/>
        <v>2024.52</v>
      </c>
      <c r="Q402" s="1" t="str">
        <f t="shared" si="55"/>
        <v>No</v>
      </c>
      <c r="R402" s="1" t="str">
        <f t="shared" si="56"/>
        <v>No</v>
      </c>
      <c r="S402" s="1" t="str">
        <f t="shared" si="57"/>
        <v>Yes</v>
      </c>
      <c r="T402" s="1" t="str">
        <f t="shared" si="58"/>
        <v>Normal</v>
      </c>
      <c r="U402" s="1" t="str">
        <f t="shared" si="59"/>
        <v>Yes</v>
      </c>
      <c r="V402" s="5" t="str">
        <f t="shared" si="60"/>
        <v>Yes</v>
      </c>
      <c r="W402" s="1" t="str">
        <f t="shared" si="61"/>
        <v>Regular</v>
      </c>
      <c r="X402" s="1" t="str">
        <f t="shared" si="62"/>
        <v>Discounted</v>
      </c>
    </row>
    <row r="403" spans="1:24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5">
        <v>16087.13</v>
      </c>
      <c r="P403" s="1">
        <f t="shared" si="54"/>
        <v>18926.04</v>
      </c>
      <c r="Q403" s="1" t="str">
        <f t="shared" si="55"/>
        <v>Yes</v>
      </c>
      <c r="R403" s="1" t="str">
        <f t="shared" si="56"/>
        <v>No</v>
      </c>
      <c r="S403" s="1" t="str">
        <f t="shared" si="57"/>
        <v>Yes</v>
      </c>
      <c r="T403" s="1" t="str">
        <f t="shared" si="58"/>
        <v>Normal</v>
      </c>
      <c r="U403" s="1" t="str">
        <f t="shared" si="59"/>
        <v>Yes</v>
      </c>
      <c r="V403" s="5" t="str">
        <f t="shared" si="60"/>
        <v>Yes</v>
      </c>
      <c r="W403" s="1" t="str">
        <f t="shared" si="61"/>
        <v>Premium</v>
      </c>
      <c r="X403" s="1" t="str">
        <f t="shared" si="62"/>
        <v>Discounted</v>
      </c>
    </row>
    <row r="404" spans="1:24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5">
        <v>2332.19</v>
      </c>
      <c r="P404" s="1">
        <f t="shared" si="54"/>
        <v>2743.75</v>
      </c>
      <c r="Q404" s="1" t="str">
        <f t="shared" si="55"/>
        <v>No</v>
      </c>
      <c r="R404" s="1" t="str">
        <f t="shared" si="56"/>
        <v>No</v>
      </c>
      <c r="S404" s="1" t="str">
        <f t="shared" si="57"/>
        <v>Yes</v>
      </c>
      <c r="T404" s="1" t="str">
        <f t="shared" si="58"/>
        <v>Normal</v>
      </c>
      <c r="U404" s="1" t="str">
        <f t="shared" si="59"/>
        <v>Yes</v>
      </c>
      <c r="V404" s="5" t="str">
        <f t="shared" si="60"/>
        <v>Yes</v>
      </c>
      <c r="W404" s="1" t="str">
        <f t="shared" si="61"/>
        <v>Regular</v>
      </c>
      <c r="X404" s="1" t="str">
        <f t="shared" si="62"/>
        <v>Discounted</v>
      </c>
    </row>
    <row r="405" spans="1:24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5">
        <v>11177.53</v>
      </c>
      <c r="P405" s="1">
        <f t="shared" si="54"/>
        <v>12419.48</v>
      </c>
      <c r="Q405" s="1" t="str">
        <f t="shared" si="55"/>
        <v>No</v>
      </c>
      <c r="R405" s="1" t="str">
        <f t="shared" si="56"/>
        <v>No</v>
      </c>
      <c r="S405" s="1" t="str">
        <f t="shared" si="57"/>
        <v>Yes</v>
      </c>
      <c r="T405" s="1" t="str">
        <f t="shared" si="58"/>
        <v>Normal</v>
      </c>
      <c r="U405" s="1" t="str">
        <f t="shared" si="59"/>
        <v>No</v>
      </c>
      <c r="V405" s="5" t="str">
        <f t="shared" si="60"/>
        <v>No</v>
      </c>
      <c r="W405" s="1" t="str">
        <f t="shared" si="61"/>
        <v>Regular</v>
      </c>
      <c r="X405" s="1" t="str">
        <f t="shared" si="62"/>
        <v>Discounted</v>
      </c>
    </row>
    <row r="406" spans="1:24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5">
        <v>5069.16</v>
      </c>
      <c r="P406" s="1">
        <f t="shared" si="54"/>
        <v>5335.96</v>
      </c>
      <c r="Q406" s="1" t="str">
        <f t="shared" si="55"/>
        <v>No</v>
      </c>
      <c r="R406" s="1" t="str">
        <f t="shared" si="56"/>
        <v>No</v>
      </c>
      <c r="S406" s="1" t="str">
        <f t="shared" si="57"/>
        <v>Yes</v>
      </c>
      <c r="T406" s="1" t="str">
        <f t="shared" si="58"/>
        <v>Normal</v>
      </c>
      <c r="U406" s="1" t="str">
        <f t="shared" si="59"/>
        <v>Yes</v>
      </c>
      <c r="V406" s="5" t="str">
        <f t="shared" si="60"/>
        <v>Yes</v>
      </c>
      <c r="W406" s="1" t="str">
        <f t="shared" si="61"/>
        <v>Regular</v>
      </c>
      <c r="X406" s="1" t="str">
        <f t="shared" si="62"/>
        <v>Discounted</v>
      </c>
    </row>
    <row r="407" spans="1:24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5">
        <v>2044.41</v>
      </c>
      <c r="P407" s="1">
        <f t="shared" si="54"/>
        <v>2044.41</v>
      </c>
      <c r="Q407" s="1" t="str">
        <f t="shared" si="55"/>
        <v>No</v>
      </c>
      <c r="R407" s="1" t="str">
        <f t="shared" si="56"/>
        <v>No</v>
      </c>
      <c r="S407" s="1" t="str">
        <f t="shared" si="57"/>
        <v>No</v>
      </c>
      <c r="T407" s="1" t="str">
        <f t="shared" si="58"/>
        <v>Normal</v>
      </c>
      <c r="U407" s="1" t="str">
        <f t="shared" si="59"/>
        <v>No</v>
      </c>
      <c r="V407" s="5" t="str">
        <f t="shared" si="60"/>
        <v>No</v>
      </c>
      <c r="W407" s="1" t="str">
        <f t="shared" si="61"/>
        <v>Regular</v>
      </c>
      <c r="X407" s="1" t="str">
        <f t="shared" si="62"/>
        <v>Discounted</v>
      </c>
    </row>
    <row r="408" spans="1:24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5">
        <v>23159.23</v>
      </c>
      <c r="P408" s="1">
        <f t="shared" si="54"/>
        <v>28949.040000000001</v>
      </c>
      <c r="Q408" s="1" t="str">
        <f t="shared" si="55"/>
        <v>Yes</v>
      </c>
      <c r="R408" s="1" t="str">
        <f t="shared" si="56"/>
        <v>Yes</v>
      </c>
      <c r="S408" s="1" t="str">
        <f t="shared" si="57"/>
        <v>Yes</v>
      </c>
      <c r="T408" s="1" t="str">
        <f t="shared" si="58"/>
        <v>Normal</v>
      </c>
      <c r="U408" s="1" t="str">
        <f t="shared" si="59"/>
        <v>Yes</v>
      </c>
      <c r="V408" s="5" t="str">
        <f t="shared" si="60"/>
        <v>Yes</v>
      </c>
      <c r="W408" s="1" t="str">
        <f t="shared" si="61"/>
        <v>Premium</v>
      </c>
      <c r="X408" s="1" t="str">
        <f t="shared" si="62"/>
        <v>Non Dis Bulk Order</v>
      </c>
    </row>
    <row r="409" spans="1:24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5">
        <v>3344.9</v>
      </c>
      <c r="P409" s="1">
        <f t="shared" si="54"/>
        <v>4181.12</v>
      </c>
      <c r="Q409" s="1" t="str">
        <f t="shared" si="55"/>
        <v>No</v>
      </c>
      <c r="R409" s="1" t="str">
        <f t="shared" si="56"/>
        <v>No</v>
      </c>
      <c r="S409" s="1" t="str">
        <f t="shared" si="57"/>
        <v>No</v>
      </c>
      <c r="T409" s="1" t="str">
        <f t="shared" si="58"/>
        <v>Normal</v>
      </c>
      <c r="U409" s="1" t="str">
        <f t="shared" si="59"/>
        <v>No</v>
      </c>
      <c r="V409" s="5" t="str">
        <f t="shared" si="60"/>
        <v>No</v>
      </c>
      <c r="W409" s="1" t="str">
        <f t="shared" si="61"/>
        <v>Regular</v>
      </c>
      <c r="X409" s="1" t="str">
        <f t="shared" si="62"/>
        <v>Discounted</v>
      </c>
    </row>
    <row r="410" spans="1:24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5">
        <v>6427.45</v>
      </c>
      <c r="P410" s="1">
        <f t="shared" si="54"/>
        <v>7141.6100000000006</v>
      </c>
      <c r="Q410" s="1" t="str">
        <f t="shared" si="55"/>
        <v>No</v>
      </c>
      <c r="R410" s="1" t="str">
        <f t="shared" si="56"/>
        <v>No</v>
      </c>
      <c r="S410" s="1" t="str">
        <f t="shared" si="57"/>
        <v>Yes</v>
      </c>
      <c r="T410" s="1" t="str">
        <f t="shared" si="58"/>
        <v>Normal</v>
      </c>
      <c r="U410" s="1" t="str">
        <f t="shared" si="59"/>
        <v>Yes</v>
      </c>
      <c r="V410" s="5" t="str">
        <f t="shared" si="60"/>
        <v>Yes</v>
      </c>
      <c r="W410" s="1" t="str">
        <f t="shared" si="61"/>
        <v>Regular</v>
      </c>
      <c r="X410" s="1" t="str">
        <f t="shared" si="62"/>
        <v>Discounted</v>
      </c>
    </row>
    <row r="411" spans="1:24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5">
        <v>6473.92</v>
      </c>
      <c r="P411" s="1">
        <f t="shared" si="54"/>
        <v>6814.6500000000005</v>
      </c>
      <c r="Q411" s="1" t="str">
        <f t="shared" si="55"/>
        <v>No</v>
      </c>
      <c r="R411" s="1" t="str">
        <f t="shared" si="56"/>
        <v>No</v>
      </c>
      <c r="S411" s="1" t="str">
        <f t="shared" si="57"/>
        <v>No</v>
      </c>
      <c r="T411" s="1" t="str">
        <f t="shared" si="58"/>
        <v>Normal</v>
      </c>
      <c r="U411" s="1" t="str">
        <f t="shared" si="59"/>
        <v>No</v>
      </c>
      <c r="V411" s="5" t="str">
        <f t="shared" si="60"/>
        <v>No</v>
      </c>
      <c r="W411" s="1" t="str">
        <f t="shared" si="61"/>
        <v>Regular</v>
      </c>
      <c r="X411" s="1" t="str">
        <f t="shared" si="62"/>
        <v>Discounted</v>
      </c>
    </row>
    <row r="412" spans="1:24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5">
        <v>6172.3</v>
      </c>
      <c r="P412" s="1">
        <f t="shared" si="54"/>
        <v>6497.16</v>
      </c>
      <c r="Q412" s="1" t="str">
        <f t="shared" si="55"/>
        <v>No</v>
      </c>
      <c r="R412" s="1" t="str">
        <f t="shared" si="56"/>
        <v>No</v>
      </c>
      <c r="S412" s="1" t="str">
        <f t="shared" si="57"/>
        <v>No</v>
      </c>
      <c r="T412" s="1" t="str">
        <f t="shared" si="58"/>
        <v>Normal</v>
      </c>
      <c r="U412" s="1" t="str">
        <f t="shared" si="59"/>
        <v>No</v>
      </c>
      <c r="V412" s="5" t="str">
        <f t="shared" si="60"/>
        <v>No</v>
      </c>
      <c r="W412" s="1" t="str">
        <f t="shared" si="61"/>
        <v>Regular</v>
      </c>
      <c r="X412" s="1" t="str">
        <f t="shared" si="62"/>
        <v>Discounted</v>
      </c>
    </row>
    <row r="413" spans="1:24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5">
        <v>8409.6299999999992</v>
      </c>
      <c r="P413" s="1">
        <f t="shared" si="54"/>
        <v>9893.68</v>
      </c>
      <c r="Q413" s="1" t="str">
        <f t="shared" si="55"/>
        <v>No</v>
      </c>
      <c r="R413" s="1" t="str">
        <f t="shared" si="56"/>
        <v>Yes</v>
      </c>
      <c r="S413" s="1" t="str">
        <f t="shared" si="57"/>
        <v>Yes</v>
      </c>
      <c r="T413" s="1" t="str">
        <f t="shared" si="58"/>
        <v>Normal</v>
      </c>
      <c r="U413" s="1" t="str">
        <f t="shared" si="59"/>
        <v>Yes</v>
      </c>
      <c r="V413" s="5" t="str">
        <f t="shared" si="60"/>
        <v>Yes</v>
      </c>
      <c r="W413" s="1" t="str">
        <f t="shared" si="61"/>
        <v>Regular</v>
      </c>
      <c r="X413" s="1" t="str">
        <f t="shared" si="62"/>
        <v>Non Dis Bulk Order</v>
      </c>
    </row>
    <row r="414" spans="1:24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5">
        <v>10380.719999999999</v>
      </c>
      <c r="P414" s="1">
        <f t="shared" si="54"/>
        <v>10380.719999999999</v>
      </c>
      <c r="Q414" s="1" t="str">
        <f t="shared" si="55"/>
        <v>Yes</v>
      </c>
      <c r="R414" s="1" t="str">
        <f t="shared" si="56"/>
        <v>No</v>
      </c>
      <c r="S414" s="1" t="str">
        <f t="shared" si="57"/>
        <v>Yes</v>
      </c>
      <c r="T414" s="1" t="str">
        <f t="shared" si="58"/>
        <v>Normal</v>
      </c>
      <c r="U414" s="1" t="str">
        <f t="shared" si="59"/>
        <v>Yes</v>
      </c>
      <c r="V414" s="5" t="str">
        <f t="shared" si="60"/>
        <v>Yes</v>
      </c>
      <c r="W414" s="1" t="str">
        <f t="shared" si="61"/>
        <v>Regular</v>
      </c>
      <c r="X414" s="1" t="str">
        <f t="shared" si="62"/>
        <v>Discounted</v>
      </c>
    </row>
    <row r="415" spans="1:24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5">
        <v>1158.71</v>
      </c>
      <c r="P415" s="1">
        <f t="shared" si="54"/>
        <v>1219.7</v>
      </c>
      <c r="Q415" s="1" t="str">
        <f t="shared" si="55"/>
        <v>No</v>
      </c>
      <c r="R415" s="1" t="str">
        <f t="shared" si="56"/>
        <v>No</v>
      </c>
      <c r="S415" s="1" t="str">
        <f t="shared" si="57"/>
        <v>No</v>
      </c>
      <c r="T415" s="1" t="str">
        <f t="shared" si="58"/>
        <v>Normal</v>
      </c>
      <c r="U415" s="1" t="str">
        <f t="shared" si="59"/>
        <v>No</v>
      </c>
      <c r="V415" s="5" t="str">
        <f t="shared" si="60"/>
        <v>No</v>
      </c>
      <c r="W415" s="1" t="str">
        <f t="shared" si="61"/>
        <v>Regular</v>
      </c>
      <c r="X415" s="1" t="str">
        <f t="shared" si="62"/>
        <v>Discounted</v>
      </c>
    </row>
    <row r="416" spans="1:24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5">
        <v>4992.51</v>
      </c>
      <c r="P416" s="1">
        <f t="shared" si="54"/>
        <v>6240.64</v>
      </c>
      <c r="Q416" s="1" t="str">
        <f t="shared" si="55"/>
        <v>No</v>
      </c>
      <c r="R416" s="1" t="str">
        <f t="shared" si="56"/>
        <v>No</v>
      </c>
      <c r="S416" s="1" t="str">
        <f t="shared" si="57"/>
        <v>Yes</v>
      </c>
      <c r="T416" s="1" t="str">
        <f t="shared" si="58"/>
        <v>Normal</v>
      </c>
      <c r="U416" s="1" t="str">
        <f t="shared" si="59"/>
        <v>No</v>
      </c>
      <c r="V416" s="5" t="str">
        <f t="shared" si="60"/>
        <v>No</v>
      </c>
      <c r="W416" s="1" t="str">
        <f t="shared" si="61"/>
        <v>Regular</v>
      </c>
      <c r="X416" s="1" t="str">
        <f t="shared" si="62"/>
        <v>Discounted</v>
      </c>
    </row>
    <row r="417" spans="1:24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5">
        <v>21278.560000000001</v>
      </c>
      <c r="P417" s="1">
        <f t="shared" si="54"/>
        <v>21278.560000000001</v>
      </c>
      <c r="Q417" s="1" t="str">
        <f t="shared" si="55"/>
        <v>Yes</v>
      </c>
      <c r="R417" s="1" t="str">
        <f t="shared" si="56"/>
        <v>No</v>
      </c>
      <c r="S417" s="1" t="str">
        <f t="shared" si="57"/>
        <v>Yes</v>
      </c>
      <c r="T417" s="1" t="str">
        <f t="shared" si="58"/>
        <v>Normal</v>
      </c>
      <c r="U417" s="1" t="str">
        <f t="shared" si="59"/>
        <v>Yes</v>
      </c>
      <c r="V417" s="5" t="str">
        <f t="shared" si="60"/>
        <v>Yes</v>
      </c>
      <c r="W417" s="1" t="str">
        <f t="shared" si="61"/>
        <v>Premium</v>
      </c>
      <c r="X417" s="1" t="str">
        <f t="shared" si="62"/>
        <v>Discounted</v>
      </c>
    </row>
    <row r="418" spans="1:24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5">
        <v>3354.81</v>
      </c>
      <c r="P418" s="1">
        <f t="shared" si="54"/>
        <v>3354.81</v>
      </c>
      <c r="Q418" s="1" t="str">
        <f t="shared" si="55"/>
        <v>No</v>
      </c>
      <c r="R418" s="1" t="str">
        <f t="shared" si="56"/>
        <v>No</v>
      </c>
      <c r="S418" s="1" t="str">
        <f t="shared" si="57"/>
        <v>Yes</v>
      </c>
      <c r="T418" s="1" t="str">
        <f t="shared" si="58"/>
        <v>Normal</v>
      </c>
      <c r="U418" s="1" t="str">
        <f t="shared" si="59"/>
        <v>No</v>
      </c>
      <c r="V418" s="5" t="str">
        <f t="shared" si="60"/>
        <v>No</v>
      </c>
      <c r="W418" s="1" t="str">
        <f t="shared" si="61"/>
        <v>Regular</v>
      </c>
      <c r="X418" s="1" t="str">
        <f t="shared" si="62"/>
        <v>Discounted</v>
      </c>
    </row>
    <row r="419" spans="1:24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5">
        <v>28120.1</v>
      </c>
      <c r="P419" s="1">
        <f t="shared" si="54"/>
        <v>31244.560000000001</v>
      </c>
      <c r="Q419" s="1" t="str">
        <f t="shared" si="55"/>
        <v>Yes</v>
      </c>
      <c r="R419" s="1" t="str">
        <f t="shared" si="56"/>
        <v>Yes</v>
      </c>
      <c r="S419" s="1" t="str">
        <f t="shared" si="57"/>
        <v>Yes</v>
      </c>
      <c r="T419" s="1" t="str">
        <f t="shared" si="58"/>
        <v>Normal</v>
      </c>
      <c r="U419" s="1" t="str">
        <f t="shared" si="59"/>
        <v>Yes</v>
      </c>
      <c r="V419" s="5" t="str">
        <f t="shared" si="60"/>
        <v>Yes</v>
      </c>
      <c r="W419" s="1" t="str">
        <f t="shared" si="61"/>
        <v>Premium</v>
      </c>
      <c r="X419" s="1" t="str">
        <f t="shared" si="62"/>
        <v>Non Dis Bulk Order</v>
      </c>
    </row>
    <row r="420" spans="1:24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5">
        <v>15014.03</v>
      </c>
      <c r="P420" s="1">
        <f t="shared" si="54"/>
        <v>15804.24</v>
      </c>
      <c r="Q420" s="1" t="str">
        <f t="shared" si="55"/>
        <v>Yes</v>
      </c>
      <c r="R420" s="1" t="str">
        <f t="shared" si="56"/>
        <v>No</v>
      </c>
      <c r="S420" s="1" t="str">
        <f t="shared" si="57"/>
        <v>Yes</v>
      </c>
      <c r="T420" s="1" t="str">
        <f t="shared" si="58"/>
        <v>Normal</v>
      </c>
      <c r="U420" s="1" t="str">
        <f t="shared" si="59"/>
        <v>Yes</v>
      </c>
      <c r="V420" s="5" t="str">
        <f t="shared" si="60"/>
        <v>Yes</v>
      </c>
      <c r="W420" s="1" t="str">
        <f t="shared" si="61"/>
        <v>Regular</v>
      </c>
      <c r="X420" s="1" t="str">
        <f t="shared" si="62"/>
        <v>Non Dis Bulk Order</v>
      </c>
    </row>
    <row r="421" spans="1:24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5">
        <v>732.19</v>
      </c>
      <c r="P421" s="1">
        <f t="shared" si="54"/>
        <v>813.54</v>
      </c>
      <c r="Q421" s="1" t="str">
        <f t="shared" si="55"/>
        <v>No</v>
      </c>
      <c r="R421" s="1" t="str">
        <f t="shared" si="56"/>
        <v>No</v>
      </c>
      <c r="S421" s="1" t="str">
        <f t="shared" si="57"/>
        <v>Yes</v>
      </c>
      <c r="T421" s="1" t="str">
        <f t="shared" si="58"/>
        <v>Special attention</v>
      </c>
      <c r="U421" s="1" t="str">
        <f t="shared" si="59"/>
        <v>Yes</v>
      </c>
      <c r="V421" s="5" t="str">
        <f t="shared" si="60"/>
        <v>Yes</v>
      </c>
      <c r="W421" s="1" t="str">
        <f t="shared" si="61"/>
        <v>Regular</v>
      </c>
      <c r="X421" s="1" t="str">
        <f t="shared" si="62"/>
        <v>Discounted</v>
      </c>
    </row>
    <row r="422" spans="1:24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5">
        <v>1273.6099999999999</v>
      </c>
      <c r="P422" s="1">
        <f t="shared" si="54"/>
        <v>1340.64</v>
      </c>
      <c r="Q422" s="1" t="str">
        <f t="shared" si="55"/>
        <v>No</v>
      </c>
      <c r="R422" s="1" t="str">
        <f t="shared" si="56"/>
        <v>No</v>
      </c>
      <c r="S422" s="1" t="str">
        <f t="shared" si="57"/>
        <v>Yes</v>
      </c>
      <c r="T422" s="1" t="str">
        <f t="shared" si="58"/>
        <v>Normal</v>
      </c>
      <c r="U422" s="1" t="str">
        <f t="shared" si="59"/>
        <v>Yes</v>
      </c>
      <c r="V422" s="5" t="str">
        <f t="shared" si="60"/>
        <v>Yes</v>
      </c>
      <c r="W422" s="1" t="str">
        <f t="shared" si="61"/>
        <v>Regular</v>
      </c>
      <c r="X422" s="1" t="str">
        <f t="shared" si="62"/>
        <v>Discounted</v>
      </c>
    </row>
    <row r="423" spans="1:24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5">
        <v>6570.38</v>
      </c>
      <c r="P423" s="1">
        <f t="shared" si="54"/>
        <v>7729.86</v>
      </c>
      <c r="Q423" s="1" t="str">
        <f t="shared" si="55"/>
        <v>No</v>
      </c>
      <c r="R423" s="1" t="str">
        <f t="shared" si="56"/>
        <v>No</v>
      </c>
      <c r="S423" s="1" t="str">
        <f t="shared" si="57"/>
        <v>Yes</v>
      </c>
      <c r="T423" s="1" t="str">
        <f t="shared" si="58"/>
        <v>Normal</v>
      </c>
      <c r="U423" s="1" t="str">
        <f t="shared" si="59"/>
        <v>No</v>
      </c>
      <c r="V423" s="5" t="str">
        <f t="shared" si="60"/>
        <v>No</v>
      </c>
      <c r="W423" s="1" t="str">
        <f t="shared" si="61"/>
        <v>Regular</v>
      </c>
      <c r="X423" s="1" t="str">
        <f t="shared" si="62"/>
        <v>Discounted</v>
      </c>
    </row>
    <row r="424" spans="1:24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5">
        <v>30296.43</v>
      </c>
      <c r="P424" s="1">
        <f t="shared" si="54"/>
        <v>33662.700000000004</v>
      </c>
      <c r="Q424" s="1" t="str">
        <f t="shared" si="55"/>
        <v>Yes</v>
      </c>
      <c r="R424" s="1" t="str">
        <f t="shared" si="56"/>
        <v>Yes</v>
      </c>
      <c r="S424" s="1" t="str">
        <f t="shared" si="57"/>
        <v>Yes</v>
      </c>
      <c r="T424" s="1" t="str">
        <f t="shared" si="58"/>
        <v>Normal</v>
      </c>
      <c r="U424" s="1" t="str">
        <f t="shared" si="59"/>
        <v>Yes</v>
      </c>
      <c r="V424" s="5" t="str">
        <f t="shared" si="60"/>
        <v>Yes</v>
      </c>
      <c r="W424" s="1" t="str">
        <f t="shared" si="61"/>
        <v>Premium</v>
      </c>
      <c r="X424" s="1" t="str">
        <f t="shared" si="62"/>
        <v>Non Dis Bulk Order</v>
      </c>
    </row>
    <row r="425" spans="1:24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5">
        <v>15583.46</v>
      </c>
      <c r="P425" s="1">
        <f t="shared" si="54"/>
        <v>17314.96</v>
      </c>
      <c r="Q425" s="1" t="str">
        <f t="shared" si="55"/>
        <v>Yes</v>
      </c>
      <c r="R425" s="1" t="str">
        <f t="shared" si="56"/>
        <v>Yes</v>
      </c>
      <c r="S425" s="1" t="str">
        <f t="shared" si="57"/>
        <v>No</v>
      </c>
      <c r="T425" s="1" t="str">
        <f t="shared" si="58"/>
        <v>Normal</v>
      </c>
      <c r="U425" s="1" t="str">
        <f t="shared" si="59"/>
        <v>No</v>
      </c>
      <c r="V425" s="5" t="str">
        <f t="shared" si="60"/>
        <v>No</v>
      </c>
      <c r="W425" s="1" t="str">
        <f t="shared" si="61"/>
        <v>Premium</v>
      </c>
      <c r="X425" s="1" t="str">
        <f t="shared" si="62"/>
        <v>Non Dis Bulk Order</v>
      </c>
    </row>
    <row r="426" spans="1:24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5">
        <v>7656.83</v>
      </c>
      <c r="P426" s="1">
        <f t="shared" si="54"/>
        <v>9571.0400000000009</v>
      </c>
      <c r="Q426" s="1" t="str">
        <f t="shared" si="55"/>
        <v>No</v>
      </c>
      <c r="R426" s="1" t="str">
        <f t="shared" si="56"/>
        <v>Yes</v>
      </c>
      <c r="S426" s="1" t="str">
        <f t="shared" si="57"/>
        <v>No</v>
      </c>
      <c r="T426" s="1" t="str">
        <f t="shared" si="58"/>
        <v>Normal</v>
      </c>
      <c r="U426" s="1" t="str">
        <f t="shared" si="59"/>
        <v>No</v>
      </c>
      <c r="V426" s="5" t="str">
        <f t="shared" si="60"/>
        <v>No</v>
      </c>
      <c r="W426" s="1" t="str">
        <f t="shared" si="61"/>
        <v>Regular</v>
      </c>
      <c r="X426" s="1" t="str">
        <f t="shared" si="62"/>
        <v>Non Dis Bulk Order</v>
      </c>
    </row>
    <row r="427" spans="1:24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5">
        <v>10626.78</v>
      </c>
      <c r="P427" s="1">
        <f t="shared" si="54"/>
        <v>11807.529999999999</v>
      </c>
      <c r="Q427" s="1" t="str">
        <f t="shared" si="55"/>
        <v>Yes</v>
      </c>
      <c r="R427" s="1" t="str">
        <f t="shared" si="56"/>
        <v>No</v>
      </c>
      <c r="S427" s="1" t="str">
        <f t="shared" si="57"/>
        <v>Yes</v>
      </c>
      <c r="T427" s="1" t="str">
        <f t="shared" si="58"/>
        <v>Normal</v>
      </c>
      <c r="U427" s="1" t="str">
        <f t="shared" si="59"/>
        <v>No</v>
      </c>
      <c r="V427" s="5" t="str">
        <f t="shared" si="60"/>
        <v>No</v>
      </c>
      <c r="W427" s="1" t="str">
        <f t="shared" si="61"/>
        <v>Regular</v>
      </c>
      <c r="X427" s="1" t="str">
        <f t="shared" si="62"/>
        <v>Discounted</v>
      </c>
    </row>
    <row r="428" spans="1:24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5">
        <v>20986.74</v>
      </c>
      <c r="P428" s="1">
        <f t="shared" si="54"/>
        <v>22091.31</v>
      </c>
      <c r="Q428" s="1" t="str">
        <f t="shared" si="55"/>
        <v>Yes</v>
      </c>
      <c r="R428" s="1" t="str">
        <f t="shared" si="56"/>
        <v>No</v>
      </c>
      <c r="S428" s="1" t="str">
        <f t="shared" si="57"/>
        <v>Yes</v>
      </c>
      <c r="T428" s="1" t="str">
        <f t="shared" si="58"/>
        <v>Normal</v>
      </c>
      <c r="U428" s="1" t="str">
        <f t="shared" si="59"/>
        <v>Yes</v>
      </c>
      <c r="V428" s="5" t="str">
        <f t="shared" si="60"/>
        <v>Yes</v>
      </c>
      <c r="W428" s="1" t="str">
        <f t="shared" si="61"/>
        <v>Regular</v>
      </c>
      <c r="X428" s="1" t="str">
        <f t="shared" si="62"/>
        <v>Non Dis Bulk Order</v>
      </c>
    </row>
    <row r="429" spans="1:24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5">
        <v>4262.18</v>
      </c>
      <c r="P429" s="1">
        <f t="shared" si="54"/>
        <v>5327.72</v>
      </c>
      <c r="Q429" s="1" t="str">
        <f t="shared" si="55"/>
        <v>No</v>
      </c>
      <c r="R429" s="1" t="str">
        <f t="shared" si="56"/>
        <v>No</v>
      </c>
      <c r="S429" s="1" t="str">
        <f t="shared" si="57"/>
        <v>No</v>
      </c>
      <c r="T429" s="1" t="str">
        <f t="shared" si="58"/>
        <v>Normal</v>
      </c>
      <c r="U429" s="1" t="str">
        <f t="shared" si="59"/>
        <v>No</v>
      </c>
      <c r="V429" s="5" t="str">
        <f t="shared" si="60"/>
        <v>No</v>
      </c>
      <c r="W429" s="1" t="str">
        <f t="shared" si="61"/>
        <v>Regular</v>
      </c>
      <c r="X429" s="1" t="str">
        <f t="shared" si="62"/>
        <v>Discounted</v>
      </c>
    </row>
    <row r="430" spans="1:24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5">
        <v>2004.99</v>
      </c>
      <c r="P430" s="1">
        <f t="shared" si="54"/>
        <v>2227.77</v>
      </c>
      <c r="Q430" s="1" t="str">
        <f t="shared" si="55"/>
        <v>No</v>
      </c>
      <c r="R430" s="1" t="str">
        <f t="shared" si="56"/>
        <v>No</v>
      </c>
      <c r="S430" s="1" t="str">
        <f t="shared" si="57"/>
        <v>Yes</v>
      </c>
      <c r="T430" s="1" t="str">
        <f t="shared" si="58"/>
        <v>Normal</v>
      </c>
      <c r="U430" s="1" t="str">
        <f t="shared" si="59"/>
        <v>No</v>
      </c>
      <c r="V430" s="5" t="str">
        <f t="shared" si="60"/>
        <v>No</v>
      </c>
      <c r="W430" s="1" t="str">
        <f t="shared" si="61"/>
        <v>Regular</v>
      </c>
      <c r="X430" s="1" t="str">
        <f t="shared" si="62"/>
        <v>Discounted</v>
      </c>
    </row>
    <row r="431" spans="1:24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5">
        <v>28163.3</v>
      </c>
      <c r="P431" s="1">
        <f t="shared" si="54"/>
        <v>31292.560000000001</v>
      </c>
      <c r="Q431" s="1" t="str">
        <f t="shared" si="55"/>
        <v>Yes</v>
      </c>
      <c r="R431" s="1" t="str">
        <f t="shared" si="56"/>
        <v>Yes</v>
      </c>
      <c r="S431" s="1" t="str">
        <f t="shared" si="57"/>
        <v>Yes</v>
      </c>
      <c r="T431" s="1" t="str">
        <f t="shared" si="58"/>
        <v>Normal</v>
      </c>
      <c r="U431" s="1" t="str">
        <f t="shared" si="59"/>
        <v>Yes</v>
      </c>
      <c r="V431" s="5" t="str">
        <f t="shared" si="60"/>
        <v>Yes</v>
      </c>
      <c r="W431" s="1" t="str">
        <f t="shared" si="61"/>
        <v>Regular</v>
      </c>
      <c r="X431" s="1" t="str">
        <f t="shared" si="62"/>
        <v>Non Dis Bulk Order</v>
      </c>
    </row>
    <row r="432" spans="1:24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5">
        <v>11461.59</v>
      </c>
      <c r="P432" s="1">
        <f t="shared" si="54"/>
        <v>13484.22</v>
      </c>
      <c r="Q432" s="1" t="str">
        <f t="shared" si="55"/>
        <v>Yes</v>
      </c>
      <c r="R432" s="1" t="str">
        <f t="shared" si="56"/>
        <v>No</v>
      </c>
      <c r="S432" s="1" t="str">
        <f t="shared" si="57"/>
        <v>No</v>
      </c>
      <c r="T432" s="1" t="str">
        <f t="shared" si="58"/>
        <v>Normal</v>
      </c>
      <c r="U432" s="1" t="str">
        <f t="shared" si="59"/>
        <v>No</v>
      </c>
      <c r="V432" s="5" t="str">
        <f t="shared" si="60"/>
        <v>No</v>
      </c>
      <c r="W432" s="1" t="str">
        <f t="shared" si="61"/>
        <v>Regular</v>
      </c>
      <c r="X432" s="1" t="str">
        <f t="shared" si="62"/>
        <v>Discounted</v>
      </c>
    </row>
    <row r="433" spans="1:24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5">
        <v>5446.44</v>
      </c>
      <c r="P433" s="1">
        <f t="shared" si="54"/>
        <v>6051.5999999999995</v>
      </c>
      <c r="Q433" s="1" t="str">
        <f t="shared" si="55"/>
        <v>No</v>
      </c>
      <c r="R433" s="1" t="str">
        <f t="shared" si="56"/>
        <v>Yes</v>
      </c>
      <c r="S433" s="1" t="str">
        <f t="shared" si="57"/>
        <v>No</v>
      </c>
      <c r="T433" s="1" t="str">
        <f t="shared" si="58"/>
        <v>Normal</v>
      </c>
      <c r="U433" s="1" t="str">
        <f t="shared" si="59"/>
        <v>No</v>
      </c>
      <c r="V433" s="5" t="str">
        <f t="shared" si="60"/>
        <v>No</v>
      </c>
      <c r="W433" s="1" t="str">
        <f t="shared" si="61"/>
        <v>Regular</v>
      </c>
      <c r="X433" s="1" t="str">
        <f t="shared" si="62"/>
        <v>Non Dis Bulk Order</v>
      </c>
    </row>
    <row r="434" spans="1:24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5">
        <v>14362</v>
      </c>
      <c r="P434" s="1">
        <f t="shared" si="54"/>
        <v>14362</v>
      </c>
      <c r="Q434" s="1" t="str">
        <f t="shared" si="55"/>
        <v>No</v>
      </c>
      <c r="R434" s="1" t="str">
        <f t="shared" si="56"/>
        <v>No</v>
      </c>
      <c r="S434" s="1" t="str">
        <f t="shared" si="57"/>
        <v>Yes</v>
      </c>
      <c r="T434" s="1" t="str">
        <f t="shared" si="58"/>
        <v>Normal</v>
      </c>
      <c r="U434" s="1" t="str">
        <f t="shared" si="59"/>
        <v>No</v>
      </c>
      <c r="V434" s="5" t="str">
        <f t="shared" si="60"/>
        <v>No</v>
      </c>
      <c r="W434" s="1" t="str">
        <f t="shared" si="61"/>
        <v>Regular</v>
      </c>
      <c r="X434" s="1" t="str">
        <f t="shared" si="62"/>
        <v>Discounted</v>
      </c>
    </row>
    <row r="435" spans="1:24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5">
        <v>2799.1</v>
      </c>
      <c r="P435" s="1">
        <f t="shared" si="54"/>
        <v>3498.88</v>
      </c>
      <c r="Q435" s="1" t="str">
        <f t="shared" si="55"/>
        <v>No</v>
      </c>
      <c r="R435" s="1" t="str">
        <f t="shared" si="56"/>
        <v>Yes</v>
      </c>
      <c r="S435" s="1" t="str">
        <f t="shared" si="57"/>
        <v>Yes</v>
      </c>
      <c r="T435" s="1" t="str">
        <f t="shared" si="58"/>
        <v>Normal</v>
      </c>
      <c r="U435" s="1" t="str">
        <f t="shared" si="59"/>
        <v>Yes</v>
      </c>
      <c r="V435" s="5" t="str">
        <f t="shared" si="60"/>
        <v>Yes</v>
      </c>
      <c r="W435" s="1" t="str">
        <f t="shared" si="61"/>
        <v>Regular</v>
      </c>
      <c r="X435" s="1" t="str">
        <f t="shared" si="62"/>
        <v>Non Dis Bulk Order</v>
      </c>
    </row>
    <row r="436" spans="1:24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5">
        <v>10934.34</v>
      </c>
      <c r="P436" s="1">
        <f t="shared" si="54"/>
        <v>10934.34</v>
      </c>
      <c r="Q436" s="1" t="str">
        <f t="shared" si="55"/>
        <v>No</v>
      </c>
      <c r="R436" s="1" t="str">
        <f t="shared" si="56"/>
        <v>No</v>
      </c>
      <c r="S436" s="1" t="str">
        <f t="shared" si="57"/>
        <v>Yes</v>
      </c>
      <c r="T436" s="1" t="str">
        <f t="shared" si="58"/>
        <v>Normal</v>
      </c>
      <c r="U436" s="1" t="str">
        <f t="shared" si="59"/>
        <v>Yes</v>
      </c>
      <c r="V436" s="5" t="str">
        <f t="shared" si="60"/>
        <v>Yes</v>
      </c>
      <c r="W436" s="1" t="str">
        <f t="shared" si="61"/>
        <v>Regular</v>
      </c>
      <c r="X436" s="1" t="str">
        <f t="shared" si="62"/>
        <v>Discounted</v>
      </c>
    </row>
    <row r="437" spans="1:24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5">
        <v>9568.27</v>
      </c>
      <c r="P437" s="1">
        <f t="shared" si="54"/>
        <v>11960.34</v>
      </c>
      <c r="Q437" s="1" t="str">
        <f t="shared" si="55"/>
        <v>No</v>
      </c>
      <c r="R437" s="1" t="str">
        <f t="shared" si="56"/>
        <v>No</v>
      </c>
      <c r="S437" s="1" t="str">
        <f t="shared" si="57"/>
        <v>No</v>
      </c>
      <c r="T437" s="1" t="str">
        <f t="shared" si="58"/>
        <v>Normal</v>
      </c>
      <c r="U437" s="1" t="str">
        <f t="shared" si="59"/>
        <v>No</v>
      </c>
      <c r="V437" s="5" t="str">
        <f t="shared" si="60"/>
        <v>No</v>
      </c>
      <c r="W437" s="1" t="str">
        <f t="shared" si="61"/>
        <v>Regular</v>
      </c>
      <c r="X437" s="1" t="str">
        <f t="shared" si="62"/>
        <v>Discounted</v>
      </c>
    </row>
    <row r="438" spans="1:24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5">
        <v>19357.29</v>
      </c>
      <c r="P438" s="1">
        <f t="shared" si="54"/>
        <v>22773.279999999999</v>
      </c>
      <c r="Q438" s="1" t="str">
        <f t="shared" si="55"/>
        <v>Yes</v>
      </c>
      <c r="R438" s="1" t="str">
        <f t="shared" si="56"/>
        <v>Yes</v>
      </c>
      <c r="S438" s="1" t="str">
        <f t="shared" si="57"/>
        <v>No</v>
      </c>
      <c r="T438" s="1" t="str">
        <f t="shared" si="58"/>
        <v>Normal</v>
      </c>
      <c r="U438" s="1" t="str">
        <f t="shared" si="59"/>
        <v>No</v>
      </c>
      <c r="V438" s="5" t="str">
        <f t="shared" si="60"/>
        <v>No</v>
      </c>
      <c r="W438" s="1" t="str">
        <f t="shared" si="61"/>
        <v>Regular</v>
      </c>
      <c r="X438" s="1" t="str">
        <f t="shared" si="62"/>
        <v>Non Dis Bulk Order</v>
      </c>
    </row>
    <row r="439" spans="1:24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5">
        <v>14022.99</v>
      </c>
      <c r="P439" s="1">
        <f t="shared" si="54"/>
        <v>15581.099999999999</v>
      </c>
      <c r="Q439" s="1" t="str">
        <f t="shared" si="55"/>
        <v>No</v>
      </c>
      <c r="R439" s="1" t="str">
        <f t="shared" si="56"/>
        <v>No</v>
      </c>
      <c r="S439" s="1" t="str">
        <f t="shared" si="57"/>
        <v>No</v>
      </c>
      <c r="T439" s="1" t="str">
        <f t="shared" si="58"/>
        <v>Normal</v>
      </c>
      <c r="U439" s="1" t="str">
        <f t="shared" si="59"/>
        <v>No</v>
      </c>
      <c r="V439" s="5" t="str">
        <f t="shared" si="60"/>
        <v>No</v>
      </c>
      <c r="W439" s="1" t="str">
        <f t="shared" si="61"/>
        <v>Regular</v>
      </c>
      <c r="X439" s="1" t="str">
        <f t="shared" si="62"/>
        <v>Discounted</v>
      </c>
    </row>
    <row r="440" spans="1:24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5">
        <v>3911.27</v>
      </c>
      <c r="P440" s="1">
        <f t="shared" si="54"/>
        <v>4345.8599999999997</v>
      </c>
      <c r="Q440" s="1" t="str">
        <f t="shared" si="55"/>
        <v>No</v>
      </c>
      <c r="R440" s="1" t="str">
        <f t="shared" si="56"/>
        <v>No</v>
      </c>
      <c r="S440" s="1" t="str">
        <f t="shared" si="57"/>
        <v>Yes</v>
      </c>
      <c r="T440" s="1" t="str">
        <f t="shared" si="58"/>
        <v>Normal</v>
      </c>
      <c r="U440" s="1" t="str">
        <f t="shared" si="59"/>
        <v>Yes</v>
      </c>
      <c r="V440" s="5" t="str">
        <f t="shared" si="60"/>
        <v>Yes</v>
      </c>
      <c r="W440" s="1" t="str">
        <f t="shared" si="61"/>
        <v>Regular</v>
      </c>
      <c r="X440" s="1" t="str">
        <f t="shared" si="62"/>
        <v>Discounted</v>
      </c>
    </row>
    <row r="441" spans="1:24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5">
        <v>3397.56</v>
      </c>
      <c r="P441" s="1">
        <f t="shared" si="54"/>
        <v>3775.07</v>
      </c>
      <c r="Q441" s="1" t="str">
        <f t="shared" si="55"/>
        <v>No</v>
      </c>
      <c r="R441" s="1" t="str">
        <f t="shared" si="56"/>
        <v>No</v>
      </c>
      <c r="S441" s="1" t="str">
        <f t="shared" si="57"/>
        <v>Yes</v>
      </c>
      <c r="T441" s="1" t="str">
        <f t="shared" si="58"/>
        <v>Normal</v>
      </c>
      <c r="U441" s="1" t="str">
        <f t="shared" si="59"/>
        <v>No</v>
      </c>
      <c r="V441" s="5" t="str">
        <f t="shared" si="60"/>
        <v>No</v>
      </c>
      <c r="W441" s="1" t="str">
        <f t="shared" si="61"/>
        <v>Regular</v>
      </c>
      <c r="X441" s="1" t="str">
        <f t="shared" si="62"/>
        <v>Discounted</v>
      </c>
    </row>
    <row r="442" spans="1:24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5">
        <v>5254.56</v>
      </c>
      <c r="P442" s="1">
        <f t="shared" si="54"/>
        <v>6568.2000000000007</v>
      </c>
      <c r="Q442" s="1" t="str">
        <f t="shared" si="55"/>
        <v>No</v>
      </c>
      <c r="R442" s="1" t="str">
        <f t="shared" si="56"/>
        <v>No</v>
      </c>
      <c r="S442" s="1" t="str">
        <f t="shared" si="57"/>
        <v>Yes</v>
      </c>
      <c r="T442" s="1" t="str">
        <f t="shared" si="58"/>
        <v>Normal</v>
      </c>
      <c r="U442" s="1" t="str">
        <f t="shared" si="59"/>
        <v>No</v>
      </c>
      <c r="V442" s="5" t="str">
        <f t="shared" si="60"/>
        <v>No</v>
      </c>
      <c r="W442" s="1" t="str">
        <f t="shared" si="61"/>
        <v>Regular</v>
      </c>
      <c r="X442" s="1" t="str">
        <f t="shared" si="62"/>
        <v>Discounted</v>
      </c>
    </row>
    <row r="443" spans="1:24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5">
        <v>24054.57</v>
      </c>
      <c r="P443" s="1">
        <f t="shared" si="54"/>
        <v>26727.3</v>
      </c>
      <c r="Q443" s="1" t="str">
        <f t="shared" si="55"/>
        <v>Yes</v>
      </c>
      <c r="R443" s="1" t="str">
        <f t="shared" si="56"/>
        <v>Yes</v>
      </c>
      <c r="S443" s="1" t="str">
        <f t="shared" si="57"/>
        <v>Yes</v>
      </c>
      <c r="T443" s="1" t="str">
        <f t="shared" si="58"/>
        <v>Normal</v>
      </c>
      <c r="U443" s="1" t="str">
        <f t="shared" si="59"/>
        <v>Yes</v>
      </c>
      <c r="V443" s="5" t="str">
        <f t="shared" si="60"/>
        <v>Yes</v>
      </c>
      <c r="W443" s="1" t="str">
        <f t="shared" si="61"/>
        <v>Regular</v>
      </c>
      <c r="X443" s="1" t="str">
        <f t="shared" si="62"/>
        <v>Non Dis Bulk Order</v>
      </c>
    </row>
    <row r="444" spans="1:24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5">
        <v>18539.05</v>
      </c>
      <c r="P444" s="1">
        <f t="shared" si="54"/>
        <v>18539.05</v>
      </c>
      <c r="Q444" s="1" t="str">
        <f t="shared" si="55"/>
        <v>No</v>
      </c>
      <c r="R444" s="1" t="str">
        <f t="shared" si="56"/>
        <v>No</v>
      </c>
      <c r="S444" s="1" t="str">
        <f t="shared" si="57"/>
        <v>Yes</v>
      </c>
      <c r="T444" s="1" t="str">
        <f t="shared" si="58"/>
        <v>Normal</v>
      </c>
      <c r="U444" s="1" t="str">
        <f t="shared" si="59"/>
        <v>No</v>
      </c>
      <c r="V444" s="5" t="str">
        <f t="shared" si="60"/>
        <v>No</v>
      </c>
      <c r="W444" s="1" t="str">
        <f t="shared" si="61"/>
        <v>Regular</v>
      </c>
      <c r="X444" s="1" t="str">
        <f t="shared" si="62"/>
        <v>Discounted</v>
      </c>
    </row>
    <row r="445" spans="1:24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5">
        <v>7027.99</v>
      </c>
      <c r="P445" s="1">
        <f t="shared" si="54"/>
        <v>7808.88</v>
      </c>
      <c r="Q445" s="1" t="str">
        <f t="shared" si="55"/>
        <v>No</v>
      </c>
      <c r="R445" s="1" t="str">
        <f t="shared" si="56"/>
        <v>No</v>
      </c>
      <c r="S445" s="1" t="str">
        <f t="shared" si="57"/>
        <v>No</v>
      </c>
      <c r="T445" s="1" t="str">
        <f t="shared" si="58"/>
        <v>Normal</v>
      </c>
      <c r="U445" s="1" t="str">
        <f t="shared" si="59"/>
        <v>No</v>
      </c>
      <c r="V445" s="5" t="str">
        <f t="shared" si="60"/>
        <v>No</v>
      </c>
      <c r="W445" s="1" t="str">
        <f t="shared" si="61"/>
        <v>Regular</v>
      </c>
      <c r="X445" s="1" t="str">
        <f t="shared" si="62"/>
        <v>Discounted</v>
      </c>
    </row>
    <row r="446" spans="1:24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5">
        <v>19979.150000000001</v>
      </c>
      <c r="P446" s="1">
        <f t="shared" si="54"/>
        <v>23504.880000000001</v>
      </c>
      <c r="Q446" s="1" t="str">
        <f t="shared" si="55"/>
        <v>Yes</v>
      </c>
      <c r="R446" s="1" t="str">
        <f t="shared" si="56"/>
        <v>No</v>
      </c>
      <c r="S446" s="1" t="str">
        <f t="shared" si="57"/>
        <v>Yes</v>
      </c>
      <c r="T446" s="1" t="str">
        <f t="shared" si="58"/>
        <v>Normal</v>
      </c>
      <c r="U446" s="1" t="str">
        <f t="shared" si="59"/>
        <v>No</v>
      </c>
      <c r="V446" s="5" t="str">
        <f t="shared" si="60"/>
        <v>No</v>
      </c>
      <c r="W446" s="1" t="str">
        <f t="shared" si="61"/>
        <v>Regular</v>
      </c>
      <c r="X446" s="1" t="str">
        <f t="shared" si="62"/>
        <v>Discounted</v>
      </c>
    </row>
    <row r="447" spans="1:24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5">
        <v>2633.24</v>
      </c>
      <c r="P447" s="1">
        <f t="shared" si="54"/>
        <v>2633.24</v>
      </c>
      <c r="Q447" s="1" t="str">
        <f t="shared" si="55"/>
        <v>No</v>
      </c>
      <c r="R447" s="1" t="str">
        <f t="shared" si="56"/>
        <v>No</v>
      </c>
      <c r="S447" s="1" t="str">
        <f t="shared" si="57"/>
        <v>Yes</v>
      </c>
      <c r="T447" s="1" t="str">
        <f t="shared" si="58"/>
        <v>Normal</v>
      </c>
      <c r="U447" s="1" t="str">
        <f t="shared" si="59"/>
        <v>No</v>
      </c>
      <c r="V447" s="5" t="str">
        <f t="shared" si="60"/>
        <v>No</v>
      </c>
      <c r="W447" s="1" t="str">
        <f t="shared" si="61"/>
        <v>Regular</v>
      </c>
      <c r="X447" s="1" t="str">
        <f t="shared" si="62"/>
        <v>Discounted</v>
      </c>
    </row>
    <row r="448" spans="1:24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5">
        <v>13936.36</v>
      </c>
      <c r="P448" s="1">
        <f t="shared" si="54"/>
        <v>15484.84</v>
      </c>
      <c r="Q448" s="1" t="str">
        <f t="shared" si="55"/>
        <v>No</v>
      </c>
      <c r="R448" s="1" t="str">
        <f t="shared" si="56"/>
        <v>No</v>
      </c>
      <c r="S448" s="1" t="str">
        <f t="shared" si="57"/>
        <v>Yes</v>
      </c>
      <c r="T448" s="1" t="str">
        <f t="shared" si="58"/>
        <v>Normal</v>
      </c>
      <c r="U448" s="1" t="str">
        <f t="shared" si="59"/>
        <v>No</v>
      </c>
      <c r="V448" s="5" t="str">
        <f t="shared" si="60"/>
        <v>No</v>
      </c>
      <c r="W448" s="1" t="str">
        <f t="shared" si="61"/>
        <v>Regular</v>
      </c>
      <c r="X448" s="1" t="str">
        <f t="shared" si="62"/>
        <v>Discounted</v>
      </c>
    </row>
    <row r="449" spans="1:24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5">
        <v>16180.04</v>
      </c>
      <c r="P449" s="1">
        <f t="shared" si="54"/>
        <v>17977.82</v>
      </c>
      <c r="Q449" s="1" t="str">
        <f t="shared" si="55"/>
        <v>Yes</v>
      </c>
      <c r="R449" s="1" t="str">
        <f t="shared" si="56"/>
        <v>No</v>
      </c>
      <c r="S449" s="1" t="str">
        <f t="shared" si="57"/>
        <v>No</v>
      </c>
      <c r="T449" s="1" t="str">
        <f t="shared" si="58"/>
        <v>Normal</v>
      </c>
      <c r="U449" s="1" t="str">
        <f t="shared" si="59"/>
        <v>No</v>
      </c>
      <c r="V449" s="5" t="str">
        <f t="shared" si="60"/>
        <v>No</v>
      </c>
      <c r="W449" s="1" t="str">
        <f t="shared" si="61"/>
        <v>Regular</v>
      </c>
      <c r="X449" s="1" t="str">
        <f t="shared" si="62"/>
        <v>Discounted</v>
      </c>
    </row>
    <row r="450" spans="1:24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5">
        <v>14185.29</v>
      </c>
      <c r="P450" s="1">
        <f t="shared" si="54"/>
        <v>14931.88</v>
      </c>
      <c r="Q450" s="1" t="str">
        <f t="shared" si="55"/>
        <v>No</v>
      </c>
      <c r="R450" s="1" t="str">
        <f t="shared" si="56"/>
        <v>No</v>
      </c>
      <c r="S450" s="1" t="str">
        <f t="shared" si="57"/>
        <v>Yes</v>
      </c>
      <c r="T450" s="1" t="str">
        <f t="shared" si="58"/>
        <v>Normal</v>
      </c>
      <c r="U450" s="1" t="str">
        <f t="shared" si="59"/>
        <v>Yes</v>
      </c>
      <c r="V450" s="5" t="str">
        <f t="shared" si="60"/>
        <v>Yes</v>
      </c>
      <c r="W450" s="1" t="str">
        <f t="shared" si="61"/>
        <v>Regular</v>
      </c>
      <c r="X450" s="1" t="str">
        <f t="shared" si="62"/>
        <v>Discounted</v>
      </c>
    </row>
    <row r="451" spans="1:24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5">
        <v>15416.8</v>
      </c>
      <c r="P451" s="1">
        <f t="shared" ref="P451:P501" si="63">L451*M451</f>
        <v>19271</v>
      </c>
      <c r="Q451" s="1" t="str">
        <f t="shared" ref="Q451:Q501" si="64">IF(AND(L451&gt;5,O451&gt;10000),"Yes","No")</f>
        <v>Yes</v>
      </c>
      <c r="R451" s="1" t="str">
        <f t="shared" ref="R451:R501" si="65">IF(AND(L451&gt;=8,N451&gt;=10),"Yes","No")</f>
        <v>No</v>
      </c>
      <c r="S451" s="1" t="str">
        <f t="shared" ref="S451:S501" si="66">IF(OR(G451="Mobile App",G451="Website"),"Yes","No")</f>
        <v>No</v>
      </c>
      <c r="T451" s="1" t="str">
        <f t="shared" ref="T451:T501" si="67">IF(AND(L451&lt;3,O451&lt;1000),"Special attention","Normal")</f>
        <v>Normal</v>
      </c>
      <c r="U451" s="1" t="str">
        <f t="shared" ref="U451:U501" si="68">IF(NOT(G451="Website"),"No","Yes")</f>
        <v>No</v>
      </c>
      <c r="V451" s="5" t="str">
        <f t="shared" ref="V451:V501" si="69">IF(G451&lt;&gt;"Website","No","Yes")</f>
        <v>No</v>
      </c>
      <c r="W451" s="1" t="str">
        <f t="shared" ref="W451:W501" si="70">IF(AND(O451&gt;15000,OR(I451="Electronics",I451="Beauty")),"Premium","Regular")</f>
        <v>Regular</v>
      </c>
      <c r="X451" s="1" t="str">
        <f t="shared" ref="X451:X501" si="71">IF(AND(L451&gt;=8,NOT(N451=0%)),"Non Dis Bulk Order","Discounted")</f>
        <v>Discounted</v>
      </c>
    </row>
    <row r="452" spans="1:24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5">
        <v>9330.09</v>
      </c>
      <c r="P452" s="1">
        <f t="shared" si="63"/>
        <v>9330.09</v>
      </c>
      <c r="Q452" s="1" t="str">
        <f t="shared" si="64"/>
        <v>No</v>
      </c>
      <c r="R452" s="1" t="str">
        <f t="shared" si="65"/>
        <v>No</v>
      </c>
      <c r="S452" s="1" t="str">
        <f t="shared" si="66"/>
        <v>Yes</v>
      </c>
      <c r="T452" s="1" t="str">
        <f t="shared" si="67"/>
        <v>Normal</v>
      </c>
      <c r="U452" s="1" t="str">
        <f t="shared" si="68"/>
        <v>Yes</v>
      </c>
      <c r="V452" s="5" t="str">
        <f t="shared" si="69"/>
        <v>Yes</v>
      </c>
      <c r="W452" s="1" t="str">
        <f t="shared" si="70"/>
        <v>Regular</v>
      </c>
      <c r="X452" s="1" t="str">
        <f t="shared" si="71"/>
        <v>Discounted</v>
      </c>
    </row>
    <row r="453" spans="1:24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5">
        <v>1495.86</v>
      </c>
      <c r="P453" s="1">
        <f t="shared" si="63"/>
        <v>1574.59</v>
      </c>
      <c r="Q453" s="1" t="str">
        <f t="shared" si="64"/>
        <v>No</v>
      </c>
      <c r="R453" s="1" t="str">
        <f t="shared" si="65"/>
        <v>No</v>
      </c>
      <c r="S453" s="1" t="str">
        <f t="shared" si="66"/>
        <v>Yes</v>
      </c>
      <c r="T453" s="1" t="str">
        <f t="shared" si="67"/>
        <v>Normal</v>
      </c>
      <c r="U453" s="1" t="str">
        <f t="shared" si="68"/>
        <v>Yes</v>
      </c>
      <c r="V453" s="5" t="str">
        <f t="shared" si="69"/>
        <v>Yes</v>
      </c>
      <c r="W453" s="1" t="str">
        <f t="shared" si="70"/>
        <v>Regular</v>
      </c>
      <c r="X453" s="1" t="str">
        <f t="shared" si="71"/>
        <v>Discounted</v>
      </c>
    </row>
    <row r="454" spans="1:24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5">
        <v>11573.53</v>
      </c>
      <c r="P454" s="1">
        <f t="shared" si="63"/>
        <v>13615.920000000002</v>
      </c>
      <c r="Q454" s="1" t="str">
        <f t="shared" si="64"/>
        <v>Yes</v>
      </c>
      <c r="R454" s="1" t="str">
        <f t="shared" si="65"/>
        <v>No</v>
      </c>
      <c r="S454" s="1" t="str">
        <f t="shared" si="66"/>
        <v>Yes</v>
      </c>
      <c r="T454" s="1" t="str">
        <f t="shared" si="67"/>
        <v>Normal</v>
      </c>
      <c r="U454" s="1" t="str">
        <f t="shared" si="68"/>
        <v>Yes</v>
      </c>
      <c r="V454" s="5" t="str">
        <f t="shared" si="69"/>
        <v>Yes</v>
      </c>
      <c r="W454" s="1" t="str">
        <f t="shared" si="70"/>
        <v>Regular</v>
      </c>
      <c r="X454" s="1" t="str">
        <f t="shared" si="71"/>
        <v>Discounted</v>
      </c>
    </row>
    <row r="455" spans="1:24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5">
        <v>22979.23</v>
      </c>
      <c r="P455" s="1">
        <f t="shared" si="63"/>
        <v>28724.04</v>
      </c>
      <c r="Q455" s="1" t="str">
        <f t="shared" si="64"/>
        <v>Yes</v>
      </c>
      <c r="R455" s="1" t="str">
        <f t="shared" si="65"/>
        <v>Yes</v>
      </c>
      <c r="S455" s="1" t="str">
        <f t="shared" si="66"/>
        <v>Yes</v>
      </c>
      <c r="T455" s="1" t="str">
        <f t="shared" si="67"/>
        <v>Normal</v>
      </c>
      <c r="U455" s="1" t="str">
        <f t="shared" si="68"/>
        <v>No</v>
      </c>
      <c r="V455" s="5" t="str">
        <f t="shared" si="69"/>
        <v>No</v>
      </c>
      <c r="W455" s="1" t="str">
        <f t="shared" si="70"/>
        <v>Regular</v>
      </c>
      <c r="X455" s="1" t="str">
        <f t="shared" si="71"/>
        <v>Non Dis Bulk Order</v>
      </c>
    </row>
    <row r="456" spans="1:24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5">
        <v>2748.46</v>
      </c>
      <c r="P456" s="1">
        <f t="shared" si="63"/>
        <v>2748.46</v>
      </c>
      <c r="Q456" s="1" t="str">
        <f t="shared" si="64"/>
        <v>No</v>
      </c>
      <c r="R456" s="1" t="str">
        <f t="shared" si="65"/>
        <v>No</v>
      </c>
      <c r="S456" s="1" t="str">
        <f t="shared" si="66"/>
        <v>Yes</v>
      </c>
      <c r="T456" s="1" t="str">
        <f t="shared" si="67"/>
        <v>Normal</v>
      </c>
      <c r="U456" s="1" t="str">
        <f t="shared" si="68"/>
        <v>No</v>
      </c>
      <c r="V456" s="5" t="str">
        <f t="shared" si="69"/>
        <v>No</v>
      </c>
      <c r="W456" s="1" t="str">
        <f t="shared" si="70"/>
        <v>Regular</v>
      </c>
      <c r="X456" s="1" t="str">
        <f t="shared" si="71"/>
        <v>Discounted</v>
      </c>
    </row>
    <row r="457" spans="1:24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5">
        <v>6431.29</v>
      </c>
      <c r="P457" s="1">
        <f t="shared" si="63"/>
        <v>7145.88</v>
      </c>
      <c r="Q457" s="1" t="str">
        <f t="shared" si="64"/>
        <v>No</v>
      </c>
      <c r="R457" s="1" t="str">
        <f t="shared" si="65"/>
        <v>No</v>
      </c>
      <c r="S457" s="1" t="str">
        <f t="shared" si="66"/>
        <v>Yes</v>
      </c>
      <c r="T457" s="1" t="str">
        <f t="shared" si="67"/>
        <v>Normal</v>
      </c>
      <c r="U457" s="1" t="str">
        <f t="shared" si="68"/>
        <v>Yes</v>
      </c>
      <c r="V457" s="5" t="str">
        <f t="shared" si="69"/>
        <v>Yes</v>
      </c>
      <c r="W457" s="1" t="str">
        <f t="shared" si="70"/>
        <v>Regular</v>
      </c>
      <c r="X457" s="1" t="str">
        <f t="shared" si="71"/>
        <v>Discounted</v>
      </c>
    </row>
    <row r="458" spans="1:24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5">
        <v>7403.3</v>
      </c>
      <c r="P458" s="1">
        <f t="shared" si="63"/>
        <v>7403.3</v>
      </c>
      <c r="Q458" s="1" t="str">
        <f t="shared" si="64"/>
        <v>No</v>
      </c>
      <c r="R458" s="1" t="str">
        <f t="shared" si="65"/>
        <v>No</v>
      </c>
      <c r="S458" s="1" t="str">
        <f t="shared" si="66"/>
        <v>Yes</v>
      </c>
      <c r="T458" s="1" t="str">
        <f t="shared" si="67"/>
        <v>Normal</v>
      </c>
      <c r="U458" s="1" t="str">
        <f t="shared" si="68"/>
        <v>Yes</v>
      </c>
      <c r="V458" s="5" t="str">
        <f t="shared" si="69"/>
        <v>Yes</v>
      </c>
      <c r="W458" s="1" t="str">
        <f t="shared" si="70"/>
        <v>Regular</v>
      </c>
      <c r="X458" s="1" t="str">
        <f t="shared" si="71"/>
        <v>Discounted</v>
      </c>
    </row>
    <row r="459" spans="1:24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5">
        <v>26654.75</v>
      </c>
      <c r="P459" s="1">
        <f t="shared" si="63"/>
        <v>29616.39</v>
      </c>
      <c r="Q459" s="1" t="str">
        <f t="shared" si="64"/>
        <v>Yes</v>
      </c>
      <c r="R459" s="1" t="str">
        <f t="shared" si="65"/>
        <v>Yes</v>
      </c>
      <c r="S459" s="1" t="str">
        <f t="shared" si="66"/>
        <v>Yes</v>
      </c>
      <c r="T459" s="1" t="str">
        <f t="shared" si="67"/>
        <v>Normal</v>
      </c>
      <c r="U459" s="1" t="str">
        <f t="shared" si="68"/>
        <v>No</v>
      </c>
      <c r="V459" s="5" t="str">
        <f t="shared" si="69"/>
        <v>No</v>
      </c>
      <c r="W459" s="1" t="str">
        <f t="shared" si="70"/>
        <v>Regular</v>
      </c>
      <c r="X459" s="1" t="str">
        <f t="shared" si="71"/>
        <v>Non Dis Bulk Order</v>
      </c>
    </row>
    <row r="460" spans="1:24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5">
        <v>6230.08</v>
      </c>
      <c r="P460" s="1">
        <f t="shared" si="63"/>
        <v>7787.6</v>
      </c>
      <c r="Q460" s="1" t="str">
        <f t="shared" si="64"/>
        <v>No</v>
      </c>
      <c r="R460" s="1" t="str">
        <f t="shared" si="65"/>
        <v>No</v>
      </c>
      <c r="S460" s="1" t="str">
        <f t="shared" si="66"/>
        <v>No</v>
      </c>
      <c r="T460" s="1" t="str">
        <f t="shared" si="67"/>
        <v>Normal</v>
      </c>
      <c r="U460" s="1" t="str">
        <f t="shared" si="68"/>
        <v>No</v>
      </c>
      <c r="V460" s="5" t="str">
        <f t="shared" si="69"/>
        <v>No</v>
      </c>
      <c r="W460" s="1" t="str">
        <f t="shared" si="70"/>
        <v>Regular</v>
      </c>
      <c r="X460" s="1" t="str">
        <f t="shared" si="71"/>
        <v>Discounted</v>
      </c>
    </row>
    <row r="461" spans="1:24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5">
        <v>400.84</v>
      </c>
      <c r="P461" s="1">
        <f t="shared" si="63"/>
        <v>445.38</v>
      </c>
      <c r="Q461" s="1" t="str">
        <f t="shared" si="64"/>
        <v>No</v>
      </c>
      <c r="R461" s="1" t="str">
        <f t="shared" si="65"/>
        <v>No</v>
      </c>
      <c r="S461" s="1" t="str">
        <f t="shared" si="66"/>
        <v>Yes</v>
      </c>
      <c r="T461" s="1" t="str">
        <f t="shared" si="67"/>
        <v>Special attention</v>
      </c>
      <c r="U461" s="1" t="str">
        <f t="shared" si="68"/>
        <v>Yes</v>
      </c>
      <c r="V461" s="5" t="str">
        <f t="shared" si="69"/>
        <v>Yes</v>
      </c>
      <c r="W461" s="1" t="str">
        <f t="shared" si="70"/>
        <v>Regular</v>
      </c>
      <c r="X461" s="1" t="str">
        <f t="shared" si="71"/>
        <v>Discounted</v>
      </c>
    </row>
    <row r="462" spans="1:24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5">
        <v>2683.62</v>
      </c>
      <c r="P462" s="1">
        <f t="shared" si="63"/>
        <v>3157.2</v>
      </c>
      <c r="Q462" s="1" t="str">
        <f t="shared" si="64"/>
        <v>No</v>
      </c>
      <c r="R462" s="1" t="str">
        <f t="shared" si="65"/>
        <v>No</v>
      </c>
      <c r="S462" s="1" t="str">
        <f t="shared" si="66"/>
        <v>No</v>
      </c>
      <c r="T462" s="1" t="str">
        <f t="shared" si="67"/>
        <v>Normal</v>
      </c>
      <c r="U462" s="1" t="str">
        <f t="shared" si="68"/>
        <v>No</v>
      </c>
      <c r="V462" s="5" t="str">
        <f t="shared" si="69"/>
        <v>No</v>
      </c>
      <c r="W462" s="1" t="str">
        <f t="shared" si="70"/>
        <v>Regular</v>
      </c>
      <c r="X462" s="1" t="str">
        <f t="shared" si="71"/>
        <v>Discounted</v>
      </c>
    </row>
    <row r="463" spans="1:24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5">
        <v>2080.35</v>
      </c>
      <c r="P463" s="1">
        <f t="shared" si="63"/>
        <v>2311.5</v>
      </c>
      <c r="Q463" s="1" t="str">
        <f t="shared" si="64"/>
        <v>No</v>
      </c>
      <c r="R463" s="1" t="str">
        <f t="shared" si="65"/>
        <v>No</v>
      </c>
      <c r="S463" s="1" t="str">
        <f t="shared" si="66"/>
        <v>Yes</v>
      </c>
      <c r="T463" s="1" t="str">
        <f t="shared" si="67"/>
        <v>Normal</v>
      </c>
      <c r="U463" s="1" t="str">
        <f t="shared" si="68"/>
        <v>No</v>
      </c>
      <c r="V463" s="5" t="str">
        <f t="shared" si="69"/>
        <v>No</v>
      </c>
      <c r="W463" s="1" t="str">
        <f t="shared" si="70"/>
        <v>Regular</v>
      </c>
      <c r="X463" s="1" t="str">
        <f t="shared" si="71"/>
        <v>Discounted</v>
      </c>
    </row>
    <row r="464" spans="1:24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5">
        <v>8807.36</v>
      </c>
      <c r="P464" s="1">
        <f t="shared" si="63"/>
        <v>10361.6</v>
      </c>
      <c r="Q464" s="1" t="str">
        <f t="shared" si="64"/>
        <v>No</v>
      </c>
      <c r="R464" s="1" t="str">
        <f t="shared" si="65"/>
        <v>No</v>
      </c>
      <c r="S464" s="1" t="str">
        <f t="shared" si="66"/>
        <v>Yes</v>
      </c>
      <c r="T464" s="1" t="str">
        <f t="shared" si="67"/>
        <v>Normal</v>
      </c>
      <c r="U464" s="1" t="str">
        <f t="shared" si="68"/>
        <v>Yes</v>
      </c>
      <c r="V464" s="5" t="str">
        <f t="shared" si="69"/>
        <v>Yes</v>
      </c>
      <c r="W464" s="1" t="str">
        <f t="shared" si="70"/>
        <v>Regular</v>
      </c>
      <c r="X464" s="1" t="str">
        <f t="shared" si="71"/>
        <v>Discounted</v>
      </c>
    </row>
    <row r="465" spans="1:24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5">
        <v>447.52</v>
      </c>
      <c r="P465" s="1">
        <f t="shared" si="63"/>
        <v>559.4</v>
      </c>
      <c r="Q465" s="1" t="str">
        <f t="shared" si="64"/>
        <v>No</v>
      </c>
      <c r="R465" s="1" t="str">
        <f t="shared" si="65"/>
        <v>No</v>
      </c>
      <c r="S465" s="1" t="str">
        <f t="shared" si="66"/>
        <v>No</v>
      </c>
      <c r="T465" s="1" t="str">
        <f t="shared" si="67"/>
        <v>Special attention</v>
      </c>
      <c r="U465" s="1" t="str">
        <f t="shared" si="68"/>
        <v>No</v>
      </c>
      <c r="V465" s="5" t="str">
        <f t="shared" si="69"/>
        <v>No</v>
      </c>
      <c r="W465" s="1" t="str">
        <f t="shared" si="70"/>
        <v>Regular</v>
      </c>
      <c r="X465" s="1" t="str">
        <f t="shared" si="71"/>
        <v>Discounted</v>
      </c>
    </row>
    <row r="466" spans="1:24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5">
        <v>1886.21</v>
      </c>
      <c r="P466" s="1">
        <f t="shared" si="63"/>
        <v>2357.7600000000002</v>
      </c>
      <c r="Q466" s="1" t="str">
        <f t="shared" si="64"/>
        <v>No</v>
      </c>
      <c r="R466" s="1" t="str">
        <f t="shared" si="65"/>
        <v>No</v>
      </c>
      <c r="S466" s="1" t="str">
        <f t="shared" si="66"/>
        <v>No</v>
      </c>
      <c r="T466" s="1" t="str">
        <f t="shared" si="67"/>
        <v>Normal</v>
      </c>
      <c r="U466" s="1" t="str">
        <f t="shared" si="68"/>
        <v>No</v>
      </c>
      <c r="V466" s="5" t="str">
        <f t="shared" si="69"/>
        <v>No</v>
      </c>
      <c r="W466" s="1" t="str">
        <f t="shared" si="70"/>
        <v>Regular</v>
      </c>
      <c r="X466" s="1" t="str">
        <f t="shared" si="71"/>
        <v>Discounted</v>
      </c>
    </row>
    <row r="467" spans="1:24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5">
        <v>22638.240000000002</v>
      </c>
      <c r="P467" s="1">
        <f t="shared" si="63"/>
        <v>22638.239999999998</v>
      </c>
      <c r="Q467" s="1" t="str">
        <f t="shared" si="64"/>
        <v>Yes</v>
      </c>
      <c r="R467" s="1" t="str">
        <f t="shared" si="65"/>
        <v>No</v>
      </c>
      <c r="S467" s="1" t="str">
        <f t="shared" si="66"/>
        <v>No</v>
      </c>
      <c r="T467" s="1" t="str">
        <f t="shared" si="67"/>
        <v>Normal</v>
      </c>
      <c r="U467" s="1" t="str">
        <f t="shared" si="68"/>
        <v>No</v>
      </c>
      <c r="V467" s="5" t="str">
        <f t="shared" si="69"/>
        <v>No</v>
      </c>
      <c r="W467" s="1" t="str">
        <f t="shared" si="70"/>
        <v>Regular</v>
      </c>
      <c r="X467" s="1" t="str">
        <f t="shared" si="71"/>
        <v>Discounted</v>
      </c>
    </row>
    <row r="468" spans="1:24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5">
        <v>11933.05</v>
      </c>
      <c r="P468" s="1">
        <f t="shared" si="63"/>
        <v>14038.88</v>
      </c>
      <c r="Q468" s="1" t="str">
        <f t="shared" si="64"/>
        <v>No</v>
      </c>
      <c r="R468" s="1" t="str">
        <f t="shared" si="65"/>
        <v>No</v>
      </c>
      <c r="S468" s="1" t="str">
        <f t="shared" si="66"/>
        <v>Yes</v>
      </c>
      <c r="T468" s="1" t="str">
        <f t="shared" si="67"/>
        <v>Normal</v>
      </c>
      <c r="U468" s="1" t="str">
        <f t="shared" si="68"/>
        <v>No</v>
      </c>
      <c r="V468" s="5" t="str">
        <f t="shared" si="69"/>
        <v>No</v>
      </c>
      <c r="W468" s="1" t="str">
        <f t="shared" si="70"/>
        <v>Regular</v>
      </c>
      <c r="X468" s="1" t="str">
        <f t="shared" si="71"/>
        <v>Discounted</v>
      </c>
    </row>
    <row r="469" spans="1:24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5">
        <v>14462.55</v>
      </c>
      <c r="P469" s="1">
        <f t="shared" si="63"/>
        <v>17014.77</v>
      </c>
      <c r="Q469" s="1" t="str">
        <f t="shared" si="64"/>
        <v>Yes</v>
      </c>
      <c r="R469" s="1" t="str">
        <f t="shared" si="65"/>
        <v>Yes</v>
      </c>
      <c r="S469" s="1" t="str">
        <f t="shared" si="66"/>
        <v>Yes</v>
      </c>
      <c r="T469" s="1" t="str">
        <f t="shared" si="67"/>
        <v>Normal</v>
      </c>
      <c r="U469" s="1" t="str">
        <f t="shared" si="68"/>
        <v>No</v>
      </c>
      <c r="V469" s="5" t="str">
        <f t="shared" si="69"/>
        <v>No</v>
      </c>
      <c r="W469" s="1" t="str">
        <f t="shared" si="70"/>
        <v>Regular</v>
      </c>
      <c r="X469" s="1" t="str">
        <f t="shared" si="71"/>
        <v>Non Dis Bulk Order</v>
      </c>
    </row>
    <row r="470" spans="1:24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5">
        <v>18740.41</v>
      </c>
      <c r="P470" s="1">
        <f t="shared" si="63"/>
        <v>19726.75</v>
      </c>
      <c r="Q470" s="1" t="str">
        <f t="shared" si="64"/>
        <v>No</v>
      </c>
      <c r="R470" s="1" t="str">
        <f t="shared" si="65"/>
        <v>No</v>
      </c>
      <c r="S470" s="1" t="str">
        <f t="shared" si="66"/>
        <v>No</v>
      </c>
      <c r="T470" s="1" t="str">
        <f t="shared" si="67"/>
        <v>Normal</v>
      </c>
      <c r="U470" s="1" t="str">
        <f t="shared" si="68"/>
        <v>No</v>
      </c>
      <c r="V470" s="5" t="str">
        <f t="shared" si="69"/>
        <v>No</v>
      </c>
      <c r="W470" s="1" t="str">
        <f t="shared" si="70"/>
        <v>Regular</v>
      </c>
      <c r="X470" s="1" t="str">
        <f t="shared" si="71"/>
        <v>Discounted</v>
      </c>
    </row>
    <row r="471" spans="1:24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5">
        <v>1145.47</v>
      </c>
      <c r="P471" s="1">
        <f t="shared" si="63"/>
        <v>1205.76</v>
      </c>
      <c r="Q471" s="1" t="str">
        <f t="shared" si="64"/>
        <v>No</v>
      </c>
      <c r="R471" s="1" t="str">
        <f t="shared" si="65"/>
        <v>No</v>
      </c>
      <c r="S471" s="1" t="str">
        <f t="shared" si="66"/>
        <v>No</v>
      </c>
      <c r="T471" s="1" t="str">
        <f t="shared" si="67"/>
        <v>Normal</v>
      </c>
      <c r="U471" s="1" t="str">
        <f t="shared" si="68"/>
        <v>No</v>
      </c>
      <c r="V471" s="5" t="str">
        <f t="shared" si="69"/>
        <v>No</v>
      </c>
      <c r="W471" s="1" t="str">
        <f t="shared" si="70"/>
        <v>Regular</v>
      </c>
      <c r="X471" s="1" t="str">
        <f t="shared" si="71"/>
        <v>Non Dis Bulk Order</v>
      </c>
    </row>
    <row r="472" spans="1:24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5">
        <v>21493.16</v>
      </c>
      <c r="P472" s="1">
        <f t="shared" si="63"/>
        <v>22624.38</v>
      </c>
      <c r="Q472" s="1" t="str">
        <f t="shared" si="64"/>
        <v>Yes</v>
      </c>
      <c r="R472" s="1" t="str">
        <f t="shared" si="65"/>
        <v>No</v>
      </c>
      <c r="S472" s="1" t="str">
        <f t="shared" si="66"/>
        <v>Yes</v>
      </c>
      <c r="T472" s="1" t="str">
        <f t="shared" si="67"/>
        <v>Normal</v>
      </c>
      <c r="U472" s="1" t="str">
        <f t="shared" si="68"/>
        <v>No</v>
      </c>
      <c r="V472" s="5" t="str">
        <f t="shared" si="69"/>
        <v>No</v>
      </c>
      <c r="W472" s="1" t="str">
        <f t="shared" si="70"/>
        <v>Regular</v>
      </c>
      <c r="X472" s="1" t="str">
        <f t="shared" si="71"/>
        <v>Non Dis Bulk Order</v>
      </c>
    </row>
    <row r="473" spans="1:24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5">
        <v>11354.63</v>
      </c>
      <c r="P473" s="1">
        <f t="shared" si="63"/>
        <v>12616.25</v>
      </c>
      <c r="Q473" s="1" t="str">
        <f t="shared" si="64"/>
        <v>No</v>
      </c>
      <c r="R473" s="1" t="str">
        <f t="shared" si="65"/>
        <v>No</v>
      </c>
      <c r="S473" s="1" t="str">
        <f t="shared" si="66"/>
        <v>No</v>
      </c>
      <c r="T473" s="1" t="str">
        <f t="shared" si="67"/>
        <v>Normal</v>
      </c>
      <c r="U473" s="1" t="str">
        <f t="shared" si="68"/>
        <v>No</v>
      </c>
      <c r="V473" s="5" t="str">
        <f t="shared" si="69"/>
        <v>No</v>
      </c>
      <c r="W473" s="1" t="str">
        <f t="shared" si="70"/>
        <v>Regular</v>
      </c>
      <c r="X473" s="1" t="str">
        <f t="shared" si="71"/>
        <v>Discounted</v>
      </c>
    </row>
    <row r="474" spans="1:24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5">
        <v>10893.61</v>
      </c>
      <c r="P474" s="1">
        <f t="shared" si="63"/>
        <v>11466.960000000001</v>
      </c>
      <c r="Q474" s="1" t="str">
        <f t="shared" si="64"/>
        <v>Yes</v>
      </c>
      <c r="R474" s="1" t="str">
        <f t="shared" si="65"/>
        <v>No</v>
      </c>
      <c r="S474" s="1" t="str">
        <f t="shared" si="66"/>
        <v>No</v>
      </c>
      <c r="T474" s="1" t="str">
        <f t="shared" si="67"/>
        <v>Normal</v>
      </c>
      <c r="U474" s="1" t="str">
        <f t="shared" si="68"/>
        <v>No</v>
      </c>
      <c r="V474" s="5" t="str">
        <f t="shared" si="69"/>
        <v>No</v>
      </c>
      <c r="W474" s="1" t="str">
        <f t="shared" si="70"/>
        <v>Regular</v>
      </c>
      <c r="X474" s="1" t="str">
        <f t="shared" si="71"/>
        <v>Discounted</v>
      </c>
    </row>
    <row r="475" spans="1:24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5">
        <v>1426.51</v>
      </c>
      <c r="P475" s="1">
        <f t="shared" si="63"/>
        <v>1678.25</v>
      </c>
      <c r="Q475" s="1" t="str">
        <f t="shared" si="64"/>
        <v>No</v>
      </c>
      <c r="R475" s="1" t="str">
        <f t="shared" si="65"/>
        <v>No</v>
      </c>
      <c r="S475" s="1" t="str">
        <f t="shared" si="66"/>
        <v>Yes</v>
      </c>
      <c r="T475" s="1" t="str">
        <f t="shared" si="67"/>
        <v>Normal</v>
      </c>
      <c r="U475" s="1" t="str">
        <f t="shared" si="68"/>
        <v>No</v>
      </c>
      <c r="V475" s="5" t="str">
        <f t="shared" si="69"/>
        <v>No</v>
      </c>
      <c r="W475" s="1" t="str">
        <f t="shared" si="70"/>
        <v>Regular</v>
      </c>
      <c r="X475" s="1" t="str">
        <f t="shared" si="71"/>
        <v>Discounted</v>
      </c>
    </row>
    <row r="476" spans="1:24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5">
        <v>11990.35</v>
      </c>
      <c r="P476" s="1">
        <f t="shared" si="63"/>
        <v>13322.61</v>
      </c>
      <c r="Q476" s="1" t="str">
        <f t="shared" si="64"/>
        <v>Yes</v>
      </c>
      <c r="R476" s="1" t="str">
        <f t="shared" si="65"/>
        <v>No</v>
      </c>
      <c r="S476" s="1" t="str">
        <f t="shared" si="66"/>
        <v>No</v>
      </c>
      <c r="T476" s="1" t="str">
        <f t="shared" si="67"/>
        <v>Normal</v>
      </c>
      <c r="U476" s="1" t="str">
        <f t="shared" si="68"/>
        <v>No</v>
      </c>
      <c r="V476" s="5" t="str">
        <f t="shared" si="69"/>
        <v>No</v>
      </c>
      <c r="W476" s="1" t="str">
        <f t="shared" si="70"/>
        <v>Regular</v>
      </c>
      <c r="X476" s="1" t="str">
        <f t="shared" si="71"/>
        <v>Discounted</v>
      </c>
    </row>
    <row r="477" spans="1:24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5">
        <v>5592.32</v>
      </c>
      <c r="P477" s="1">
        <f t="shared" si="63"/>
        <v>6990.4</v>
      </c>
      <c r="Q477" s="1" t="str">
        <f t="shared" si="64"/>
        <v>No</v>
      </c>
      <c r="R477" s="1" t="str">
        <f t="shared" si="65"/>
        <v>No</v>
      </c>
      <c r="S477" s="1" t="str">
        <f t="shared" si="66"/>
        <v>No</v>
      </c>
      <c r="T477" s="1" t="str">
        <f t="shared" si="67"/>
        <v>Normal</v>
      </c>
      <c r="U477" s="1" t="str">
        <f t="shared" si="68"/>
        <v>No</v>
      </c>
      <c r="V477" s="5" t="str">
        <f t="shared" si="69"/>
        <v>No</v>
      </c>
      <c r="W477" s="1" t="str">
        <f t="shared" si="70"/>
        <v>Regular</v>
      </c>
      <c r="X477" s="1" t="str">
        <f t="shared" si="71"/>
        <v>Discounted</v>
      </c>
    </row>
    <row r="478" spans="1:24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5">
        <v>5924.8</v>
      </c>
      <c r="P478" s="1">
        <f t="shared" si="63"/>
        <v>5924.8</v>
      </c>
      <c r="Q478" s="1" t="str">
        <f t="shared" si="64"/>
        <v>No</v>
      </c>
      <c r="R478" s="1" t="str">
        <f t="shared" si="65"/>
        <v>No</v>
      </c>
      <c r="S478" s="1" t="str">
        <f t="shared" si="66"/>
        <v>No</v>
      </c>
      <c r="T478" s="1" t="str">
        <f t="shared" si="67"/>
        <v>Normal</v>
      </c>
      <c r="U478" s="1" t="str">
        <f t="shared" si="68"/>
        <v>No</v>
      </c>
      <c r="V478" s="5" t="str">
        <f t="shared" si="69"/>
        <v>No</v>
      </c>
      <c r="W478" s="1" t="str">
        <f t="shared" si="70"/>
        <v>Regular</v>
      </c>
      <c r="X478" s="1" t="str">
        <f t="shared" si="71"/>
        <v>Discounted</v>
      </c>
    </row>
    <row r="479" spans="1:24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5">
        <v>3187.82</v>
      </c>
      <c r="P479" s="1">
        <f t="shared" si="63"/>
        <v>3355.6</v>
      </c>
      <c r="Q479" s="1" t="str">
        <f t="shared" si="64"/>
        <v>No</v>
      </c>
      <c r="R479" s="1" t="str">
        <f t="shared" si="65"/>
        <v>No</v>
      </c>
      <c r="S479" s="1" t="str">
        <f t="shared" si="66"/>
        <v>Yes</v>
      </c>
      <c r="T479" s="1" t="str">
        <f t="shared" si="67"/>
        <v>Normal</v>
      </c>
      <c r="U479" s="1" t="str">
        <f t="shared" si="68"/>
        <v>No</v>
      </c>
      <c r="V479" s="5" t="str">
        <f t="shared" si="69"/>
        <v>No</v>
      </c>
      <c r="W479" s="1" t="str">
        <f t="shared" si="70"/>
        <v>Regular</v>
      </c>
      <c r="X479" s="1" t="str">
        <f t="shared" si="71"/>
        <v>Discounted</v>
      </c>
    </row>
    <row r="480" spans="1:24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5">
        <v>2186.1799999999998</v>
      </c>
      <c r="P480" s="1">
        <f t="shared" si="63"/>
        <v>2732.73</v>
      </c>
      <c r="Q480" s="1" t="str">
        <f t="shared" si="64"/>
        <v>No</v>
      </c>
      <c r="R480" s="1" t="str">
        <f t="shared" si="65"/>
        <v>No</v>
      </c>
      <c r="S480" s="1" t="str">
        <f t="shared" si="66"/>
        <v>No</v>
      </c>
      <c r="T480" s="1" t="str">
        <f t="shared" si="67"/>
        <v>Normal</v>
      </c>
      <c r="U480" s="1" t="str">
        <f t="shared" si="68"/>
        <v>No</v>
      </c>
      <c r="V480" s="5" t="str">
        <f t="shared" si="69"/>
        <v>No</v>
      </c>
      <c r="W480" s="1" t="str">
        <f t="shared" si="70"/>
        <v>Regular</v>
      </c>
      <c r="X480" s="1" t="str">
        <f t="shared" si="71"/>
        <v>Discounted</v>
      </c>
    </row>
    <row r="481" spans="1:24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5">
        <v>4309.5</v>
      </c>
      <c r="P481" s="1">
        <f t="shared" si="63"/>
        <v>5070</v>
      </c>
      <c r="Q481" s="1" t="str">
        <f t="shared" si="64"/>
        <v>No</v>
      </c>
      <c r="R481" s="1" t="str">
        <f t="shared" si="65"/>
        <v>No</v>
      </c>
      <c r="S481" s="1" t="str">
        <f t="shared" si="66"/>
        <v>Yes</v>
      </c>
      <c r="T481" s="1" t="str">
        <f t="shared" si="67"/>
        <v>Normal</v>
      </c>
      <c r="U481" s="1" t="str">
        <f t="shared" si="68"/>
        <v>No</v>
      </c>
      <c r="V481" s="5" t="str">
        <f t="shared" si="69"/>
        <v>No</v>
      </c>
      <c r="W481" s="1" t="str">
        <f t="shared" si="70"/>
        <v>Regular</v>
      </c>
      <c r="X481" s="1" t="str">
        <f t="shared" si="71"/>
        <v>Discounted</v>
      </c>
    </row>
    <row r="482" spans="1:24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5">
        <v>9284.08</v>
      </c>
      <c r="P482" s="1">
        <f t="shared" si="63"/>
        <v>9284.08</v>
      </c>
      <c r="Q482" s="1" t="str">
        <f t="shared" si="64"/>
        <v>No</v>
      </c>
      <c r="R482" s="1" t="str">
        <f t="shared" si="65"/>
        <v>No</v>
      </c>
      <c r="S482" s="1" t="str">
        <f t="shared" si="66"/>
        <v>Yes</v>
      </c>
      <c r="T482" s="1" t="str">
        <f t="shared" si="67"/>
        <v>Normal</v>
      </c>
      <c r="U482" s="1" t="str">
        <f t="shared" si="68"/>
        <v>No</v>
      </c>
      <c r="V482" s="5" t="str">
        <f t="shared" si="69"/>
        <v>No</v>
      </c>
      <c r="W482" s="1" t="str">
        <f t="shared" si="70"/>
        <v>Regular</v>
      </c>
      <c r="X482" s="1" t="str">
        <f t="shared" si="71"/>
        <v>Discounted</v>
      </c>
    </row>
    <row r="483" spans="1:24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5">
        <v>12164.54</v>
      </c>
      <c r="P483" s="1">
        <f t="shared" si="63"/>
        <v>15205.679999999998</v>
      </c>
      <c r="Q483" s="1" t="str">
        <f t="shared" si="64"/>
        <v>Yes</v>
      </c>
      <c r="R483" s="1" t="str">
        <f t="shared" si="65"/>
        <v>No</v>
      </c>
      <c r="S483" s="1" t="str">
        <f t="shared" si="66"/>
        <v>Yes</v>
      </c>
      <c r="T483" s="1" t="str">
        <f t="shared" si="67"/>
        <v>Normal</v>
      </c>
      <c r="U483" s="1" t="str">
        <f t="shared" si="68"/>
        <v>Yes</v>
      </c>
      <c r="V483" s="5" t="str">
        <f t="shared" si="69"/>
        <v>Yes</v>
      </c>
      <c r="W483" s="1" t="str">
        <f t="shared" si="70"/>
        <v>Regular</v>
      </c>
      <c r="X483" s="1" t="str">
        <f t="shared" si="71"/>
        <v>Discounted</v>
      </c>
    </row>
    <row r="484" spans="1:24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5">
        <v>1734.45</v>
      </c>
      <c r="P484" s="1">
        <f t="shared" si="63"/>
        <v>1734.4499999999998</v>
      </c>
      <c r="Q484" s="1" t="str">
        <f t="shared" si="64"/>
        <v>No</v>
      </c>
      <c r="R484" s="1" t="str">
        <f t="shared" si="65"/>
        <v>No</v>
      </c>
      <c r="S484" s="1" t="str">
        <f t="shared" si="66"/>
        <v>Yes</v>
      </c>
      <c r="T484" s="1" t="str">
        <f t="shared" si="67"/>
        <v>Normal</v>
      </c>
      <c r="U484" s="1" t="str">
        <f t="shared" si="68"/>
        <v>Yes</v>
      </c>
      <c r="V484" s="5" t="str">
        <f t="shared" si="69"/>
        <v>Yes</v>
      </c>
      <c r="W484" s="1" t="str">
        <f t="shared" si="70"/>
        <v>Regular</v>
      </c>
      <c r="X484" s="1" t="str">
        <f t="shared" si="71"/>
        <v>Discounted</v>
      </c>
    </row>
    <row r="485" spans="1:24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5">
        <v>26542.62</v>
      </c>
      <c r="P485" s="1">
        <f t="shared" si="63"/>
        <v>27939.599999999999</v>
      </c>
      <c r="Q485" s="1" t="str">
        <f t="shared" si="64"/>
        <v>Yes</v>
      </c>
      <c r="R485" s="1" t="str">
        <f t="shared" si="65"/>
        <v>No</v>
      </c>
      <c r="S485" s="1" t="str">
        <f t="shared" si="66"/>
        <v>No</v>
      </c>
      <c r="T485" s="1" t="str">
        <f t="shared" si="67"/>
        <v>Normal</v>
      </c>
      <c r="U485" s="1" t="str">
        <f t="shared" si="68"/>
        <v>No</v>
      </c>
      <c r="V485" s="5" t="str">
        <f t="shared" si="69"/>
        <v>No</v>
      </c>
      <c r="W485" s="1" t="str">
        <f t="shared" si="70"/>
        <v>Regular</v>
      </c>
      <c r="X485" s="1" t="str">
        <f t="shared" si="71"/>
        <v>Non Dis Bulk Order</v>
      </c>
    </row>
    <row r="486" spans="1:24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5">
        <v>2201.23</v>
      </c>
      <c r="P486" s="1">
        <f t="shared" si="63"/>
        <v>2589.6799999999998</v>
      </c>
      <c r="Q486" s="1" t="str">
        <f t="shared" si="64"/>
        <v>No</v>
      </c>
      <c r="R486" s="1" t="str">
        <f t="shared" si="65"/>
        <v>No</v>
      </c>
      <c r="S486" s="1" t="str">
        <f t="shared" si="66"/>
        <v>Yes</v>
      </c>
      <c r="T486" s="1" t="str">
        <f t="shared" si="67"/>
        <v>Normal</v>
      </c>
      <c r="U486" s="1" t="str">
        <f t="shared" si="68"/>
        <v>No</v>
      </c>
      <c r="V486" s="5" t="str">
        <f t="shared" si="69"/>
        <v>No</v>
      </c>
      <c r="W486" s="1" t="str">
        <f t="shared" si="70"/>
        <v>Regular</v>
      </c>
      <c r="X486" s="1" t="str">
        <f t="shared" si="71"/>
        <v>Discounted</v>
      </c>
    </row>
    <row r="487" spans="1:24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5">
        <v>6981.93</v>
      </c>
      <c r="P487" s="1">
        <f t="shared" si="63"/>
        <v>6981.93</v>
      </c>
      <c r="Q487" s="1" t="str">
        <f t="shared" si="64"/>
        <v>No</v>
      </c>
      <c r="R487" s="1" t="str">
        <f t="shared" si="65"/>
        <v>No</v>
      </c>
      <c r="S487" s="1" t="str">
        <f t="shared" si="66"/>
        <v>Yes</v>
      </c>
      <c r="T487" s="1" t="str">
        <f t="shared" si="67"/>
        <v>Normal</v>
      </c>
      <c r="U487" s="1" t="str">
        <f t="shared" si="68"/>
        <v>Yes</v>
      </c>
      <c r="V487" s="5" t="str">
        <f t="shared" si="69"/>
        <v>Yes</v>
      </c>
      <c r="W487" s="1" t="str">
        <f t="shared" si="70"/>
        <v>Regular</v>
      </c>
      <c r="X487" s="1" t="str">
        <f t="shared" si="71"/>
        <v>Discounted</v>
      </c>
    </row>
    <row r="488" spans="1:24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5">
        <v>8803.65</v>
      </c>
      <c r="P488" s="1">
        <f t="shared" si="63"/>
        <v>11004.56</v>
      </c>
      <c r="Q488" s="1" t="str">
        <f t="shared" si="64"/>
        <v>No</v>
      </c>
      <c r="R488" s="1" t="str">
        <f t="shared" si="65"/>
        <v>No</v>
      </c>
      <c r="S488" s="1" t="str">
        <f t="shared" si="66"/>
        <v>No</v>
      </c>
      <c r="T488" s="1" t="str">
        <f t="shared" si="67"/>
        <v>Normal</v>
      </c>
      <c r="U488" s="1" t="str">
        <f t="shared" si="68"/>
        <v>No</v>
      </c>
      <c r="V488" s="5" t="str">
        <f t="shared" si="69"/>
        <v>No</v>
      </c>
      <c r="W488" s="1" t="str">
        <f t="shared" si="70"/>
        <v>Regular</v>
      </c>
      <c r="X488" s="1" t="str">
        <f t="shared" si="71"/>
        <v>Discounted</v>
      </c>
    </row>
    <row r="489" spans="1:24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5">
        <v>281.8</v>
      </c>
      <c r="P489" s="1">
        <f t="shared" si="63"/>
        <v>296.63</v>
      </c>
      <c r="Q489" s="1" t="str">
        <f t="shared" si="64"/>
        <v>No</v>
      </c>
      <c r="R489" s="1" t="str">
        <f t="shared" si="65"/>
        <v>No</v>
      </c>
      <c r="S489" s="1" t="str">
        <f t="shared" si="66"/>
        <v>Yes</v>
      </c>
      <c r="T489" s="1" t="str">
        <f t="shared" si="67"/>
        <v>Special attention</v>
      </c>
      <c r="U489" s="1" t="str">
        <f t="shared" si="68"/>
        <v>Yes</v>
      </c>
      <c r="V489" s="5" t="str">
        <f t="shared" si="69"/>
        <v>Yes</v>
      </c>
      <c r="W489" s="1" t="str">
        <f t="shared" si="70"/>
        <v>Regular</v>
      </c>
      <c r="X489" s="1" t="str">
        <f t="shared" si="71"/>
        <v>Discounted</v>
      </c>
    </row>
    <row r="490" spans="1:24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5">
        <v>19280.29</v>
      </c>
      <c r="P490" s="1">
        <f t="shared" si="63"/>
        <v>20295.04</v>
      </c>
      <c r="Q490" s="1" t="str">
        <f t="shared" si="64"/>
        <v>Yes</v>
      </c>
      <c r="R490" s="1" t="str">
        <f t="shared" si="65"/>
        <v>No</v>
      </c>
      <c r="S490" s="1" t="str">
        <f t="shared" si="66"/>
        <v>Yes</v>
      </c>
      <c r="T490" s="1" t="str">
        <f t="shared" si="67"/>
        <v>Normal</v>
      </c>
      <c r="U490" s="1" t="str">
        <f t="shared" si="68"/>
        <v>Yes</v>
      </c>
      <c r="V490" s="5" t="str">
        <f t="shared" si="69"/>
        <v>Yes</v>
      </c>
      <c r="W490" s="1" t="str">
        <f t="shared" si="70"/>
        <v>Regular</v>
      </c>
      <c r="X490" s="1" t="str">
        <f t="shared" si="71"/>
        <v>Non Dis Bulk Order</v>
      </c>
    </row>
    <row r="491" spans="1:24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5">
        <v>15893.14</v>
      </c>
      <c r="P491" s="1">
        <f t="shared" si="63"/>
        <v>19866.419999999998</v>
      </c>
      <c r="Q491" s="1" t="str">
        <f t="shared" si="64"/>
        <v>Yes</v>
      </c>
      <c r="R491" s="1" t="str">
        <f t="shared" si="65"/>
        <v>No</v>
      </c>
      <c r="S491" s="1" t="str">
        <f t="shared" si="66"/>
        <v>Yes</v>
      </c>
      <c r="T491" s="1" t="str">
        <f t="shared" si="67"/>
        <v>Normal</v>
      </c>
      <c r="U491" s="1" t="str">
        <f t="shared" si="68"/>
        <v>No</v>
      </c>
      <c r="V491" s="5" t="str">
        <f t="shared" si="69"/>
        <v>No</v>
      </c>
      <c r="W491" s="1" t="str">
        <f t="shared" si="70"/>
        <v>Regular</v>
      </c>
      <c r="X491" s="1" t="str">
        <f t="shared" si="71"/>
        <v>Discounted</v>
      </c>
    </row>
    <row r="492" spans="1:24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5">
        <v>3909.72</v>
      </c>
      <c r="P492" s="1">
        <f t="shared" si="63"/>
        <v>4887.1499999999996</v>
      </c>
      <c r="Q492" s="1" t="str">
        <f t="shared" si="64"/>
        <v>No</v>
      </c>
      <c r="R492" s="1" t="str">
        <f t="shared" si="65"/>
        <v>No</v>
      </c>
      <c r="S492" s="1" t="str">
        <f t="shared" si="66"/>
        <v>Yes</v>
      </c>
      <c r="T492" s="1" t="str">
        <f t="shared" si="67"/>
        <v>Normal</v>
      </c>
      <c r="U492" s="1" t="str">
        <f t="shared" si="68"/>
        <v>No</v>
      </c>
      <c r="V492" s="5" t="str">
        <f t="shared" si="69"/>
        <v>No</v>
      </c>
      <c r="W492" s="1" t="str">
        <f t="shared" si="70"/>
        <v>Regular</v>
      </c>
      <c r="X492" s="1" t="str">
        <f t="shared" si="71"/>
        <v>Discounted</v>
      </c>
    </row>
    <row r="493" spans="1:24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5">
        <v>1557.8</v>
      </c>
      <c r="P493" s="1">
        <f t="shared" si="63"/>
        <v>1557.8</v>
      </c>
      <c r="Q493" s="1" t="str">
        <f t="shared" si="64"/>
        <v>No</v>
      </c>
      <c r="R493" s="1" t="str">
        <f t="shared" si="65"/>
        <v>No</v>
      </c>
      <c r="S493" s="1" t="str">
        <f t="shared" si="66"/>
        <v>Yes</v>
      </c>
      <c r="T493" s="1" t="str">
        <f t="shared" si="67"/>
        <v>Normal</v>
      </c>
      <c r="U493" s="1" t="str">
        <f t="shared" si="68"/>
        <v>Yes</v>
      </c>
      <c r="V493" s="5" t="str">
        <f t="shared" si="69"/>
        <v>Yes</v>
      </c>
      <c r="W493" s="1" t="str">
        <f t="shared" si="70"/>
        <v>Regular</v>
      </c>
      <c r="X493" s="1" t="str">
        <f t="shared" si="71"/>
        <v>Discounted</v>
      </c>
    </row>
    <row r="494" spans="1:24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5">
        <v>9765.19</v>
      </c>
      <c r="P494" s="1">
        <f t="shared" si="63"/>
        <v>10850.21</v>
      </c>
      <c r="Q494" s="1" t="str">
        <f t="shared" si="64"/>
        <v>No</v>
      </c>
      <c r="R494" s="1" t="str">
        <f t="shared" si="65"/>
        <v>No</v>
      </c>
      <c r="S494" s="1" t="str">
        <f t="shared" si="66"/>
        <v>Yes</v>
      </c>
      <c r="T494" s="1" t="str">
        <f t="shared" si="67"/>
        <v>Normal</v>
      </c>
      <c r="U494" s="1" t="str">
        <f t="shared" si="68"/>
        <v>Yes</v>
      </c>
      <c r="V494" s="5" t="str">
        <f t="shared" si="69"/>
        <v>Yes</v>
      </c>
      <c r="W494" s="1" t="str">
        <f t="shared" si="70"/>
        <v>Regular</v>
      </c>
      <c r="X494" s="1" t="str">
        <f t="shared" si="71"/>
        <v>Discounted</v>
      </c>
    </row>
    <row r="495" spans="1:24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5">
        <v>2515.5500000000002</v>
      </c>
      <c r="P495" s="1">
        <f t="shared" si="63"/>
        <v>2647.9500000000003</v>
      </c>
      <c r="Q495" s="1" t="str">
        <f t="shared" si="64"/>
        <v>No</v>
      </c>
      <c r="R495" s="1" t="str">
        <f t="shared" si="65"/>
        <v>No</v>
      </c>
      <c r="S495" s="1" t="str">
        <f t="shared" si="66"/>
        <v>Yes</v>
      </c>
      <c r="T495" s="1" t="str">
        <f t="shared" si="67"/>
        <v>Normal</v>
      </c>
      <c r="U495" s="1" t="str">
        <f t="shared" si="68"/>
        <v>No</v>
      </c>
      <c r="V495" s="5" t="str">
        <f t="shared" si="69"/>
        <v>No</v>
      </c>
      <c r="W495" s="1" t="str">
        <f t="shared" si="70"/>
        <v>Regular</v>
      </c>
      <c r="X495" s="1" t="str">
        <f t="shared" si="71"/>
        <v>Discounted</v>
      </c>
    </row>
    <row r="496" spans="1:24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5">
        <v>4787.5200000000004</v>
      </c>
      <c r="P496" s="1">
        <f t="shared" si="63"/>
        <v>4787.5200000000004</v>
      </c>
      <c r="Q496" s="1" t="str">
        <f t="shared" si="64"/>
        <v>No</v>
      </c>
      <c r="R496" s="1" t="str">
        <f t="shared" si="65"/>
        <v>No</v>
      </c>
      <c r="S496" s="1" t="str">
        <f t="shared" si="66"/>
        <v>No</v>
      </c>
      <c r="T496" s="1" t="str">
        <f t="shared" si="67"/>
        <v>Normal</v>
      </c>
      <c r="U496" s="1" t="str">
        <f t="shared" si="68"/>
        <v>No</v>
      </c>
      <c r="V496" s="5" t="str">
        <f t="shared" si="69"/>
        <v>No</v>
      </c>
      <c r="W496" s="1" t="str">
        <f t="shared" si="70"/>
        <v>Regular</v>
      </c>
      <c r="X496" s="1" t="str">
        <f t="shared" si="71"/>
        <v>Discounted</v>
      </c>
    </row>
    <row r="497" spans="1:24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5">
        <v>5418.77</v>
      </c>
      <c r="P497" s="1">
        <f t="shared" si="63"/>
        <v>6773.4600000000009</v>
      </c>
      <c r="Q497" s="1" t="str">
        <f t="shared" si="64"/>
        <v>No</v>
      </c>
      <c r="R497" s="1" t="str">
        <f t="shared" si="65"/>
        <v>No</v>
      </c>
      <c r="S497" s="1" t="str">
        <f t="shared" si="66"/>
        <v>Yes</v>
      </c>
      <c r="T497" s="1" t="str">
        <f t="shared" si="67"/>
        <v>Normal</v>
      </c>
      <c r="U497" s="1" t="str">
        <f t="shared" si="68"/>
        <v>No</v>
      </c>
      <c r="V497" s="5" t="str">
        <f t="shared" si="69"/>
        <v>No</v>
      </c>
      <c r="W497" s="1" t="str">
        <f t="shared" si="70"/>
        <v>Regular</v>
      </c>
      <c r="X497" s="1" t="str">
        <f t="shared" si="71"/>
        <v>Discounted</v>
      </c>
    </row>
    <row r="498" spans="1:24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5">
        <v>6437.75</v>
      </c>
      <c r="P498" s="1">
        <f t="shared" si="63"/>
        <v>6437.75</v>
      </c>
      <c r="Q498" s="1" t="str">
        <f t="shared" si="64"/>
        <v>No</v>
      </c>
      <c r="R498" s="1" t="str">
        <f t="shared" si="65"/>
        <v>No</v>
      </c>
      <c r="S498" s="1" t="str">
        <f t="shared" si="66"/>
        <v>Yes</v>
      </c>
      <c r="T498" s="1" t="str">
        <f t="shared" si="67"/>
        <v>Normal</v>
      </c>
      <c r="U498" s="1" t="str">
        <f t="shared" si="68"/>
        <v>Yes</v>
      </c>
      <c r="V498" s="5" t="str">
        <f t="shared" si="69"/>
        <v>Yes</v>
      </c>
      <c r="W498" s="1" t="str">
        <f t="shared" si="70"/>
        <v>Regular</v>
      </c>
      <c r="X498" s="1" t="str">
        <f t="shared" si="71"/>
        <v>Discounted</v>
      </c>
    </row>
    <row r="499" spans="1:24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5">
        <v>15770.81</v>
      </c>
      <c r="P499" s="1">
        <f t="shared" si="63"/>
        <v>19713.509999999998</v>
      </c>
      <c r="Q499" s="1" t="str">
        <f t="shared" si="64"/>
        <v>Yes</v>
      </c>
      <c r="R499" s="1" t="str">
        <f t="shared" si="65"/>
        <v>Yes</v>
      </c>
      <c r="S499" s="1" t="str">
        <f t="shared" si="66"/>
        <v>No</v>
      </c>
      <c r="T499" s="1" t="str">
        <f t="shared" si="67"/>
        <v>Normal</v>
      </c>
      <c r="U499" s="1" t="str">
        <f t="shared" si="68"/>
        <v>No</v>
      </c>
      <c r="V499" s="5" t="str">
        <f t="shared" si="69"/>
        <v>No</v>
      </c>
      <c r="W499" s="1" t="str">
        <f t="shared" si="70"/>
        <v>Regular</v>
      </c>
      <c r="X499" s="1" t="str">
        <f t="shared" si="71"/>
        <v>Non Dis Bulk Order</v>
      </c>
    </row>
    <row r="500" spans="1:24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5">
        <v>4695.08</v>
      </c>
      <c r="P500" s="1">
        <f t="shared" si="63"/>
        <v>5523.62</v>
      </c>
      <c r="Q500" s="1" t="str">
        <f t="shared" si="64"/>
        <v>No</v>
      </c>
      <c r="R500" s="1" t="str">
        <f t="shared" si="65"/>
        <v>No</v>
      </c>
      <c r="S500" s="1" t="str">
        <f t="shared" si="66"/>
        <v>Yes</v>
      </c>
      <c r="T500" s="1" t="str">
        <f t="shared" si="67"/>
        <v>Normal</v>
      </c>
      <c r="U500" s="1" t="str">
        <f t="shared" si="68"/>
        <v>Yes</v>
      </c>
      <c r="V500" s="5" t="str">
        <f t="shared" si="69"/>
        <v>Yes</v>
      </c>
      <c r="W500" s="1" t="str">
        <f t="shared" si="70"/>
        <v>Regular</v>
      </c>
      <c r="X500" s="1" t="str">
        <f t="shared" si="71"/>
        <v>Discounted</v>
      </c>
    </row>
    <row r="501" spans="1:24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5">
        <v>1945.74</v>
      </c>
      <c r="P501" s="1">
        <f t="shared" si="63"/>
        <v>2432.17</v>
      </c>
      <c r="Q501" s="1" t="str">
        <f t="shared" si="64"/>
        <v>No</v>
      </c>
      <c r="R501" s="1" t="str">
        <f t="shared" si="65"/>
        <v>No</v>
      </c>
      <c r="S501" s="1" t="str">
        <f t="shared" si="66"/>
        <v>No</v>
      </c>
      <c r="T501" s="1" t="str">
        <f t="shared" si="67"/>
        <v>Normal</v>
      </c>
      <c r="U501" s="1" t="str">
        <f t="shared" si="68"/>
        <v>No</v>
      </c>
      <c r="V501" s="5" t="str">
        <f t="shared" si="69"/>
        <v>No</v>
      </c>
      <c r="W501" s="1" t="str">
        <f t="shared" si="70"/>
        <v>Regular</v>
      </c>
      <c r="X501" s="1" t="str">
        <f t="shared" si="71"/>
        <v>Discounted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myselfpriya14@gmail.com</cp:lastModifiedBy>
  <dcterms:created xsi:type="dcterms:W3CDTF">2025-11-28T09:29:24Z</dcterms:created>
  <dcterms:modified xsi:type="dcterms:W3CDTF">2026-09-30T12:55:37Z</dcterms:modified>
</cp:coreProperties>
</file>