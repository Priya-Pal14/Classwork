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sel\Downloads\"/>
    </mc:Choice>
  </mc:AlternateContent>
  <xr:revisionPtr revIDLastSave="0" documentId="13_ncr:1_{EE126203-755C-4778-BE84-0550AB723C0A}" xr6:coauthVersionLast="47" xr6:coauthVersionMax="47" xr10:uidLastSave="{00000000-0000-0000-0000-000000000000}"/>
  <bookViews>
    <workbookView xWindow="-108" yWindow="-108" windowWidth="23256" windowHeight="12456" firstSheet="11" activeTab="15" xr2:uid="{B275022F-1C1C-4C40-87FB-494BA723265E}"/>
  </bookViews>
  <sheets>
    <sheet name="Day1 28.09.2026" sheetId="1" r:id="rId1"/>
    <sheet name="Day2 29.09.2026" sheetId="2" r:id="rId2"/>
    <sheet name="Day3 30.09.2026" sheetId="3" r:id="rId3"/>
    <sheet name="Day4 01.10.2026 s&amp;f" sheetId="5" r:id="rId4"/>
    <sheet name="Day4 01.10.2026 s&amp;f1" sheetId="7" r:id="rId5"/>
    <sheet name="Day5 05.10.2026" sheetId="8" r:id="rId6"/>
    <sheet name="Day6.10.26 Flashfill,Text fr. " sheetId="9" r:id="rId7"/>
    <sheet name="Day7.10.26 V-Lookup" sheetId="10" r:id="rId8"/>
    <sheet name="Day7.10.26 H-Lookup" sheetId="11" r:id="rId9"/>
    <sheet name="Day812.10.26ind&amp;match" sheetId="13" r:id="rId10"/>
    <sheet name="Day9 13.10.26 X-lookup" sheetId="12" r:id="rId11"/>
    <sheet name="S1" sheetId="14" r:id="rId12"/>
    <sheet name="S2" sheetId="15" r:id="rId13"/>
    <sheet name="S3" sheetId="16" r:id="rId14"/>
    <sheet name="28.10.2026" sheetId="18" r:id="rId15"/>
    <sheet name="28.10.26 data valid." sheetId="19" r:id="rId16"/>
  </sheets>
  <definedNames>
    <definedName name="_xlnm._FilterDatabase" localSheetId="3" hidden="1">'Day4 01.10.2026 s&amp;f'!$A$1:$O$501</definedName>
    <definedName name="_xlnm.Criteria" localSheetId="3">'Day4 01.10.2026 s&amp;f'!$R$1:$R$2</definedName>
    <definedName name="_xlnm.Criteria" localSheetId="4">'Day4 01.10.2026 s&amp;f1'!$A$1:$A$2</definedName>
    <definedName name="_xlnm.Extract" localSheetId="3">'Day4 01.10.2026 s&amp;f'!$U$2:$AI$2</definedName>
    <definedName name="_xlnm.Extract" localSheetId="4">'Day4 01.10.2026 s&amp;f1'!$C$1:$Q$1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8" i="19" l="1" a="1"/>
  <c r="N30" i="19"/>
  <c r="N26" i="19"/>
  <c r="N28" i="19"/>
  <c r="N24" i="19"/>
  <c r="X22" i="19"/>
  <c r="X18" i="19"/>
  <c r="Y14" i="19"/>
  <c r="W14" i="19"/>
  <c r="V14" i="19"/>
  <c r="T23" i="19"/>
  <c r="T14" i="19"/>
  <c r="T16" i="19"/>
  <c r="T20" i="19"/>
  <c r="T18" i="19"/>
  <c r="C18" i="19"/>
  <c r="J3" i="19"/>
  <c r="J12" i="18"/>
  <c r="K12" i="18"/>
  <c r="L12" i="18"/>
  <c r="J13" i="18"/>
  <c r="K13" i="18"/>
  <c r="L13" i="18"/>
  <c r="J14" i="18"/>
  <c r="K14" i="18"/>
  <c r="L14" i="18"/>
  <c r="J15" i="18"/>
  <c r="K15" i="18"/>
  <c r="L15" i="18"/>
  <c r="J16" i="18"/>
  <c r="K16" i="18"/>
  <c r="L16" i="18"/>
  <c r="J17" i="18"/>
  <c r="K17" i="18"/>
  <c r="L17" i="18"/>
  <c r="J18" i="18"/>
  <c r="K18" i="18"/>
  <c r="L18" i="18"/>
  <c r="J19" i="18"/>
  <c r="K19" i="18"/>
  <c r="L19" i="18"/>
  <c r="J20" i="18"/>
  <c r="K20" i="18"/>
  <c r="L20" i="18"/>
  <c r="J21" i="18"/>
  <c r="K21" i="18"/>
  <c r="L21" i="18"/>
  <c r="J22" i="18"/>
  <c r="K22" i="18"/>
  <c r="L22" i="18"/>
  <c r="J23" i="18"/>
  <c r="K23" i="18"/>
  <c r="L23" i="18"/>
  <c r="J24" i="18"/>
  <c r="K24" i="18"/>
  <c r="L24" i="18"/>
  <c r="J25" i="18"/>
  <c r="K25" i="18"/>
  <c r="L25" i="18"/>
  <c r="J26" i="18"/>
  <c r="K26" i="18"/>
  <c r="L26" i="18"/>
  <c r="J27" i="18"/>
  <c r="K27" i="18"/>
  <c r="L27" i="18"/>
  <c r="C2" i="18"/>
  <c r="D2" i="18"/>
  <c r="C3" i="18"/>
  <c r="D3" i="18"/>
  <c r="C4" i="18"/>
  <c r="D4" i="18"/>
  <c r="B3" i="18"/>
  <c r="B4" i="18"/>
  <c r="B2" i="18"/>
  <c r="R14" i="12" a="1"/>
  <c r="S11" i="12" a="1"/>
  <c r="R8" i="12" a="1"/>
  <c r="W5" i="12" a="1"/>
  <c r="T5" i="12"/>
  <c r="U5" i="12" s="1"/>
  <c r="V5" i="12" s="1"/>
  <c r="S5" i="12"/>
  <c r="R5" i="12"/>
  <c r="U2" i="12"/>
  <c r="R2" i="12"/>
  <c r="B507" i="13" a="1"/>
  <c r="Z19" i="13"/>
  <c r="W19" i="13"/>
  <c r="R19" i="13"/>
  <c r="S16" i="13"/>
  <c r="R16" i="13"/>
  <c r="R13" i="13"/>
  <c r="S10" i="13" a="1"/>
  <c r="R6" i="13" a="1"/>
  <c r="R2" i="13" a="1"/>
  <c r="R8" i="2"/>
  <c r="R2" i="3"/>
  <c r="U8" i="3"/>
  <c r="C20" i="11"/>
  <c r="Z3" i="10"/>
  <c r="R23" i="10"/>
  <c r="R20" i="10"/>
  <c r="R15" i="10"/>
  <c r="R16" i="10"/>
  <c r="R17" i="10"/>
  <c r="R14" i="10"/>
  <c r="R11" i="10" a="1"/>
  <c r="R8" i="10"/>
  <c r="R5" i="10"/>
  <c r="AE3" i="9"/>
  <c r="AE4" i="9"/>
  <c r="AE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E105" i="9"/>
  <c r="AE106" i="9"/>
  <c r="AE107" i="9"/>
  <c r="AE108" i="9"/>
  <c r="AE109" i="9"/>
  <c r="AE110" i="9"/>
  <c r="AE111" i="9"/>
  <c r="AE112" i="9"/>
  <c r="AE113" i="9"/>
  <c r="AE114" i="9"/>
  <c r="AE115" i="9"/>
  <c r="AE116" i="9"/>
  <c r="AE117" i="9"/>
  <c r="AE118" i="9"/>
  <c r="AE119" i="9"/>
  <c r="AE120" i="9"/>
  <c r="AE121" i="9"/>
  <c r="AE122" i="9"/>
  <c r="AE123" i="9"/>
  <c r="AE124" i="9"/>
  <c r="AE125" i="9"/>
  <c r="AE126" i="9"/>
  <c r="AE127" i="9"/>
  <c r="AE128" i="9"/>
  <c r="AE129" i="9"/>
  <c r="AE130" i="9"/>
  <c r="AE131" i="9"/>
  <c r="AE132" i="9"/>
  <c r="AE133" i="9"/>
  <c r="AE134" i="9"/>
  <c r="AE135" i="9"/>
  <c r="AE136" i="9"/>
  <c r="AE137" i="9"/>
  <c r="AE138" i="9"/>
  <c r="AE139" i="9"/>
  <c r="AE140" i="9"/>
  <c r="AE141" i="9"/>
  <c r="AE142" i="9"/>
  <c r="AE143" i="9"/>
  <c r="AE144" i="9"/>
  <c r="AE145" i="9"/>
  <c r="AE146" i="9"/>
  <c r="AE147" i="9"/>
  <c r="AE148" i="9"/>
  <c r="AE149" i="9"/>
  <c r="AE150" i="9"/>
  <c r="AE151" i="9"/>
  <c r="AE152" i="9"/>
  <c r="AE153" i="9"/>
  <c r="AE154" i="9"/>
  <c r="AE155" i="9"/>
  <c r="AE156" i="9"/>
  <c r="AE157" i="9"/>
  <c r="AE158" i="9"/>
  <c r="AE159" i="9"/>
  <c r="AE160" i="9"/>
  <c r="AE161" i="9"/>
  <c r="AE162" i="9"/>
  <c r="AE163" i="9"/>
  <c r="AE164" i="9"/>
  <c r="AE165" i="9"/>
  <c r="AE166" i="9"/>
  <c r="AE167" i="9"/>
  <c r="AE168" i="9"/>
  <c r="AE169" i="9"/>
  <c r="AE170" i="9"/>
  <c r="AE171" i="9"/>
  <c r="AE172" i="9"/>
  <c r="AE173" i="9"/>
  <c r="AE174" i="9"/>
  <c r="AE175" i="9"/>
  <c r="AE176" i="9"/>
  <c r="AE177" i="9"/>
  <c r="AE178" i="9"/>
  <c r="AE179" i="9"/>
  <c r="AE180" i="9"/>
  <c r="AE181" i="9"/>
  <c r="AE182" i="9"/>
  <c r="AE183" i="9"/>
  <c r="AE184" i="9"/>
  <c r="AE185" i="9"/>
  <c r="AE186" i="9"/>
  <c r="AE187" i="9"/>
  <c r="AE188" i="9"/>
  <c r="AE189" i="9"/>
  <c r="AE190" i="9"/>
  <c r="AE191" i="9"/>
  <c r="AE192" i="9"/>
  <c r="AE193" i="9"/>
  <c r="AE194" i="9"/>
  <c r="AE195" i="9"/>
  <c r="AE196" i="9"/>
  <c r="AE197" i="9"/>
  <c r="AE198" i="9"/>
  <c r="AE199" i="9"/>
  <c r="AE200" i="9"/>
  <c r="AE201" i="9"/>
  <c r="AE202" i="9"/>
  <c r="AE203" i="9"/>
  <c r="AE204" i="9"/>
  <c r="AE205" i="9"/>
  <c r="AE206" i="9"/>
  <c r="AE207" i="9"/>
  <c r="AE208" i="9"/>
  <c r="AE209" i="9"/>
  <c r="AE210" i="9"/>
  <c r="AE211" i="9"/>
  <c r="AE212" i="9"/>
  <c r="AE213" i="9"/>
  <c r="AE214" i="9"/>
  <c r="AE215" i="9"/>
  <c r="AE216" i="9"/>
  <c r="AE217" i="9"/>
  <c r="AE218" i="9"/>
  <c r="AE219" i="9"/>
  <c r="AE220" i="9"/>
  <c r="AE221" i="9"/>
  <c r="AE222" i="9"/>
  <c r="AE223" i="9"/>
  <c r="AE224" i="9"/>
  <c r="AE225" i="9"/>
  <c r="AE226" i="9"/>
  <c r="AE227" i="9"/>
  <c r="AE228" i="9"/>
  <c r="AE229" i="9"/>
  <c r="AE230" i="9"/>
  <c r="AE231" i="9"/>
  <c r="AE232" i="9"/>
  <c r="AE233" i="9"/>
  <c r="AE234" i="9"/>
  <c r="AE235" i="9"/>
  <c r="AE236" i="9"/>
  <c r="AE237" i="9"/>
  <c r="AE238" i="9"/>
  <c r="AE239" i="9"/>
  <c r="AE240" i="9"/>
  <c r="AE241" i="9"/>
  <c r="AE242" i="9"/>
  <c r="AE243" i="9"/>
  <c r="AE244" i="9"/>
  <c r="AE245" i="9"/>
  <c r="AE246" i="9"/>
  <c r="AE247" i="9"/>
  <c r="AE248" i="9"/>
  <c r="AE249" i="9"/>
  <c r="AE250" i="9"/>
  <c r="AE251" i="9"/>
  <c r="AE252" i="9"/>
  <c r="AE253" i="9"/>
  <c r="AE254" i="9"/>
  <c r="AE255" i="9"/>
  <c r="AE256" i="9"/>
  <c r="AE257" i="9"/>
  <c r="AE258" i="9"/>
  <c r="AE259" i="9"/>
  <c r="AE260" i="9"/>
  <c r="AE261" i="9"/>
  <c r="AE262" i="9"/>
  <c r="AE263" i="9"/>
  <c r="AE264" i="9"/>
  <c r="AE265" i="9"/>
  <c r="AE266" i="9"/>
  <c r="AE267" i="9"/>
  <c r="AE268" i="9"/>
  <c r="AE269" i="9"/>
  <c r="AE270" i="9"/>
  <c r="AE271" i="9"/>
  <c r="AE272" i="9"/>
  <c r="AE273" i="9"/>
  <c r="AE274" i="9"/>
  <c r="AE275" i="9"/>
  <c r="AE276" i="9"/>
  <c r="AE277" i="9"/>
  <c r="AE278" i="9"/>
  <c r="AE279" i="9"/>
  <c r="AE280" i="9"/>
  <c r="AE281" i="9"/>
  <c r="AE282" i="9"/>
  <c r="AE283" i="9"/>
  <c r="AE284" i="9"/>
  <c r="AE285" i="9"/>
  <c r="AE286" i="9"/>
  <c r="AE287" i="9"/>
  <c r="AE288" i="9"/>
  <c r="AE289" i="9"/>
  <c r="AE290" i="9"/>
  <c r="AE291" i="9"/>
  <c r="AE292" i="9"/>
  <c r="AE293" i="9"/>
  <c r="AE294" i="9"/>
  <c r="AE295" i="9"/>
  <c r="AE296" i="9"/>
  <c r="AE297" i="9"/>
  <c r="AE298" i="9"/>
  <c r="AE299" i="9"/>
  <c r="AE300" i="9"/>
  <c r="AE301" i="9"/>
  <c r="AE302" i="9"/>
  <c r="AE303" i="9"/>
  <c r="AE304" i="9"/>
  <c r="AE305" i="9"/>
  <c r="AE306" i="9"/>
  <c r="AE307" i="9"/>
  <c r="AE308" i="9"/>
  <c r="AE309" i="9"/>
  <c r="AE310" i="9"/>
  <c r="AE311" i="9"/>
  <c r="AE312" i="9"/>
  <c r="AE313" i="9"/>
  <c r="AE314" i="9"/>
  <c r="AE315" i="9"/>
  <c r="AE316" i="9"/>
  <c r="AE317" i="9"/>
  <c r="AE318" i="9"/>
  <c r="AE319" i="9"/>
  <c r="AE320" i="9"/>
  <c r="AE321" i="9"/>
  <c r="AE322" i="9"/>
  <c r="AE323" i="9"/>
  <c r="AE324" i="9"/>
  <c r="AE325" i="9"/>
  <c r="AE326" i="9"/>
  <c r="AE327" i="9"/>
  <c r="AE328" i="9"/>
  <c r="AE329" i="9"/>
  <c r="AE330" i="9"/>
  <c r="AE331" i="9"/>
  <c r="AE332" i="9"/>
  <c r="AE333" i="9"/>
  <c r="AE334" i="9"/>
  <c r="AE335" i="9"/>
  <c r="AE336" i="9"/>
  <c r="AE337" i="9"/>
  <c r="AE338" i="9"/>
  <c r="AE339" i="9"/>
  <c r="AE340" i="9"/>
  <c r="AE341" i="9"/>
  <c r="AE342" i="9"/>
  <c r="AE343" i="9"/>
  <c r="AE344" i="9"/>
  <c r="AE345" i="9"/>
  <c r="AE346" i="9"/>
  <c r="AE347" i="9"/>
  <c r="AE348" i="9"/>
  <c r="AE349" i="9"/>
  <c r="AE350" i="9"/>
  <c r="AE351" i="9"/>
  <c r="AE352" i="9"/>
  <c r="AE353" i="9"/>
  <c r="AE354" i="9"/>
  <c r="AE355" i="9"/>
  <c r="AE356" i="9"/>
  <c r="AE357" i="9"/>
  <c r="AE358" i="9"/>
  <c r="AE359" i="9"/>
  <c r="AE360" i="9"/>
  <c r="AE361" i="9"/>
  <c r="AE362" i="9"/>
  <c r="AE363" i="9"/>
  <c r="AE364" i="9"/>
  <c r="AE365" i="9"/>
  <c r="AE366" i="9"/>
  <c r="AE367" i="9"/>
  <c r="AE368" i="9"/>
  <c r="AE369" i="9"/>
  <c r="AE370" i="9"/>
  <c r="AE371" i="9"/>
  <c r="AE372" i="9"/>
  <c r="AE373" i="9"/>
  <c r="AE374" i="9"/>
  <c r="AE375" i="9"/>
  <c r="AE376" i="9"/>
  <c r="AE377" i="9"/>
  <c r="AE378" i="9"/>
  <c r="AE379" i="9"/>
  <c r="AE380" i="9"/>
  <c r="AE381" i="9"/>
  <c r="AE382" i="9"/>
  <c r="AE383" i="9"/>
  <c r="AE384" i="9"/>
  <c r="AE385" i="9"/>
  <c r="AE386" i="9"/>
  <c r="AE387" i="9"/>
  <c r="AE388" i="9"/>
  <c r="AE389" i="9"/>
  <c r="AE390" i="9"/>
  <c r="AE391" i="9"/>
  <c r="AE392" i="9"/>
  <c r="AE393" i="9"/>
  <c r="AE394" i="9"/>
  <c r="AE395" i="9"/>
  <c r="AE396" i="9"/>
  <c r="AE397" i="9"/>
  <c r="AE398" i="9"/>
  <c r="AE399" i="9"/>
  <c r="AE400" i="9"/>
  <c r="AE401" i="9"/>
  <c r="AE402" i="9"/>
  <c r="AE403" i="9"/>
  <c r="AE404" i="9"/>
  <c r="AE405" i="9"/>
  <c r="AE406" i="9"/>
  <c r="AE407" i="9"/>
  <c r="AE408" i="9"/>
  <c r="AE409" i="9"/>
  <c r="AE410" i="9"/>
  <c r="AE411" i="9"/>
  <c r="AE412" i="9"/>
  <c r="AE413" i="9"/>
  <c r="AE414" i="9"/>
  <c r="AE415" i="9"/>
  <c r="AE416" i="9"/>
  <c r="AE417" i="9"/>
  <c r="AE418" i="9"/>
  <c r="AE419" i="9"/>
  <c r="AE420" i="9"/>
  <c r="AE421" i="9"/>
  <c r="AE422" i="9"/>
  <c r="AE423" i="9"/>
  <c r="AE424" i="9"/>
  <c r="AE425" i="9"/>
  <c r="AE426" i="9"/>
  <c r="AE427" i="9"/>
  <c r="AE428" i="9"/>
  <c r="AE429" i="9"/>
  <c r="AE430" i="9"/>
  <c r="AE431" i="9"/>
  <c r="AE432" i="9"/>
  <c r="AE433" i="9"/>
  <c r="AE434" i="9"/>
  <c r="AE435" i="9"/>
  <c r="AE436" i="9"/>
  <c r="AE437" i="9"/>
  <c r="AE438" i="9"/>
  <c r="AE439" i="9"/>
  <c r="AE440" i="9"/>
  <c r="AE441" i="9"/>
  <c r="AE442" i="9"/>
  <c r="AE443" i="9"/>
  <c r="AE444" i="9"/>
  <c r="AE445" i="9"/>
  <c r="AE446" i="9"/>
  <c r="AE447" i="9"/>
  <c r="AE448" i="9"/>
  <c r="AE449" i="9"/>
  <c r="AE450" i="9"/>
  <c r="AE451" i="9"/>
  <c r="AE452" i="9"/>
  <c r="AE453" i="9"/>
  <c r="AE454" i="9"/>
  <c r="AE455" i="9"/>
  <c r="AE456" i="9"/>
  <c r="AE457" i="9"/>
  <c r="AE458" i="9"/>
  <c r="AE459" i="9"/>
  <c r="AE460" i="9"/>
  <c r="AE461" i="9"/>
  <c r="AE462" i="9"/>
  <c r="AE463" i="9"/>
  <c r="AE464" i="9"/>
  <c r="AE465" i="9"/>
  <c r="AE466" i="9"/>
  <c r="AE467" i="9"/>
  <c r="AE468" i="9"/>
  <c r="AE469" i="9"/>
  <c r="AE470" i="9"/>
  <c r="AE471" i="9"/>
  <c r="AE472" i="9"/>
  <c r="AE473" i="9"/>
  <c r="AE474" i="9"/>
  <c r="AE475" i="9"/>
  <c r="AE476" i="9"/>
  <c r="AE477" i="9"/>
  <c r="AE478" i="9"/>
  <c r="AE479" i="9"/>
  <c r="AE480" i="9"/>
  <c r="AE481" i="9"/>
  <c r="AE482" i="9"/>
  <c r="AE483" i="9"/>
  <c r="AE484" i="9"/>
  <c r="AE485" i="9"/>
  <c r="AE486" i="9"/>
  <c r="AE487" i="9"/>
  <c r="AE488" i="9"/>
  <c r="AE489" i="9"/>
  <c r="AE490" i="9"/>
  <c r="AE491" i="9"/>
  <c r="AE492" i="9"/>
  <c r="AE493" i="9"/>
  <c r="AE494" i="9"/>
  <c r="AE495" i="9"/>
  <c r="AE496" i="9"/>
  <c r="AE497" i="9"/>
  <c r="AE498" i="9"/>
  <c r="AE499" i="9"/>
  <c r="AE500" i="9"/>
  <c r="AE501" i="9"/>
  <c r="AE2" i="9"/>
  <c r="AD3" i="9"/>
  <c r="AD4" i="9"/>
  <c r="AD5" i="9"/>
  <c r="AD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0" i="9"/>
  <c r="AD91" i="9"/>
  <c r="AD92" i="9"/>
  <c r="AD93" i="9"/>
  <c r="AD94" i="9"/>
  <c r="AD95" i="9"/>
  <c r="AD96" i="9"/>
  <c r="AD97" i="9"/>
  <c r="AD98" i="9"/>
  <c r="AD99" i="9"/>
  <c r="AD100" i="9"/>
  <c r="AD101" i="9"/>
  <c r="AD102" i="9"/>
  <c r="AD103" i="9"/>
  <c r="AD104" i="9"/>
  <c r="AD105" i="9"/>
  <c r="AD106" i="9"/>
  <c r="AD107" i="9"/>
  <c r="AD108" i="9"/>
  <c r="AD109" i="9"/>
  <c r="AD110" i="9"/>
  <c r="AD111" i="9"/>
  <c r="AD112" i="9"/>
  <c r="AD113" i="9"/>
  <c r="AD114" i="9"/>
  <c r="AD115" i="9"/>
  <c r="AD116" i="9"/>
  <c r="AD117" i="9"/>
  <c r="AD118" i="9"/>
  <c r="AD119" i="9"/>
  <c r="AD120" i="9"/>
  <c r="AD121" i="9"/>
  <c r="AD122" i="9"/>
  <c r="AD123" i="9"/>
  <c r="AD124" i="9"/>
  <c r="AD125" i="9"/>
  <c r="AD126" i="9"/>
  <c r="AD127" i="9"/>
  <c r="AD128" i="9"/>
  <c r="AD129" i="9"/>
  <c r="AD130" i="9"/>
  <c r="AD131" i="9"/>
  <c r="AD132" i="9"/>
  <c r="AD133" i="9"/>
  <c r="AD134" i="9"/>
  <c r="AD135" i="9"/>
  <c r="AD136" i="9"/>
  <c r="AD137" i="9"/>
  <c r="AD138" i="9"/>
  <c r="AD139" i="9"/>
  <c r="AD140" i="9"/>
  <c r="AD141" i="9"/>
  <c r="AD142" i="9"/>
  <c r="AD143" i="9"/>
  <c r="AD144" i="9"/>
  <c r="AD145" i="9"/>
  <c r="AD146" i="9"/>
  <c r="AD147" i="9"/>
  <c r="AD148" i="9"/>
  <c r="AD149" i="9"/>
  <c r="AD150" i="9"/>
  <c r="AD151" i="9"/>
  <c r="AD152" i="9"/>
  <c r="AD153" i="9"/>
  <c r="AD154" i="9"/>
  <c r="AD155" i="9"/>
  <c r="AD156" i="9"/>
  <c r="AD157" i="9"/>
  <c r="AD158" i="9"/>
  <c r="AD159" i="9"/>
  <c r="AD160" i="9"/>
  <c r="AD161" i="9"/>
  <c r="AD162" i="9"/>
  <c r="AD163" i="9"/>
  <c r="AD164" i="9"/>
  <c r="AD165" i="9"/>
  <c r="AD166" i="9"/>
  <c r="AD167" i="9"/>
  <c r="AD168" i="9"/>
  <c r="AD169" i="9"/>
  <c r="AD170" i="9"/>
  <c r="AD171" i="9"/>
  <c r="AD172" i="9"/>
  <c r="AD173" i="9"/>
  <c r="AD174" i="9"/>
  <c r="AD175" i="9"/>
  <c r="AD176" i="9"/>
  <c r="AD177" i="9"/>
  <c r="AD178" i="9"/>
  <c r="AD179" i="9"/>
  <c r="AD180" i="9"/>
  <c r="AD181" i="9"/>
  <c r="AD182" i="9"/>
  <c r="AD183" i="9"/>
  <c r="AD184" i="9"/>
  <c r="AD185" i="9"/>
  <c r="AD186" i="9"/>
  <c r="AD187" i="9"/>
  <c r="AD188" i="9"/>
  <c r="AD189" i="9"/>
  <c r="AD190" i="9"/>
  <c r="AD191" i="9"/>
  <c r="AD192" i="9"/>
  <c r="AD193" i="9"/>
  <c r="AD194" i="9"/>
  <c r="AD195" i="9"/>
  <c r="AD196" i="9"/>
  <c r="AD197" i="9"/>
  <c r="AD198" i="9"/>
  <c r="AD199" i="9"/>
  <c r="AD200" i="9"/>
  <c r="AD201" i="9"/>
  <c r="AD202" i="9"/>
  <c r="AD203" i="9"/>
  <c r="AD204" i="9"/>
  <c r="AD205" i="9"/>
  <c r="AD206" i="9"/>
  <c r="AD207" i="9"/>
  <c r="AD208" i="9"/>
  <c r="AD209" i="9"/>
  <c r="AD210" i="9"/>
  <c r="AD211" i="9"/>
  <c r="AD212" i="9"/>
  <c r="AD213" i="9"/>
  <c r="AD214" i="9"/>
  <c r="AD215" i="9"/>
  <c r="AD216" i="9"/>
  <c r="AD217" i="9"/>
  <c r="AD218" i="9"/>
  <c r="AD219" i="9"/>
  <c r="AD220" i="9"/>
  <c r="AD221" i="9"/>
  <c r="AD222" i="9"/>
  <c r="AD223" i="9"/>
  <c r="AD224" i="9"/>
  <c r="AD225" i="9"/>
  <c r="AD226" i="9"/>
  <c r="AD227" i="9"/>
  <c r="AD228" i="9"/>
  <c r="AD229" i="9"/>
  <c r="AD230" i="9"/>
  <c r="AD231" i="9"/>
  <c r="AD232" i="9"/>
  <c r="AD233" i="9"/>
  <c r="AD234" i="9"/>
  <c r="AD235" i="9"/>
  <c r="AD236" i="9"/>
  <c r="AD237" i="9"/>
  <c r="AD238" i="9"/>
  <c r="AD239" i="9"/>
  <c r="AD240" i="9"/>
  <c r="AD241" i="9"/>
  <c r="AD242" i="9"/>
  <c r="AD243" i="9"/>
  <c r="AD244" i="9"/>
  <c r="AD245" i="9"/>
  <c r="AD246" i="9"/>
  <c r="AD247" i="9"/>
  <c r="AD248" i="9"/>
  <c r="AD249" i="9"/>
  <c r="AD250" i="9"/>
  <c r="AD251" i="9"/>
  <c r="AD252" i="9"/>
  <c r="AD253" i="9"/>
  <c r="AD254" i="9"/>
  <c r="AD255" i="9"/>
  <c r="AD256" i="9"/>
  <c r="AD257" i="9"/>
  <c r="AD258" i="9"/>
  <c r="AD259" i="9"/>
  <c r="AD260" i="9"/>
  <c r="AD261" i="9"/>
  <c r="AD262" i="9"/>
  <c r="AD263" i="9"/>
  <c r="AD264" i="9"/>
  <c r="AD265" i="9"/>
  <c r="AD266" i="9"/>
  <c r="AD267" i="9"/>
  <c r="AD268" i="9"/>
  <c r="AD269" i="9"/>
  <c r="AD270" i="9"/>
  <c r="AD271" i="9"/>
  <c r="AD272" i="9"/>
  <c r="AD273" i="9"/>
  <c r="AD274" i="9"/>
  <c r="AD275" i="9"/>
  <c r="AD276" i="9"/>
  <c r="AD277" i="9"/>
  <c r="AD278" i="9"/>
  <c r="AD279" i="9"/>
  <c r="AD280" i="9"/>
  <c r="AD281" i="9"/>
  <c r="AD282" i="9"/>
  <c r="AD283" i="9"/>
  <c r="AD284" i="9"/>
  <c r="AD285" i="9"/>
  <c r="AD286" i="9"/>
  <c r="AD287" i="9"/>
  <c r="AD288" i="9"/>
  <c r="AD289" i="9"/>
  <c r="AD290" i="9"/>
  <c r="AD291" i="9"/>
  <c r="AD292" i="9"/>
  <c r="AD293" i="9"/>
  <c r="AD294" i="9"/>
  <c r="AD295" i="9"/>
  <c r="AD296" i="9"/>
  <c r="AD297" i="9"/>
  <c r="AD298" i="9"/>
  <c r="AD299" i="9"/>
  <c r="AD300" i="9"/>
  <c r="AD301" i="9"/>
  <c r="AD302" i="9"/>
  <c r="AD303" i="9"/>
  <c r="AD304" i="9"/>
  <c r="AD305" i="9"/>
  <c r="AD306" i="9"/>
  <c r="AD307" i="9"/>
  <c r="AD308" i="9"/>
  <c r="AD309" i="9"/>
  <c r="AD310" i="9"/>
  <c r="AD311" i="9"/>
  <c r="AD312" i="9"/>
  <c r="AD313" i="9"/>
  <c r="AD314" i="9"/>
  <c r="AD315" i="9"/>
  <c r="AD316" i="9"/>
  <c r="AD317" i="9"/>
  <c r="AD318" i="9"/>
  <c r="AD319" i="9"/>
  <c r="AD320" i="9"/>
  <c r="AD321" i="9"/>
  <c r="AD322" i="9"/>
  <c r="AD323" i="9"/>
  <c r="AD324" i="9"/>
  <c r="AD325" i="9"/>
  <c r="AD326" i="9"/>
  <c r="AD327" i="9"/>
  <c r="AD328" i="9"/>
  <c r="AD329" i="9"/>
  <c r="AD330" i="9"/>
  <c r="AD331" i="9"/>
  <c r="AD332" i="9"/>
  <c r="AD333" i="9"/>
  <c r="AD334" i="9"/>
  <c r="AD335" i="9"/>
  <c r="AD336" i="9"/>
  <c r="AD337" i="9"/>
  <c r="AD338" i="9"/>
  <c r="AD339" i="9"/>
  <c r="AD340" i="9"/>
  <c r="AD341" i="9"/>
  <c r="AD342" i="9"/>
  <c r="AD343" i="9"/>
  <c r="AD344" i="9"/>
  <c r="AD345" i="9"/>
  <c r="AD346" i="9"/>
  <c r="AD347" i="9"/>
  <c r="AD348" i="9"/>
  <c r="AD349" i="9"/>
  <c r="AD350" i="9"/>
  <c r="AD351" i="9"/>
  <c r="AD352" i="9"/>
  <c r="AD353" i="9"/>
  <c r="AD354" i="9"/>
  <c r="AD355" i="9"/>
  <c r="AD356" i="9"/>
  <c r="AD357" i="9"/>
  <c r="AD358" i="9"/>
  <c r="AD359" i="9"/>
  <c r="AD360" i="9"/>
  <c r="AD361" i="9"/>
  <c r="AD362" i="9"/>
  <c r="AD363" i="9"/>
  <c r="AD364" i="9"/>
  <c r="AD365" i="9"/>
  <c r="AD366" i="9"/>
  <c r="AD367" i="9"/>
  <c r="AD368" i="9"/>
  <c r="AD369" i="9"/>
  <c r="AD370" i="9"/>
  <c r="AD371" i="9"/>
  <c r="AD372" i="9"/>
  <c r="AD373" i="9"/>
  <c r="AD374" i="9"/>
  <c r="AD375" i="9"/>
  <c r="AD376" i="9"/>
  <c r="AD377" i="9"/>
  <c r="AD378" i="9"/>
  <c r="AD379" i="9"/>
  <c r="AD380" i="9"/>
  <c r="AD381" i="9"/>
  <c r="AD382" i="9"/>
  <c r="AD383" i="9"/>
  <c r="AD384" i="9"/>
  <c r="AD385" i="9"/>
  <c r="AD386" i="9"/>
  <c r="AD387" i="9"/>
  <c r="AD388" i="9"/>
  <c r="AD389" i="9"/>
  <c r="AD390" i="9"/>
  <c r="AD391" i="9"/>
  <c r="AD392" i="9"/>
  <c r="AD393" i="9"/>
  <c r="AD394" i="9"/>
  <c r="AD395" i="9"/>
  <c r="AD396" i="9"/>
  <c r="AD397" i="9"/>
  <c r="AD398" i="9"/>
  <c r="AD399" i="9"/>
  <c r="AD400" i="9"/>
  <c r="AD401" i="9"/>
  <c r="AD402" i="9"/>
  <c r="AD403" i="9"/>
  <c r="AD404" i="9"/>
  <c r="AD405" i="9"/>
  <c r="AD406" i="9"/>
  <c r="AD407" i="9"/>
  <c r="AD408" i="9"/>
  <c r="AD409" i="9"/>
  <c r="AD410" i="9"/>
  <c r="AD411" i="9"/>
  <c r="AD412" i="9"/>
  <c r="AD413" i="9"/>
  <c r="AD414" i="9"/>
  <c r="AD415" i="9"/>
  <c r="AD416" i="9"/>
  <c r="AD417" i="9"/>
  <c r="AD418" i="9"/>
  <c r="AD419" i="9"/>
  <c r="AD420" i="9"/>
  <c r="AD421" i="9"/>
  <c r="AD422" i="9"/>
  <c r="AD423" i="9"/>
  <c r="AD424" i="9"/>
  <c r="AD425" i="9"/>
  <c r="AD426" i="9"/>
  <c r="AD427" i="9"/>
  <c r="AD428" i="9"/>
  <c r="AD429" i="9"/>
  <c r="AD430" i="9"/>
  <c r="AD431" i="9"/>
  <c r="AD432" i="9"/>
  <c r="AD433" i="9"/>
  <c r="AD434" i="9"/>
  <c r="AD435" i="9"/>
  <c r="AD436" i="9"/>
  <c r="AD437" i="9"/>
  <c r="AD438" i="9"/>
  <c r="AD439" i="9"/>
  <c r="AD440" i="9"/>
  <c r="AD441" i="9"/>
  <c r="AD442" i="9"/>
  <c r="AD443" i="9"/>
  <c r="AD444" i="9"/>
  <c r="AD445" i="9"/>
  <c r="AD446" i="9"/>
  <c r="AD447" i="9"/>
  <c r="AD448" i="9"/>
  <c r="AD449" i="9"/>
  <c r="AD450" i="9"/>
  <c r="AD451" i="9"/>
  <c r="AD452" i="9"/>
  <c r="AD453" i="9"/>
  <c r="AD454" i="9"/>
  <c r="AD455" i="9"/>
  <c r="AD456" i="9"/>
  <c r="AD457" i="9"/>
  <c r="AD458" i="9"/>
  <c r="AD459" i="9"/>
  <c r="AD460" i="9"/>
  <c r="AD461" i="9"/>
  <c r="AD462" i="9"/>
  <c r="AD463" i="9"/>
  <c r="AD464" i="9"/>
  <c r="AD465" i="9"/>
  <c r="AD466" i="9"/>
  <c r="AD467" i="9"/>
  <c r="AD468" i="9"/>
  <c r="AD469" i="9"/>
  <c r="AD470" i="9"/>
  <c r="AD471" i="9"/>
  <c r="AD472" i="9"/>
  <c r="AD473" i="9"/>
  <c r="AD474" i="9"/>
  <c r="AD475" i="9"/>
  <c r="AD476" i="9"/>
  <c r="AD477" i="9"/>
  <c r="AD478" i="9"/>
  <c r="AD479" i="9"/>
  <c r="AD480" i="9"/>
  <c r="AD481" i="9"/>
  <c r="AD482" i="9"/>
  <c r="AD483" i="9"/>
  <c r="AD484" i="9"/>
  <c r="AD485" i="9"/>
  <c r="AD486" i="9"/>
  <c r="AD487" i="9"/>
  <c r="AD488" i="9"/>
  <c r="AD489" i="9"/>
  <c r="AD490" i="9"/>
  <c r="AD491" i="9"/>
  <c r="AD492" i="9"/>
  <c r="AD493" i="9"/>
  <c r="AD494" i="9"/>
  <c r="AD495" i="9"/>
  <c r="AD496" i="9"/>
  <c r="AD497" i="9"/>
  <c r="AD498" i="9"/>
  <c r="AD499" i="9"/>
  <c r="AD500" i="9"/>
  <c r="AD501" i="9"/>
  <c r="AD2" i="9"/>
  <c r="AC2" i="9"/>
  <c r="AC3" i="9"/>
  <c r="AC4" i="9"/>
  <c r="AC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C140" i="9"/>
  <c r="AC141" i="9"/>
  <c r="AC142" i="9"/>
  <c r="AC143" i="9"/>
  <c r="AC144" i="9"/>
  <c r="AC145" i="9"/>
  <c r="AC146" i="9"/>
  <c r="AC147" i="9"/>
  <c r="AC148" i="9"/>
  <c r="AC149" i="9"/>
  <c r="AC150" i="9"/>
  <c r="AC151" i="9"/>
  <c r="AC152" i="9"/>
  <c r="AC153" i="9"/>
  <c r="AC154" i="9"/>
  <c r="AC155" i="9"/>
  <c r="AC156" i="9"/>
  <c r="AC157" i="9"/>
  <c r="AC158" i="9"/>
  <c r="AC159" i="9"/>
  <c r="AC160" i="9"/>
  <c r="AC161" i="9"/>
  <c r="AC162" i="9"/>
  <c r="AC163" i="9"/>
  <c r="AC164" i="9"/>
  <c r="AC165" i="9"/>
  <c r="AC166" i="9"/>
  <c r="AC167" i="9"/>
  <c r="AC168" i="9"/>
  <c r="AC169" i="9"/>
  <c r="AC170" i="9"/>
  <c r="AC171" i="9"/>
  <c r="AC172" i="9"/>
  <c r="AC173" i="9"/>
  <c r="AC174" i="9"/>
  <c r="AC175" i="9"/>
  <c r="AC176" i="9"/>
  <c r="AC177" i="9"/>
  <c r="AC178" i="9"/>
  <c r="AC179" i="9"/>
  <c r="AC180" i="9"/>
  <c r="AC181" i="9"/>
  <c r="AC182" i="9"/>
  <c r="AC183" i="9"/>
  <c r="AC184" i="9"/>
  <c r="AC185" i="9"/>
  <c r="AC186" i="9"/>
  <c r="AC187" i="9"/>
  <c r="AC188" i="9"/>
  <c r="AC189" i="9"/>
  <c r="AC190" i="9"/>
  <c r="AC191" i="9"/>
  <c r="AC192" i="9"/>
  <c r="AC193" i="9"/>
  <c r="AC194" i="9"/>
  <c r="AC195" i="9"/>
  <c r="AC196" i="9"/>
  <c r="AC197" i="9"/>
  <c r="AC198" i="9"/>
  <c r="AC199" i="9"/>
  <c r="AC200" i="9"/>
  <c r="AC201" i="9"/>
  <c r="AC202" i="9"/>
  <c r="AC203" i="9"/>
  <c r="AC204" i="9"/>
  <c r="AC205" i="9"/>
  <c r="AC206" i="9"/>
  <c r="AC207" i="9"/>
  <c r="AC208" i="9"/>
  <c r="AC209" i="9"/>
  <c r="AC210" i="9"/>
  <c r="AC211" i="9"/>
  <c r="AC212" i="9"/>
  <c r="AC213" i="9"/>
  <c r="AC214" i="9"/>
  <c r="AC215" i="9"/>
  <c r="AC216" i="9"/>
  <c r="AC217" i="9"/>
  <c r="AC218" i="9"/>
  <c r="AC219" i="9"/>
  <c r="AC220" i="9"/>
  <c r="AC221" i="9"/>
  <c r="AC222" i="9"/>
  <c r="AC223" i="9"/>
  <c r="AC224" i="9"/>
  <c r="AC225" i="9"/>
  <c r="AC226" i="9"/>
  <c r="AC227" i="9"/>
  <c r="AC228" i="9"/>
  <c r="AC229" i="9"/>
  <c r="AC230" i="9"/>
  <c r="AC231" i="9"/>
  <c r="AC232" i="9"/>
  <c r="AC233" i="9"/>
  <c r="AC234" i="9"/>
  <c r="AC235" i="9"/>
  <c r="AC236" i="9"/>
  <c r="AC237" i="9"/>
  <c r="AC238" i="9"/>
  <c r="AC239" i="9"/>
  <c r="AC240" i="9"/>
  <c r="AC241" i="9"/>
  <c r="AC242" i="9"/>
  <c r="AC243" i="9"/>
  <c r="AC244" i="9"/>
  <c r="AC245" i="9"/>
  <c r="AC246" i="9"/>
  <c r="AC247" i="9"/>
  <c r="AC248" i="9"/>
  <c r="AC249" i="9"/>
  <c r="AC250" i="9"/>
  <c r="AC251" i="9"/>
  <c r="AC252" i="9"/>
  <c r="AC253" i="9"/>
  <c r="AC254" i="9"/>
  <c r="AC255" i="9"/>
  <c r="AC256" i="9"/>
  <c r="AC257" i="9"/>
  <c r="AC258" i="9"/>
  <c r="AC259" i="9"/>
  <c r="AC260" i="9"/>
  <c r="AC261" i="9"/>
  <c r="AC262" i="9"/>
  <c r="AC263" i="9"/>
  <c r="AC264" i="9"/>
  <c r="AC265" i="9"/>
  <c r="AC266" i="9"/>
  <c r="AC267" i="9"/>
  <c r="AC268" i="9"/>
  <c r="AC269" i="9"/>
  <c r="AC270" i="9"/>
  <c r="AC271" i="9"/>
  <c r="AC272" i="9"/>
  <c r="AC273" i="9"/>
  <c r="AC274" i="9"/>
  <c r="AC275" i="9"/>
  <c r="AC276" i="9"/>
  <c r="AC277" i="9"/>
  <c r="AC278" i="9"/>
  <c r="AC279" i="9"/>
  <c r="AC280" i="9"/>
  <c r="AC281" i="9"/>
  <c r="AC282" i="9"/>
  <c r="AC283" i="9"/>
  <c r="AC284" i="9"/>
  <c r="AC285" i="9"/>
  <c r="AC286" i="9"/>
  <c r="AC287" i="9"/>
  <c r="AC288" i="9"/>
  <c r="AC289" i="9"/>
  <c r="AC290" i="9"/>
  <c r="AC291" i="9"/>
  <c r="AC292" i="9"/>
  <c r="AC293" i="9"/>
  <c r="AC294" i="9"/>
  <c r="AC295" i="9"/>
  <c r="AC296" i="9"/>
  <c r="AC297" i="9"/>
  <c r="AC298" i="9"/>
  <c r="AC299" i="9"/>
  <c r="AC300" i="9"/>
  <c r="AC301" i="9"/>
  <c r="AC302" i="9"/>
  <c r="AC303" i="9"/>
  <c r="AC304" i="9"/>
  <c r="AC305" i="9"/>
  <c r="AC306" i="9"/>
  <c r="AC307" i="9"/>
  <c r="AC308" i="9"/>
  <c r="AC309" i="9"/>
  <c r="AC310" i="9"/>
  <c r="AC311" i="9"/>
  <c r="AC312" i="9"/>
  <c r="AC313" i="9"/>
  <c r="AC314" i="9"/>
  <c r="AC315" i="9"/>
  <c r="AC316" i="9"/>
  <c r="AC317" i="9"/>
  <c r="AC318" i="9"/>
  <c r="AC319" i="9"/>
  <c r="AC320" i="9"/>
  <c r="AC321" i="9"/>
  <c r="AC322" i="9"/>
  <c r="AC323" i="9"/>
  <c r="AC324" i="9"/>
  <c r="AC325" i="9"/>
  <c r="AC326" i="9"/>
  <c r="AC327" i="9"/>
  <c r="AC328" i="9"/>
  <c r="AC329" i="9"/>
  <c r="AC330" i="9"/>
  <c r="AC331" i="9"/>
  <c r="AC332" i="9"/>
  <c r="AC333" i="9"/>
  <c r="AC334" i="9"/>
  <c r="AC335" i="9"/>
  <c r="AC336" i="9"/>
  <c r="AC337" i="9"/>
  <c r="AC338" i="9"/>
  <c r="AC339" i="9"/>
  <c r="AC340" i="9"/>
  <c r="AC341" i="9"/>
  <c r="AC342" i="9"/>
  <c r="AC343" i="9"/>
  <c r="AC344" i="9"/>
  <c r="AC345" i="9"/>
  <c r="AC346" i="9"/>
  <c r="AC347" i="9"/>
  <c r="AC348" i="9"/>
  <c r="AC349" i="9"/>
  <c r="AC350" i="9"/>
  <c r="AC351" i="9"/>
  <c r="AC352" i="9"/>
  <c r="AC353" i="9"/>
  <c r="AC354" i="9"/>
  <c r="AC355" i="9"/>
  <c r="AC356" i="9"/>
  <c r="AC357" i="9"/>
  <c r="AC358" i="9"/>
  <c r="AC359" i="9"/>
  <c r="AC360" i="9"/>
  <c r="AC361" i="9"/>
  <c r="AC362" i="9"/>
  <c r="AC363" i="9"/>
  <c r="AC364" i="9"/>
  <c r="AC365" i="9"/>
  <c r="AC366" i="9"/>
  <c r="AC367" i="9"/>
  <c r="AC368" i="9"/>
  <c r="AC369" i="9"/>
  <c r="AC370" i="9"/>
  <c r="AC371" i="9"/>
  <c r="AC372" i="9"/>
  <c r="AC373" i="9"/>
  <c r="AC374" i="9"/>
  <c r="AC375" i="9"/>
  <c r="AC376" i="9"/>
  <c r="AC377" i="9"/>
  <c r="AC378" i="9"/>
  <c r="AC379" i="9"/>
  <c r="AC380" i="9"/>
  <c r="AC381" i="9"/>
  <c r="AC382" i="9"/>
  <c r="AC383" i="9"/>
  <c r="AC384" i="9"/>
  <c r="AC385" i="9"/>
  <c r="AC386" i="9"/>
  <c r="AC387" i="9"/>
  <c r="AC388" i="9"/>
  <c r="AC389" i="9"/>
  <c r="AC390" i="9"/>
  <c r="AC391" i="9"/>
  <c r="AC392" i="9"/>
  <c r="AC393" i="9"/>
  <c r="AC394" i="9"/>
  <c r="AC395" i="9"/>
  <c r="AC396" i="9"/>
  <c r="AC397" i="9"/>
  <c r="AC398" i="9"/>
  <c r="AC399" i="9"/>
  <c r="AC400" i="9"/>
  <c r="AC401" i="9"/>
  <c r="AC402" i="9"/>
  <c r="AC403" i="9"/>
  <c r="AC404" i="9"/>
  <c r="AC405" i="9"/>
  <c r="AC406" i="9"/>
  <c r="AC407" i="9"/>
  <c r="AC408" i="9"/>
  <c r="AC409" i="9"/>
  <c r="AC410" i="9"/>
  <c r="AC411" i="9"/>
  <c r="AC412" i="9"/>
  <c r="AC413" i="9"/>
  <c r="AC414" i="9"/>
  <c r="AC415" i="9"/>
  <c r="AC416" i="9"/>
  <c r="AC417" i="9"/>
  <c r="AC418" i="9"/>
  <c r="AC419" i="9"/>
  <c r="AC420" i="9"/>
  <c r="AC421" i="9"/>
  <c r="AC422" i="9"/>
  <c r="AC423" i="9"/>
  <c r="AC424" i="9"/>
  <c r="AC425" i="9"/>
  <c r="AC426" i="9"/>
  <c r="AC427" i="9"/>
  <c r="AC428" i="9"/>
  <c r="AC429" i="9"/>
  <c r="AC430" i="9"/>
  <c r="AC431" i="9"/>
  <c r="AC432" i="9"/>
  <c r="AC433" i="9"/>
  <c r="AC434" i="9"/>
  <c r="AC435" i="9"/>
  <c r="AC436" i="9"/>
  <c r="AC437" i="9"/>
  <c r="AC438" i="9"/>
  <c r="AC439" i="9"/>
  <c r="AC440" i="9"/>
  <c r="AC441" i="9"/>
  <c r="AC442" i="9"/>
  <c r="AC443" i="9"/>
  <c r="AC444" i="9"/>
  <c r="AC445" i="9"/>
  <c r="AC446" i="9"/>
  <c r="AC447" i="9"/>
  <c r="AC448" i="9"/>
  <c r="AC449" i="9"/>
  <c r="AC450" i="9"/>
  <c r="AC451" i="9"/>
  <c r="AC452" i="9"/>
  <c r="AC453" i="9"/>
  <c r="AC454" i="9"/>
  <c r="AC455" i="9"/>
  <c r="AC456" i="9"/>
  <c r="AC457" i="9"/>
  <c r="AC458" i="9"/>
  <c r="AC459" i="9"/>
  <c r="AC460" i="9"/>
  <c r="AC461" i="9"/>
  <c r="AC462" i="9"/>
  <c r="AC463" i="9"/>
  <c r="AC464" i="9"/>
  <c r="AC465" i="9"/>
  <c r="AC466" i="9"/>
  <c r="AC467" i="9"/>
  <c r="AC468" i="9"/>
  <c r="AC469" i="9"/>
  <c r="AC470" i="9"/>
  <c r="AC471" i="9"/>
  <c r="AC472" i="9"/>
  <c r="AC473" i="9"/>
  <c r="AC474" i="9"/>
  <c r="AC475" i="9"/>
  <c r="AC476" i="9"/>
  <c r="AC477" i="9"/>
  <c r="AC478" i="9"/>
  <c r="AC479" i="9"/>
  <c r="AC480" i="9"/>
  <c r="AC481" i="9"/>
  <c r="AC482" i="9"/>
  <c r="AC483" i="9"/>
  <c r="AC484" i="9"/>
  <c r="AC485" i="9"/>
  <c r="AC486" i="9"/>
  <c r="AC487" i="9"/>
  <c r="AC488" i="9"/>
  <c r="AC489" i="9"/>
  <c r="AC490" i="9"/>
  <c r="AC491" i="9"/>
  <c r="AC492" i="9"/>
  <c r="AC493" i="9"/>
  <c r="AC494" i="9"/>
  <c r="AC495" i="9"/>
  <c r="AC496" i="9"/>
  <c r="AC497" i="9"/>
  <c r="AC498" i="9"/>
  <c r="AC499" i="9"/>
  <c r="AC500" i="9"/>
  <c r="AC501" i="9"/>
  <c r="AB3" i="9"/>
  <c r="AB4" i="9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122" i="9"/>
  <c r="AB123" i="9"/>
  <c r="AB124" i="9"/>
  <c r="AB125" i="9"/>
  <c r="AB126" i="9"/>
  <c r="AB127" i="9"/>
  <c r="AB128" i="9"/>
  <c r="AB129" i="9"/>
  <c r="AB130" i="9"/>
  <c r="AB131" i="9"/>
  <c r="AB132" i="9"/>
  <c r="AB133" i="9"/>
  <c r="AB134" i="9"/>
  <c r="AB135" i="9"/>
  <c r="AB136" i="9"/>
  <c r="AB137" i="9"/>
  <c r="AB138" i="9"/>
  <c r="AB139" i="9"/>
  <c r="AB140" i="9"/>
  <c r="AB141" i="9"/>
  <c r="AB142" i="9"/>
  <c r="AB143" i="9"/>
  <c r="AB144" i="9"/>
  <c r="AB145" i="9"/>
  <c r="AB146" i="9"/>
  <c r="AB147" i="9"/>
  <c r="AB148" i="9"/>
  <c r="AB149" i="9"/>
  <c r="AB150" i="9"/>
  <c r="AB151" i="9"/>
  <c r="AB152" i="9"/>
  <c r="AB153" i="9"/>
  <c r="AB154" i="9"/>
  <c r="AB155" i="9"/>
  <c r="AB156" i="9"/>
  <c r="AB157" i="9"/>
  <c r="AB158" i="9"/>
  <c r="AB159" i="9"/>
  <c r="AB160" i="9"/>
  <c r="AB161" i="9"/>
  <c r="AB162" i="9"/>
  <c r="AB163" i="9"/>
  <c r="AB164" i="9"/>
  <c r="AB165" i="9"/>
  <c r="AB166" i="9"/>
  <c r="AB167" i="9"/>
  <c r="AB168" i="9"/>
  <c r="AB169" i="9"/>
  <c r="AB170" i="9"/>
  <c r="AB171" i="9"/>
  <c r="AB172" i="9"/>
  <c r="AB173" i="9"/>
  <c r="AB174" i="9"/>
  <c r="AB175" i="9"/>
  <c r="AB176" i="9"/>
  <c r="AB177" i="9"/>
  <c r="AB178" i="9"/>
  <c r="AB179" i="9"/>
  <c r="AB180" i="9"/>
  <c r="AB181" i="9"/>
  <c r="AB182" i="9"/>
  <c r="AB183" i="9"/>
  <c r="AB184" i="9"/>
  <c r="AB185" i="9"/>
  <c r="AB186" i="9"/>
  <c r="AB187" i="9"/>
  <c r="AB188" i="9"/>
  <c r="AB189" i="9"/>
  <c r="AB190" i="9"/>
  <c r="AB191" i="9"/>
  <c r="AB192" i="9"/>
  <c r="AB193" i="9"/>
  <c r="AB194" i="9"/>
  <c r="AB195" i="9"/>
  <c r="AB196" i="9"/>
  <c r="AB197" i="9"/>
  <c r="AB198" i="9"/>
  <c r="AB199" i="9"/>
  <c r="AB200" i="9"/>
  <c r="AB201" i="9"/>
  <c r="AB202" i="9"/>
  <c r="AB203" i="9"/>
  <c r="AB204" i="9"/>
  <c r="AB205" i="9"/>
  <c r="AB206" i="9"/>
  <c r="AB207" i="9"/>
  <c r="AB208" i="9"/>
  <c r="AB209" i="9"/>
  <c r="AB210" i="9"/>
  <c r="AB211" i="9"/>
  <c r="AB212" i="9"/>
  <c r="AB213" i="9"/>
  <c r="AB214" i="9"/>
  <c r="AB215" i="9"/>
  <c r="AB216" i="9"/>
  <c r="AB217" i="9"/>
  <c r="AB218" i="9"/>
  <c r="AB219" i="9"/>
  <c r="AB220" i="9"/>
  <c r="AB221" i="9"/>
  <c r="AB222" i="9"/>
  <c r="AB223" i="9"/>
  <c r="AB224" i="9"/>
  <c r="AB225" i="9"/>
  <c r="AB226" i="9"/>
  <c r="AB227" i="9"/>
  <c r="AB228" i="9"/>
  <c r="AB229" i="9"/>
  <c r="AB230" i="9"/>
  <c r="AB231" i="9"/>
  <c r="AB232" i="9"/>
  <c r="AB233" i="9"/>
  <c r="AB234" i="9"/>
  <c r="AB235" i="9"/>
  <c r="AB236" i="9"/>
  <c r="AB237" i="9"/>
  <c r="AB238" i="9"/>
  <c r="AB239" i="9"/>
  <c r="AB240" i="9"/>
  <c r="AB241" i="9"/>
  <c r="AB242" i="9"/>
  <c r="AB243" i="9"/>
  <c r="AB244" i="9"/>
  <c r="AB245" i="9"/>
  <c r="AB246" i="9"/>
  <c r="AB247" i="9"/>
  <c r="AB248" i="9"/>
  <c r="AB249" i="9"/>
  <c r="AB250" i="9"/>
  <c r="AB251" i="9"/>
  <c r="AB252" i="9"/>
  <c r="AB253" i="9"/>
  <c r="AB254" i="9"/>
  <c r="AB255" i="9"/>
  <c r="AB256" i="9"/>
  <c r="AB257" i="9"/>
  <c r="AB258" i="9"/>
  <c r="AB259" i="9"/>
  <c r="AB260" i="9"/>
  <c r="AB261" i="9"/>
  <c r="AB262" i="9"/>
  <c r="AB263" i="9"/>
  <c r="AB264" i="9"/>
  <c r="AB265" i="9"/>
  <c r="AB266" i="9"/>
  <c r="AB267" i="9"/>
  <c r="AB268" i="9"/>
  <c r="AB269" i="9"/>
  <c r="AB270" i="9"/>
  <c r="AB271" i="9"/>
  <c r="AB272" i="9"/>
  <c r="AB273" i="9"/>
  <c r="AB274" i="9"/>
  <c r="AB275" i="9"/>
  <c r="AB276" i="9"/>
  <c r="AB277" i="9"/>
  <c r="AB278" i="9"/>
  <c r="AB279" i="9"/>
  <c r="AB280" i="9"/>
  <c r="AB281" i="9"/>
  <c r="AB282" i="9"/>
  <c r="AB283" i="9"/>
  <c r="AB284" i="9"/>
  <c r="AB285" i="9"/>
  <c r="AB286" i="9"/>
  <c r="AB287" i="9"/>
  <c r="AB288" i="9"/>
  <c r="AB289" i="9"/>
  <c r="AB290" i="9"/>
  <c r="AB291" i="9"/>
  <c r="AB292" i="9"/>
  <c r="AB293" i="9"/>
  <c r="AB294" i="9"/>
  <c r="AB295" i="9"/>
  <c r="AB296" i="9"/>
  <c r="AB297" i="9"/>
  <c r="AB298" i="9"/>
  <c r="AB299" i="9"/>
  <c r="AB300" i="9"/>
  <c r="AB301" i="9"/>
  <c r="AB302" i="9"/>
  <c r="AB303" i="9"/>
  <c r="AB304" i="9"/>
  <c r="AB305" i="9"/>
  <c r="AB306" i="9"/>
  <c r="AB307" i="9"/>
  <c r="AB308" i="9"/>
  <c r="AB309" i="9"/>
  <c r="AB310" i="9"/>
  <c r="AB311" i="9"/>
  <c r="AB312" i="9"/>
  <c r="AB313" i="9"/>
  <c r="AB314" i="9"/>
  <c r="AB315" i="9"/>
  <c r="AB316" i="9"/>
  <c r="AB317" i="9"/>
  <c r="AB318" i="9"/>
  <c r="AB319" i="9"/>
  <c r="AB320" i="9"/>
  <c r="AB321" i="9"/>
  <c r="AB322" i="9"/>
  <c r="AB323" i="9"/>
  <c r="AB324" i="9"/>
  <c r="AB325" i="9"/>
  <c r="AB326" i="9"/>
  <c r="AB327" i="9"/>
  <c r="AB328" i="9"/>
  <c r="AB329" i="9"/>
  <c r="AB330" i="9"/>
  <c r="AB331" i="9"/>
  <c r="AB332" i="9"/>
  <c r="AB333" i="9"/>
  <c r="AB334" i="9"/>
  <c r="AB335" i="9"/>
  <c r="AB336" i="9"/>
  <c r="AB337" i="9"/>
  <c r="AB338" i="9"/>
  <c r="AB339" i="9"/>
  <c r="AB340" i="9"/>
  <c r="AB341" i="9"/>
  <c r="AB342" i="9"/>
  <c r="AB343" i="9"/>
  <c r="AB344" i="9"/>
  <c r="AB345" i="9"/>
  <c r="AB346" i="9"/>
  <c r="AB347" i="9"/>
  <c r="AB348" i="9"/>
  <c r="AB349" i="9"/>
  <c r="AB350" i="9"/>
  <c r="AB351" i="9"/>
  <c r="AB352" i="9"/>
  <c r="AB353" i="9"/>
  <c r="AB354" i="9"/>
  <c r="AB355" i="9"/>
  <c r="AB356" i="9"/>
  <c r="AB357" i="9"/>
  <c r="AB358" i="9"/>
  <c r="AB359" i="9"/>
  <c r="AB360" i="9"/>
  <c r="AB361" i="9"/>
  <c r="AB362" i="9"/>
  <c r="AB363" i="9"/>
  <c r="AB364" i="9"/>
  <c r="AB365" i="9"/>
  <c r="AB366" i="9"/>
  <c r="AB367" i="9"/>
  <c r="AB368" i="9"/>
  <c r="AB369" i="9"/>
  <c r="AB370" i="9"/>
  <c r="AB371" i="9"/>
  <c r="AB372" i="9"/>
  <c r="AB373" i="9"/>
  <c r="AB374" i="9"/>
  <c r="AB375" i="9"/>
  <c r="AB376" i="9"/>
  <c r="AB377" i="9"/>
  <c r="AB378" i="9"/>
  <c r="AB379" i="9"/>
  <c r="AB380" i="9"/>
  <c r="AB381" i="9"/>
  <c r="AB382" i="9"/>
  <c r="AB383" i="9"/>
  <c r="AB384" i="9"/>
  <c r="AB385" i="9"/>
  <c r="AB386" i="9"/>
  <c r="AB387" i="9"/>
  <c r="AB388" i="9"/>
  <c r="AB389" i="9"/>
  <c r="AB390" i="9"/>
  <c r="AB391" i="9"/>
  <c r="AB392" i="9"/>
  <c r="AB393" i="9"/>
  <c r="AB394" i="9"/>
  <c r="AB395" i="9"/>
  <c r="AB396" i="9"/>
  <c r="AB397" i="9"/>
  <c r="AB398" i="9"/>
  <c r="AB399" i="9"/>
  <c r="AB400" i="9"/>
  <c r="AB401" i="9"/>
  <c r="AB402" i="9"/>
  <c r="AB403" i="9"/>
  <c r="AB404" i="9"/>
  <c r="AB405" i="9"/>
  <c r="AB406" i="9"/>
  <c r="AB407" i="9"/>
  <c r="AB408" i="9"/>
  <c r="AB409" i="9"/>
  <c r="AB410" i="9"/>
  <c r="AB411" i="9"/>
  <c r="AB412" i="9"/>
  <c r="AB413" i="9"/>
  <c r="AB414" i="9"/>
  <c r="AB415" i="9"/>
  <c r="AB416" i="9"/>
  <c r="AB417" i="9"/>
  <c r="AB418" i="9"/>
  <c r="AB419" i="9"/>
  <c r="AB420" i="9"/>
  <c r="AB421" i="9"/>
  <c r="AB422" i="9"/>
  <c r="AB423" i="9"/>
  <c r="AB424" i="9"/>
  <c r="AB425" i="9"/>
  <c r="AB426" i="9"/>
  <c r="AB427" i="9"/>
  <c r="AB428" i="9"/>
  <c r="AB429" i="9"/>
  <c r="AB430" i="9"/>
  <c r="AB431" i="9"/>
  <c r="AB432" i="9"/>
  <c r="AB433" i="9"/>
  <c r="AB434" i="9"/>
  <c r="AB435" i="9"/>
  <c r="AB436" i="9"/>
  <c r="AB437" i="9"/>
  <c r="AB438" i="9"/>
  <c r="AB439" i="9"/>
  <c r="AB440" i="9"/>
  <c r="AB441" i="9"/>
  <c r="AB442" i="9"/>
  <c r="AB443" i="9"/>
  <c r="AB444" i="9"/>
  <c r="AB445" i="9"/>
  <c r="AB446" i="9"/>
  <c r="AB447" i="9"/>
  <c r="AB448" i="9"/>
  <c r="AB449" i="9"/>
  <c r="AB450" i="9"/>
  <c r="AB451" i="9"/>
  <c r="AB452" i="9"/>
  <c r="AB453" i="9"/>
  <c r="AB454" i="9"/>
  <c r="AB455" i="9"/>
  <c r="AB456" i="9"/>
  <c r="AB457" i="9"/>
  <c r="AB458" i="9"/>
  <c r="AB459" i="9"/>
  <c r="AB460" i="9"/>
  <c r="AB461" i="9"/>
  <c r="AB462" i="9"/>
  <c r="AB463" i="9"/>
  <c r="AB464" i="9"/>
  <c r="AB465" i="9"/>
  <c r="AB466" i="9"/>
  <c r="AB467" i="9"/>
  <c r="AB468" i="9"/>
  <c r="AB469" i="9"/>
  <c r="AB470" i="9"/>
  <c r="AB471" i="9"/>
  <c r="AB472" i="9"/>
  <c r="AB473" i="9"/>
  <c r="AB474" i="9"/>
  <c r="AB475" i="9"/>
  <c r="AB476" i="9"/>
  <c r="AB477" i="9"/>
  <c r="AB478" i="9"/>
  <c r="AB479" i="9"/>
  <c r="AB480" i="9"/>
  <c r="AB481" i="9"/>
  <c r="AB482" i="9"/>
  <c r="AB483" i="9"/>
  <c r="AB484" i="9"/>
  <c r="AB485" i="9"/>
  <c r="AB486" i="9"/>
  <c r="AB487" i="9"/>
  <c r="AB488" i="9"/>
  <c r="AB489" i="9"/>
  <c r="AB490" i="9"/>
  <c r="AB491" i="9"/>
  <c r="AB492" i="9"/>
  <c r="AB493" i="9"/>
  <c r="AB494" i="9"/>
  <c r="AB495" i="9"/>
  <c r="AB496" i="9"/>
  <c r="AB497" i="9"/>
  <c r="AB498" i="9"/>
  <c r="AB499" i="9"/>
  <c r="AB500" i="9"/>
  <c r="AB501" i="9"/>
  <c r="AB2" i="9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05" i="9"/>
  <c r="AA106" i="9"/>
  <c r="AA107" i="9"/>
  <c r="AA108" i="9"/>
  <c r="AA109" i="9"/>
  <c r="AA110" i="9"/>
  <c r="AA111" i="9"/>
  <c r="AA112" i="9"/>
  <c r="AA113" i="9"/>
  <c r="AA114" i="9"/>
  <c r="AA115" i="9"/>
  <c r="AA116" i="9"/>
  <c r="AA117" i="9"/>
  <c r="AA118" i="9"/>
  <c r="AA119" i="9"/>
  <c r="AA120" i="9"/>
  <c r="AA121" i="9"/>
  <c r="AA122" i="9"/>
  <c r="AA123" i="9"/>
  <c r="AA124" i="9"/>
  <c r="AA125" i="9"/>
  <c r="AA126" i="9"/>
  <c r="AA127" i="9"/>
  <c r="AA128" i="9"/>
  <c r="AA129" i="9"/>
  <c r="AA130" i="9"/>
  <c r="AA131" i="9"/>
  <c r="AA132" i="9"/>
  <c r="AA133" i="9"/>
  <c r="AA134" i="9"/>
  <c r="AA135" i="9"/>
  <c r="AA136" i="9"/>
  <c r="AA137" i="9"/>
  <c r="AA138" i="9"/>
  <c r="AA139" i="9"/>
  <c r="AA140" i="9"/>
  <c r="AA141" i="9"/>
  <c r="AA142" i="9"/>
  <c r="AA143" i="9"/>
  <c r="AA144" i="9"/>
  <c r="AA145" i="9"/>
  <c r="AA146" i="9"/>
  <c r="AA147" i="9"/>
  <c r="AA148" i="9"/>
  <c r="AA149" i="9"/>
  <c r="AA150" i="9"/>
  <c r="AA151" i="9"/>
  <c r="AA152" i="9"/>
  <c r="AA153" i="9"/>
  <c r="AA154" i="9"/>
  <c r="AA155" i="9"/>
  <c r="AA156" i="9"/>
  <c r="AA157" i="9"/>
  <c r="AA158" i="9"/>
  <c r="AA159" i="9"/>
  <c r="AA160" i="9"/>
  <c r="AA161" i="9"/>
  <c r="AA162" i="9"/>
  <c r="AA163" i="9"/>
  <c r="AA164" i="9"/>
  <c r="AA165" i="9"/>
  <c r="AA166" i="9"/>
  <c r="AA167" i="9"/>
  <c r="AA168" i="9"/>
  <c r="AA169" i="9"/>
  <c r="AA170" i="9"/>
  <c r="AA171" i="9"/>
  <c r="AA172" i="9"/>
  <c r="AA173" i="9"/>
  <c r="AA174" i="9"/>
  <c r="AA175" i="9"/>
  <c r="AA176" i="9"/>
  <c r="AA177" i="9"/>
  <c r="AA178" i="9"/>
  <c r="AA179" i="9"/>
  <c r="AA180" i="9"/>
  <c r="AA181" i="9"/>
  <c r="AA182" i="9"/>
  <c r="AA183" i="9"/>
  <c r="AA184" i="9"/>
  <c r="AA185" i="9"/>
  <c r="AA186" i="9"/>
  <c r="AA187" i="9"/>
  <c r="AA188" i="9"/>
  <c r="AA189" i="9"/>
  <c r="AA190" i="9"/>
  <c r="AA191" i="9"/>
  <c r="AA192" i="9"/>
  <c r="AA193" i="9"/>
  <c r="AA194" i="9"/>
  <c r="AA195" i="9"/>
  <c r="AA196" i="9"/>
  <c r="AA197" i="9"/>
  <c r="AA198" i="9"/>
  <c r="AA199" i="9"/>
  <c r="AA200" i="9"/>
  <c r="AA201" i="9"/>
  <c r="AA202" i="9"/>
  <c r="AA203" i="9"/>
  <c r="AA204" i="9"/>
  <c r="AA205" i="9"/>
  <c r="AA206" i="9"/>
  <c r="AA207" i="9"/>
  <c r="AA208" i="9"/>
  <c r="AA209" i="9"/>
  <c r="AA210" i="9"/>
  <c r="AA211" i="9"/>
  <c r="AA212" i="9"/>
  <c r="AA213" i="9"/>
  <c r="AA214" i="9"/>
  <c r="AA215" i="9"/>
  <c r="AA216" i="9"/>
  <c r="AA217" i="9"/>
  <c r="AA218" i="9"/>
  <c r="AA219" i="9"/>
  <c r="AA220" i="9"/>
  <c r="AA221" i="9"/>
  <c r="AA222" i="9"/>
  <c r="AA223" i="9"/>
  <c r="AA224" i="9"/>
  <c r="AA225" i="9"/>
  <c r="AA226" i="9"/>
  <c r="AA227" i="9"/>
  <c r="AA228" i="9"/>
  <c r="AA229" i="9"/>
  <c r="AA230" i="9"/>
  <c r="AA231" i="9"/>
  <c r="AA232" i="9"/>
  <c r="AA233" i="9"/>
  <c r="AA234" i="9"/>
  <c r="AA235" i="9"/>
  <c r="AA236" i="9"/>
  <c r="AA237" i="9"/>
  <c r="AA238" i="9"/>
  <c r="AA239" i="9"/>
  <c r="AA240" i="9"/>
  <c r="AA241" i="9"/>
  <c r="AA242" i="9"/>
  <c r="AA243" i="9"/>
  <c r="AA244" i="9"/>
  <c r="AA245" i="9"/>
  <c r="AA246" i="9"/>
  <c r="AA247" i="9"/>
  <c r="AA248" i="9"/>
  <c r="AA249" i="9"/>
  <c r="AA250" i="9"/>
  <c r="AA251" i="9"/>
  <c r="AA252" i="9"/>
  <c r="AA253" i="9"/>
  <c r="AA254" i="9"/>
  <c r="AA255" i="9"/>
  <c r="AA256" i="9"/>
  <c r="AA257" i="9"/>
  <c r="AA258" i="9"/>
  <c r="AA259" i="9"/>
  <c r="AA260" i="9"/>
  <c r="AA261" i="9"/>
  <c r="AA262" i="9"/>
  <c r="AA263" i="9"/>
  <c r="AA264" i="9"/>
  <c r="AA265" i="9"/>
  <c r="AA266" i="9"/>
  <c r="AA267" i="9"/>
  <c r="AA268" i="9"/>
  <c r="AA269" i="9"/>
  <c r="AA270" i="9"/>
  <c r="AA271" i="9"/>
  <c r="AA272" i="9"/>
  <c r="AA273" i="9"/>
  <c r="AA274" i="9"/>
  <c r="AA275" i="9"/>
  <c r="AA276" i="9"/>
  <c r="AA277" i="9"/>
  <c r="AA278" i="9"/>
  <c r="AA279" i="9"/>
  <c r="AA280" i="9"/>
  <c r="AA281" i="9"/>
  <c r="AA282" i="9"/>
  <c r="AA283" i="9"/>
  <c r="AA284" i="9"/>
  <c r="AA285" i="9"/>
  <c r="AA286" i="9"/>
  <c r="AA287" i="9"/>
  <c r="AA288" i="9"/>
  <c r="AA289" i="9"/>
  <c r="AA290" i="9"/>
  <c r="AA291" i="9"/>
  <c r="AA292" i="9"/>
  <c r="AA293" i="9"/>
  <c r="AA294" i="9"/>
  <c r="AA295" i="9"/>
  <c r="AA296" i="9"/>
  <c r="AA297" i="9"/>
  <c r="AA298" i="9"/>
  <c r="AA299" i="9"/>
  <c r="AA300" i="9"/>
  <c r="AA301" i="9"/>
  <c r="AA302" i="9"/>
  <c r="AA303" i="9"/>
  <c r="AA304" i="9"/>
  <c r="AA305" i="9"/>
  <c r="AA306" i="9"/>
  <c r="AA307" i="9"/>
  <c r="AA308" i="9"/>
  <c r="AA309" i="9"/>
  <c r="AA310" i="9"/>
  <c r="AA311" i="9"/>
  <c r="AA312" i="9"/>
  <c r="AA313" i="9"/>
  <c r="AA314" i="9"/>
  <c r="AA315" i="9"/>
  <c r="AA316" i="9"/>
  <c r="AA317" i="9"/>
  <c r="AA318" i="9"/>
  <c r="AA319" i="9"/>
  <c r="AA320" i="9"/>
  <c r="AA321" i="9"/>
  <c r="AA322" i="9"/>
  <c r="AA323" i="9"/>
  <c r="AA324" i="9"/>
  <c r="AA325" i="9"/>
  <c r="AA326" i="9"/>
  <c r="AA327" i="9"/>
  <c r="AA328" i="9"/>
  <c r="AA329" i="9"/>
  <c r="AA330" i="9"/>
  <c r="AA331" i="9"/>
  <c r="AA332" i="9"/>
  <c r="AA333" i="9"/>
  <c r="AA334" i="9"/>
  <c r="AA335" i="9"/>
  <c r="AA336" i="9"/>
  <c r="AA337" i="9"/>
  <c r="AA338" i="9"/>
  <c r="AA339" i="9"/>
  <c r="AA340" i="9"/>
  <c r="AA341" i="9"/>
  <c r="AA342" i="9"/>
  <c r="AA343" i="9"/>
  <c r="AA344" i="9"/>
  <c r="AA345" i="9"/>
  <c r="AA346" i="9"/>
  <c r="AA347" i="9"/>
  <c r="AA348" i="9"/>
  <c r="AA349" i="9"/>
  <c r="AA350" i="9"/>
  <c r="AA351" i="9"/>
  <c r="AA352" i="9"/>
  <c r="AA353" i="9"/>
  <c r="AA354" i="9"/>
  <c r="AA355" i="9"/>
  <c r="AA356" i="9"/>
  <c r="AA357" i="9"/>
  <c r="AA358" i="9"/>
  <c r="AA359" i="9"/>
  <c r="AA360" i="9"/>
  <c r="AA361" i="9"/>
  <c r="AA362" i="9"/>
  <c r="AA363" i="9"/>
  <c r="AA364" i="9"/>
  <c r="AA365" i="9"/>
  <c r="AA366" i="9"/>
  <c r="AA367" i="9"/>
  <c r="AA368" i="9"/>
  <c r="AA369" i="9"/>
  <c r="AA370" i="9"/>
  <c r="AA371" i="9"/>
  <c r="AA372" i="9"/>
  <c r="AA373" i="9"/>
  <c r="AA374" i="9"/>
  <c r="AA375" i="9"/>
  <c r="AA376" i="9"/>
  <c r="AA377" i="9"/>
  <c r="AA378" i="9"/>
  <c r="AA379" i="9"/>
  <c r="AA380" i="9"/>
  <c r="AA381" i="9"/>
  <c r="AA382" i="9"/>
  <c r="AA383" i="9"/>
  <c r="AA384" i="9"/>
  <c r="AA385" i="9"/>
  <c r="AA386" i="9"/>
  <c r="AA387" i="9"/>
  <c r="AA388" i="9"/>
  <c r="AA389" i="9"/>
  <c r="AA390" i="9"/>
  <c r="AA391" i="9"/>
  <c r="AA392" i="9"/>
  <c r="AA393" i="9"/>
  <c r="AA394" i="9"/>
  <c r="AA395" i="9"/>
  <c r="AA396" i="9"/>
  <c r="AA397" i="9"/>
  <c r="AA398" i="9"/>
  <c r="AA399" i="9"/>
  <c r="AA400" i="9"/>
  <c r="AA401" i="9"/>
  <c r="AA402" i="9"/>
  <c r="AA403" i="9"/>
  <c r="AA404" i="9"/>
  <c r="AA405" i="9"/>
  <c r="AA406" i="9"/>
  <c r="AA407" i="9"/>
  <c r="AA408" i="9"/>
  <c r="AA409" i="9"/>
  <c r="AA410" i="9"/>
  <c r="AA411" i="9"/>
  <c r="AA412" i="9"/>
  <c r="AA413" i="9"/>
  <c r="AA414" i="9"/>
  <c r="AA415" i="9"/>
  <c r="AA416" i="9"/>
  <c r="AA417" i="9"/>
  <c r="AA418" i="9"/>
  <c r="AA419" i="9"/>
  <c r="AA420" i="9"/>
  <c r="AA421" i="9"/>
  <c r="AA422" i="9"/>
  <c r="AA423" i="9"/>
  <c r="AA424" i="9"/>
  <c r="AA425" i="9"/>
  <c r="AA426" i="9"/>
  <c r="AA427" i="9"/>
  <c r="AA428" i="9"/>
  <c r="AA429" i="9"/>
  <c r="AA430" i="9"/>
  <c r="AA431" i="9"/>
  <c r="AA432" i="9"/>
  <c r="AA433" i="9"/>
  <c r="AA434" i="9"/>
  <c r="AA435" i="9"/>
  <c r="AA436" i="9"/>
  <c r="AA437" i="9"/>
  <c r="AA438" i="9"/>
  <c r="AA439" i="9"/>
  <c r="AA440" i="9"/>
  <c r="AA441" i="9"/>
  <c r="AA442" i="9"/>
  <c r="AA443" i="9"/>
  <c r="AA444" i="9"/>
  <c r="AA445" i="9"/>
  <c r="AA446" i="9"/>
  <c r="AA447" i="9"/>
  <c r="AA448" i="9"/>
  <c r="AA449" i="9"/>
  <c r="AA450" i="9"/>
  <c r="AA451" i="9"/>
  <c r="AA452" i="9"/>
  <c r="AA453" i="9"/>
  <c r="AA454" i="9"/>
  <c r="AA455" i="9"/>
  <c r="AA456" i="9"/>
  <c r="AA457" i="9"/>
  <c r="AA458" i="9"/>
  <c r="AA459" i="9"/>
  <c r="AA460" i="9"/>
  <c r="AA461" i="9"/>
  <c r="AA462" i="9"/>
  <c r="AA463" i="9"/>
  <c r="AA464" i="9"/>
  <c r="AA465" i="9"/>
  <c r="AA466" i="9"/>
  <c r="AA467" i="9"/>
  <c r="AA468" i="9"/>
  <c r="AA469" i="9"/>
  <c r="AA470" i="9"/>
  <c r="AA471" i="9"/>
  <c r="AA472" i="9"/>
  <c r="AA473" i="9"/>
  <c r="AA474" i="9"/>
  <c r="AA475" i="9"/>
  <c r="AA476" i="9"/>
  <c r="AA477" i="9"/>
  <c r="AA478" i="9"/>
  <c r="AA479" i="9"/>
  <c r="AA480" i="9"/>
  <c r="AA481" i="9"/>
  <c r="AA482" i="9"/>
  <c r="AA483" i="9"/>
  <c r="AA484" i="9"/>
  <c r="AA485" i="9"/>
  <c r="AA486" i="9"/>
  <c r="AA487" i="9"/>
  <c r="AA488" i="9"/>
  <c r="AA489" i="9"/>
  <c r="AA490" i="9"/>
  <c r="AA491" i="9"/>
  <c r="AA492" i="9"/>
  <c r="AA493" i="9"/>
  <c r="AA494" i="9"/>
  <c r="AA495" i="9"/>
  <c r="AA496" i="9"/>
  <c r="AA497" i="9"/>
  <c r="AA498" i="9"/>
  <c r="AA499" i="9"/>
  <c r="AA500" i="9"/>
  <c r="AA501" i="9"/>
  <c r="AA2" i="9"/>
  <c r="Z3" i="9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Z105" i="9"/>
  <c r="Z106" i="9"/>
  <c r="Z107" i="9"/>
  <c r="Z108" i="9"/>
  <c r="Z109" i="9"/>
  <c r="Z110" i="9"/>
  <c r="Z111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Z133" i="9"/>
  <c r="Z134" i="9"/>
  <c r="Z135" i="9"/>
  <c r="Z136" i="9"/>
  <c r="Z137" i="9"/>
  <c r="Z138" i="9"/>
  <c r="Z139" i="9"/>
  <c r="Z140" i="9"/>
  <c r="Z141" i="9"/>
  <c r="Z142" i="9"/>
  <c r="Z143" i="9"/>
  <c r="Z144" i="9"/>
  <c r="Z145" i="9"/>
  <c r="Z146" i="9"/>
  <c r="Z147" i="9"/>
  <c r="Z148" i="9"/>
  <c r="Z149" i="9"/>
  <c r="Z150" i="9"/>
  <c r="Z151" i="9"/>
  <c r="Z152" i="9"/>
  <c r="Z153" i="9"/>
  <c r="Z154" i="9"/>
  <c r="Z155" i="9"/>
  <c r="Z156" i="9"/>
  <c r="Z157" i="9"/>
  <c r="Z158" i="9"/>
  <c r="Z159" i="9"/>
  <c r="Z160" i="9"/>
  <c r="Z161" i="9"/>
  <c r="Z162" i="9"/>
  <c r="Z163" i="9"/>
  <c r="Z164" i="9"/>
  <c r="Z165" i="9"/>
  <c r="Z166" i="9"/>
  <c r="Z167" i="9"/>
  <c r="Z168" i="9"/>
  <c r="Z169" i="9"/>
  <c r="Z170" i="9"/>
  <c r="Z171" i="9"/>
  <c r="Z172" i="9"/>
  <c r="Z173" i="9"/>
  <c r="Z174" i="9"/>
  <c r="Z175" i="9"/>
  <c r="Z176" i="9"/>
  <c r="Z177" i="9"/>
  <c r="Z178" i="9"/>
  <c r="Z179" i="9"/>
  <c r="Z180" i="9"/>
  <c r="Z181" i="9"/>
  <c r="Z182" i="9"/>
  <c r="Z183" i="9"/>
  <c r="Z184" i="9"/>
  <c r="Z185" i="9"/>
  <c r="Z186" i="9"/>
  <c r="Z187" i="9"/>
  <c r="Z188" i="9"/>
  <c r="Z189" i="9"/>
  <c r="Z190" i="9"/>
  <c r="Z191" i="9"/>
  <c r="Z192" i="9"/>
  <c r="Z193" i="9"/>
  <c r="Z194" i="9"/>
  <c r="Z195" i="9"/>
  <c r="Z196" i="9"/>
  <c r="Z197" i="9"/>
  <c r="Z198" i="9"/>
  <c r="Z199" i="9"/>
  <c r="Z200" i="9"/>
  <c r="Z201" i="9"/>
  <c r="Z202" i="9"/>
  <c r="Z203" i="9"/>
  <c r="Z204" i="9"/>
  <c r="Z205" i="9"/>
  <c r="Z206" i="9"/>
  <c r="Z207" i="9"/>
  <c r="Z208" i="9"/>
  <c r="Z209" i="9"/>
  <c r="Z210" i="9"/>
  <c r="Z211" i="9"/>
  <c r="Z212" i="9"/>
  <c r="Z213" i="9"/>
  <c r="Z214" i="9"/>
  <c r="Z215" i="9"/>
  <c r="Z216" i="9"/>
  <c r="Z217" i="9"/>
  <c r="Z218" i="9"/>
  <c r="Z219" i="9"/>
  <c r="Z220" i="9"/>
  <c r="Z221" i="9"/>
  <c r="Z222" i="9"/>
  <c r="Z223" i="9"/>
  <c r="Z224" i="9"/>
  <c r="Z225" i="9"/>
  <c r="Z226" i="9"/>
  <c r="Z227" i="9"/>
  <c r="Z228" i="9"/>
  <c r="Z229" i="9"/>
  <c r="Z230" i="9"/>
  <c r="Z231" i="9"/>
  <c r="Z232" i="9"/>
  <c r="Z233" i="9"/>
  <c r="Z234" i="9"/>
  <c r="Z235" i="9"/>
  <c r="Z236" i="9"/>
  <c r="Z237" i="9"/>
  <c r="Z238" i="9"/>
  <c r="Z239" i="9"/>
  <c r="Z240" i="9"/>
  <c r="Z241" i="9"/>
  <c r="Z242" i="9"/>
  <c r="Z243" i="9"/>
  <c r="Z244" i="9"/>
  <c r="Z245" i="9"/>
  <c r="Z246" i="9"/>
  <c r="Z247" i="9"/>
  <c r="Z248" i="9"/>
  <c r="Z249" i="9"/>
  <c r="Z250" i="9"/>
  <c r="Z251" i="9"/>
  <c r="Z252" i="9"/>
  <c r="Z253" i="9"/>
  <c r="Z254" i="9"/>
  <c r="Z255" i="9"/>
  <c r="Z256" i="9"/>
  <c r="Z257" i="9"/>
  <c r="Z258" i="9"/>
  <c r="Z259" i="9"/>
  <c r="Z260" i="9"/>
  <c r="Z261" i="9"/>
  <c r="Z262" i="9"/>
  <c r="Z263" i="9"/>
  <c r="Z264" i="9"/>
  <c r="Z265" i="9"/>
  <c r="Z266" i="9"/>
  <c r="Z267" i="9"/>
  <c r="Z268" i="9"/>
  <c r="Z269" i="9"/>
  <c r="Z270" i="9"/>
  <c r="Z271" i="9"/>
  <c r="Z272" i="9"/>
  <c r="Z273" i="9"/>
  <c r="Z274" i="9"/>
  <c r="Z275" i="9"/>
  <c r="Z276" i="9"/>
  <c r="Z277" i="9"/>
  <c r="Z278" i="9"/>
  <c r="Z279" i="9"/>
  <c r="Z280" i="9"/>
  <c r="Z281" i="9"/>
  <c r="Z282" i="9"/>
  <c r="Z283" i="9"/>
  <c r="Z284" i="9"/>
  <c r="Z285" i="9"/>
  <c r="Z286" i="9"/>
  <c r="Z287" i="9"/>
  <c r="Z288" i="9"/>
  <c r="Z289" i="9"/>
  <c r="Z290" i="9"/>
  <c r="Z291" i="9"/>
  <c r="Z292" i="9"/>
  <c r="Z293" i="9"/>
  <c r="Z294" i="9"/>
  <c r="Z295" i="9"/>
  <c r="Z296" i="9"/>
  <c r="Z297" i="9"/>
  <c r="Z298" i="9"/>
  <c r="Z299" i="9"/>
  <c r="Z300" i="9"/>
  <c r="Z301" i="9"/>
  <c r="Z302" i="9"/>
  <c r="Z303" i="9"/>
  <c r="Z304" i="9"/>
  <c r="Z305" i="9"/>
  <c r="Z306" i="9"/>
  <c r="Z307" i="9"/>
  <c r="Z308" i="9"/>
  <c r="Z309" i="9"/>
  <c r="Z310" i="9"/>
  <c r="Z311" i="9"/>
  <c r="Z312" i="9"/>
  <c r="Z313" i="9"/>
  <c r="Z314" i="9"/>
  <c r="Z315" i="9"/>
  <c r="Z316" i="9"/>
  <c r="Z317" i="9"/>
  <c r="Z318" i="9"/>
  <c r="Z319" i="9"/>
  <c r="Z320" i="9"/>
  <c r="Z321" i="9"/>
  <c r="Z322" i="9"/>
  <c r="Z323" i="9"/>
  <c r="Z324" i="9"/>
  <c r="Z325" i="9"/>
  <c r="Z326" i="9"/>
  <c r="Z327" i="9"/>
  <c r="Z328" i="9"/>
  <c r="Z329" i="9"/>
  <c r="Z330" i="9"/>
  <c r="Z331" i="9"/>
  <c r="Z332" i="9"/>
  <c r="Z333" i="9"/>
  <c r="Z334" i="9"/>
  <c r="Z335" i="9"/>
  <c r="Z336" i="9"/>
  <c r="Z337" i="9"/>
  <c r="Z338" i="9"/>
  <c r="Z339" i="9"/>
  <c r="Z340" i="9"/>
  <c r="Z341" i="9"/>
  <c r="Z342" i="9"/>
  <c r="Z343" i="9"/>
  <c r="Z344" i="9"/>
  <c r="Z345" i="9"/>
  <c r="Z346" i="9"/>
  <c r="Z347" i="9"/>
  <c r="Z348" i="9"/>
  <c r="Z349" i="9"/>
  <c r="Z350" i="9"/>
  <c r="Z351" i="9"/>
  <c r="Z352" i="9"/>
  <c r="Z353" i="9"/>
  <c r="Z354" i="9"/>
  <c r="Z355" i="9"/>
  <c r="Z356" i="9"/>
  <c r="Z357" i="9"/>
  <c r="Z358" i="9"/>
  <c r="Z359" i="9"/>
  <c r="Z360" i="9"/>
  <c r="Z361" i="9"/>
  <c r="Z362" i="9"/>
  <c r="Z363" i="9"/>
  <c r="Z364" i="9"/>
  <c r="Z365" i="9"/>
  <c r="Z366" i="9"/>
  <c r="Z367" i="9"/>
  <c r="Z368" i="9"/>
  <c r="Z369" i="9"/>
  <c r="Z370" i="9"/>
  <c r="Z371" i="9"/>
  <c r="Z372" i="9"/>
  <c r="Z373" i="9"/>
  <c r="Z374" i="9"/>
  <c r="Z375" i="9"/>
  <c r="Z376" i="9"/>
  <c r="Z377" i="9"/>
  <c r="Z378" i="9"/>
  <c r="Z379" i="9"/>
  <c r="Z380" i="9"/>
  <c r="Z381" i="9"/>
  <c r="Z382" i="9"/>
  <c r="Z383" i="9"/>
  <c r="Z384" i="9"/>
  <c r="Z385" i="9"/>
  <c r="Z386" i="9"/>
  <c r="Z387" i="9"/>
  <c r="Z388" i="9"/>
  <c r="Z389" i="9"/>
  <c r="Z390" i="9"/>
  <c r="Z391" i="9"/>
  <c r="Z392" i="9"/>
  <c r="Z393" i="9"/>
  <c r="Z394" i="9"/>
  <c r="Z395" i="9"/>
  <c r="Z396" i="9"/>
  <c r="Z397" i="9"/>
  <c r="Z398" i="9"/>
  <c r="Z399" i="9"/>
  <c r="Z400" i="9"/>
  <c r="Z401" i="9"/>
  <c r="Z402" i="9"/>
  <c r="Z403" i="9"/>
  <c r="Z404" i="9"/>
  <c r="Z405" i="9"/>
  <c r="Z406" i="9"/>
  <c r="Z407" i="9"/>
  <c r="Z408" i="9"/>
  <c r="Z409" i="9"/>
  <c r="Z410" i="9"/>
  <c r="Z411" i="9"/>
  <c r="Z412" i="9"/>
  <c r="Z413" i="9"/>
  <c r="Z414" i="9"/>
  <c r="Z415" i="9"/>
  <c r="Z416" i="9"/>
  <c r="Z417" i="9"/>
  <c r="Z418" i="9"/>
  <c r="Z419" i="9"/>
  <c r="Z420" i="9"/>
  <c r="Z421" i="9"/>
  <c r="Z422" i="9"/>
  <c r="Z423" i="9"/>
  <c r="Z424" i="9"/>
  <c r="Z425" i="9"/>
  <c r="Z426" i="9"/>
  <c r="Z427" i="9"/>
  <c r="Z428" i="9"/>
  <c r="Z429" i="9"/>
  <c r="Z430" i="9"/>
  <c r="Z431" i="9"/>
  <c r="Z432" i="9"/>
  <c r="Z433" i="9"/>
  <c r="Z434" i="9"/>
  <c r="Z435" i="9"/>
  <c r="Z436" i="9"/>
  <c r="Z437" i="9"/>
  <c r="Z438" i="9"/>
  <c r="Z439" i="9"/>
  <c r="Z440" i="9"/>
  <c r="Z441" i="9"/>
  <c r="Z442" i="9"/>
  <c r="Z443" i="9"/>
  <c r="Z444" i="9"/>
  <c r="Z445" i="9"/>
  <c r="Z446" i="9"/>
  <c r="Z447" i="9"/>
  <c r="Z448" i="9"/>
  <c r="Z449" i="9"/>
  <c r="Z450" i="9"/>
  <c r="Z451" i="9"/>
  <c r="Z452" i="9"/>
  <c r="Z453" i="9"/>
  <c r="Z454" i="9"/>
  <c r="Z455" i="9"/>
  <c r="Z456" i="9"/>
  <c r="Z457" i="9"/>
  <c r="Z458" i="9"/>
  <c r="Z459" i="9"/>
  <c r="Z460" i="9"/>
  <c r="Z461" i="9"/>
  <c r="Z462" i="9"/>
  <c r="Z463" i="9"/>
  <c r="Z464" i="9"/>
  <c r="Z465" i="9"/>
  <c r="Z466" i="9"/>
  <c r="Z467" i="9"/>
  <c r="Z468" i="9"/>
  <c r="Z469" i="9"/>
  <c r="Z470" i="9"/>
  <c r="Z471" i="9"/>
  <c r="Z472" i="9"/>
  <c r="Z473" i="9"/>
  <c r="Z474" i="9"/>
  <c r="Z475" i="9"/>
  <c r="Z476" i="9"/>
  <c r="Z477" i="9"/>
  <c r="Z478" i="9"/>
  <c r="Z479" i="9"/>
  <c r="Z480" i="9"/>
  <c r="Z481" i="9"/>
  <c r="Z482" i="9"/>
  <c r="Z483" i="9"/>
  <c r="Z484" i="9"/>
  <c r="Z485" i="9"/>
  <c r="Z486" i="9"/>
  <c r="Z487" i="9"/>
  <c r="Z488" i="9"/>
  <c r="Z489" i="9"/>
  <c r="Z490" i="9"/>
  <c r="Z491" i="9"/>
  <c r="Z492" i="9"/>
  <c r="Z493" i="9"/>
  <c r="Z494" i="9"/>
  <c r="Z495" i="9"/>
  <c r="Z496" i="9"/>
  <c r="Z497" i="9"/>
  <c r="Z498" i="9"/>
  <c r="Z499" i="9"/>
  <c r="Z500" i="9"/>
  <c r="Z501" i="9"/>
  <c r="Z2" i="9"/>
  <c r="Y3" i="9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Y210" i="9"/>
  <c r="Y211" i="9"/>
  <c r="Y212" i="9"/>
  <c r="Y213" i="9"/>
  <c r="Y214" i="9"/>
  <c r="Y215" i="9"/>
  <c r="Y216" i="9"/>
  <c r="Y217" i="9"/>
  <c r="Y218" i="9"/>
  <c r="Y219" i="9"/>
  <c r="Y220" i="9"/>
  <c r="Y221" i="9"/>
  <c r="Y222" i="9"/>
  <c r="Y223" i="9"/>
  <c r="Y224" i="9"/>
  <c r="Y225" i="9"/>
  <c r="Y226" i="9"/>
  <c r="Y227" i="9"/>
  <c r="Y228" i="9"/>
  <c r="Y229" i="9"/>
  <c r="Y230" i="9"/>
  <c r="Y231" i="9"/>
  <c r="Y232" i="9"/>
  <c r="Y233" i="9"/>
  <c r="Y234" i="9"/>
  <c r="Y235" i="9"/>
  <c r="Y236" i="9"/>
  <c r="Y237" i="9"/>
  <c r="Y238" i="9"/>
  <c r="Y239" i="9"/>
  <c r="Y240" i="9"/>
  <c r="Y241" i="9"/>
  <c r="Y242" i="9"/>
  <c r="Y243" i="9"/>
  <c r="Y244" i="9"/>
  <c r="Y245" i="9"/>
  <c r="Y246" i="9"/>
  <c r="Y247" i="9"/>
  <c r="Y248" i="9"/>
  <c r="Y249" i="9"/>
  <c r="Y250" i="9"/>
  <c r="Y251" i="9"/>
  <c r="Y252" i="9"/>
  <c r="Y253" i="9"/>
  <c r="Y254" i="9"/>
  <c r="Y255" i="9"/>
  <c r="Y256" i="9"/>
  <c r="Y257" i="9"/>
  <c r="Y258" i="9"/>
  <c r="Y259" i="9"/>
  <c r="Y260" i="9"/>
  <c r="Y261" i="9"/>
  <c r="Y262" i="9"/>
  <c r="Y263" i="9"/>
  <c r="Y264" i="9"/>
  <c r="Y265" i="9"/>
  <c r="Y266" i="9"/>
  <c r="Y267" i="9"/>
  <c r="Y268" i="9"/>
  <c r="Y269" i="9"/>
  <c r="Y270" i="9"/>
  <c r="Y271" i="9"/>
  <c r="Y272" i="9"/>
  <c r="Y273" i="9"/>
  <c r="Y274" i="9"/>
  <c r="Y275" i="9"/>
  <c r="Y276" i="9"/>
  <c r="Y277" i="9"/>
  <c r="Y278" i="9"/>
  <c r="Y279" i="9"/>
  <c r="Y280" i="9"/>
  <c r="Y281" i="9"/>
  <c r="Y282" i="9"/>
  <c r="Y283" i="9"/>
  <c r="Y284" i="9"/>
  <c r="Y285" i="9"/>
  <c r="Y286" i="9"/>
  <c r="Y287" i="9"/>
  <c r="Y288" i="9"/>
  <c r="Y289" i="9"/>
  <c r="Y290" i="9"/>
  <c r="Y291" i="9"/>
  <c r="Y292" i="9"/>
  <c r="Y293" i="9"/>
  <c r="Y294" i="9"/>
  <c r="Y295" i="9"/>
  <c r="Y296" i="9"/>
  <c r="Y297" i="9"/>
  <c r="Y298" i="9"/>
  <c r="Y299" i="9"/>
  <c r="Y300" i="9"/>
  <c r="Y301" i="9"/>
  <c r="Y302" i="9"/>
  <c r="Y303" i="9"/>
  <c r="Y304" i="9"/>
  <c r="Y305" i="9"/>
  <c r="Y306" i="9"/>
  <c r="Y307" i="9"/>
  <c r="Y308" i="9"/>
  <c r="Y309" i="9"/>
  <c r="Y310" i="9"/>
  <c r="Y311" i="9"/>
  <c r="Y312" i="9"/>
  <c r="Y313" i="9"/>
  <c r="Y314" i="9"/>
  <c r="Y315" i="9"/>
  <c r="Y316" i="9"/>
  <c r="Y317" i="9"/>
  <c r="Y318" i="9"/>
  <c r="Y319" i="9"/>
  <c r="Y320" i="9"/>
  <c r="Y321" i="9"/>
  <c r="Y322" i="9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Y336" i="9"/>
  <c r="Y337" i="9"/>
  <c r="Y338" i="9"/>
  <c r="Y339" i="9"/>
  <c r="Y340" i="9"/>
  <c r="Y341" i="9"/>
  <c r="Y342" i="9"/>
  <c r="Y343" i="9"/>
  <c r="Y344" i="9"/>
  <c r="Y345" i="9"/>
  <c r="Y346" i="9"/>
  <c r="Y347" i="9"/>
  <c r="Y348" i="9"/>
  <c r="Y349" i="9"/>
  <c r="Y350" i="9"/>
  <c r="Y351" i="9"/>
  <c r="Y352" i="9"/>
  <c r="Y353" i="9"/>
  <c r="Y354" i="9"/>
  <c r="Y355" i="9"/>
  <c r="Y356" i="9"/>
  <c r="Y357" i="9"/>
  <c r="Y358" i="9"/>
  <c r="Y359" i="9"/>
  <c r="Y360" i="9"/>
  <c r="Y361" i="9"/>
  <c r="Y362" i="9"/>
  <c r="Y363" i="9"/>
  <c r="Y364" i="9"/>
  <c r="Y365" i="9"/>
  <c r="Y366" i="9"/>
  <c r="Y367" i="9"/>
  <c r="Y368" i="9"/>
  <c r="Y369" i="9"/>
  <c r="Y370" i="9"/>
  <c r="Y371" i="9"/>
  <c r="Y372" i="9"/>
  <c r="Y373" i="9"/>
  <c r="Y374" i="9"/>
  <c r="Y375" i="9"/>
  <c r="Y376" i="9"/>
  <c r="Y377" i="9"/>
  <c r="Y378" i="9"/>
  <c r="Y379" i="9"/>
  <c r="Y380" i="9"/>
  <c r="Y381" i="9"/>
  <c r="Y382" i="9"/>
  <c r="Y383" i="9"/>
  <c r="Y384" i="9"/>
  <c r="Y385" i="9"/>
  <c r="Y386" i="9"/>
  <c r="Y387" i="9"/>
  <c r="Y388" i="9"/>
  <c r="Y389" i="9"/>
  <c r="Y390" i="9"/>
  <c r="Y391" i="9"/>
  <c r="Y392" i="9"/>
  <c r="Y393" i="9"/>
  <c r="Y394" i="9"/>
  <c r="Y395" i="9"/>
  <c r="Y396" i="9"/>
  <c r="Y397" i="9"/>
  <c r="Y398" i="9"/>
  <c r="Y399" i="9"/>
  <c r="Y400" i="9"/>
  <c r="Y401" i="9"/>
  <c r="Y402" i="9"/>
  <c r="Y403" i="9"/>
  <c r="Y404" i="9"/>
  <c r="Y405" i="9"/>
  <c r="Y406" i="9"/>
  <c r="Y407" i="9"/>
  <c r="Y408" i="9"/>
  <c r="Y409" i="9"/>
  <c r="Y410" i="9"/>
  <c r="Y411" i="9"/>
  <c r="Y412" i="9"/>
  <c r="Y413" i="9"/>
  <c r="Y414" i="9"/>
  <c r="Y415" i="9"/>
  <c r="Y416" i="9"/>
  <c r="Y417" i="9"/>
  <c r="Y418" i="9"/>
  <c r="Y419" i="9"/>
  <c r="Y420" i="9"/>
  <c r="Y421" i="9"/>
  <c r="Y422" i="9"/>
  <c r="Y423" i="9"/>
  <c r="Y424" i="9"/>
  <c r="Y425" i="9"/>
  <c r="Y426" i="9"/>
  <c r="Y427" i="9"/>
  <c r="Y428" i="9"/>
  <c r="Y429" i="9"/>
  <c r="Y430" i="9"/>
  <c r="Y431" i="9"/>
  <c r="Y432" i="9"/>
  <c r="Y433" i="9"/>
  <c r="Y434" i="9"/>
  <c r="Y435" i="9"/>
  <c r="Y436" i="9"/>
  <c r="Y437" i="9"/>
  <c r="Y438" i="9"/>
  <c r="Y439" i="9"/>
  <c r="Y440" i="9"/>
  <c r="Y441" i="9"/>
  <c r="Y442" i="9"/>
  <c r="Y443" i="9"/>
  <c r="Y444" i="9"/>
  <c r="Y445" i="9"/>
  <c r="Y446" i="9"/>
  <c r="Y447" i="9"/>
  <c r="Y448" i="9"/>
  <c r="Y449" i="9"/>
  <c r="Y450" i="9"/>
  <c r="Y451" i="9"/>
  <c r="Y452" i="9"/>
  <c r="Y453" i="9"/>
  <c r="Y454" i="9"/>
  <c r="Y455" i="9"/>
  <c r="Y456" i="9"/>
  <c r="Y457" i="9"/>
  <c r="Y458" i="9"/>
  <c r="Y459" i="9"/>
  <c r="Y460" i="9"/>
  <c r="Y461" i="9"/>
  <c r="Y462" i="9"/>
  <c r="Y463" i="9"/>
  <c r="Y464" i="9"/>
  <c r="Y465" i="9"/>
  <c r="Y466" i="9"/>
  <c r="Y467" i="9"/>
  <c r="Y468" i="9"/>
  <c r="Y469" i="9"/>
  <c r="Y470" i="9"/>
  <c r="Y471" i="9"/>
  <c r="Y472" i="9"/>
  <c r="Y473" i="9"/>
  <c r="Y474" i="9"/>
  <c r="Y475" i="9"/>
  <c r="Y476" i="9"/>
  <c r="Y477" i="9"/>
  <c r="Y478" i="9"/>
  <c r="Y479" i="9"/>
  <c r="Y480" i="9"/>
  <c r="Y481" i="9"/>
  <c r="Y482" i="9"/>
  <c r="Y483" i="9"/>
  <c r="Y484" i="9"/>
  <c r="Y485" i="9"/>
  <c r="Y486" i="9"/>
  <c r="Y487" i="9"/>
  <c r="Y488" i="9"/>
  <c r="Y489" i="9"/>
  <c r="Y490" i="9"/>
  <c r="Y491" i="9"/>
  <c r="Y492" i="9"/>
  <c r="Y493" i="9"/>
  <c r="Y494" i="9"/>
  <c r="Y495" i="9"/>
  <c r="Y496" i="9"/>
  <c r="Y497" i="9"/>
  <c r="Y498" i="9"/>
  <c r="Y499" i="9"/>
  <c r="Y500" i="9"/>
  <c r="Y501" i="9"/>
  <c r="Y2" i="9"/>
  <c r="X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X210" i="9"/>
  <c r="X211" i="9"/>
  <c r="X212" i="9"/>
  <c r="X213" i="9"/>
  <c r="X214" i="9"/>
  <c r="X215" i="9"/>
  <c r="X216" i="9"/>
  <c r="X217" i="9"/>
  <c r="X218" i="9"/>
  <c r="X219" i="9"/>
  <c r="X220" i="9"/>
  <c r="X221" i="9"/>
  <c r="X222" i="9"/>
  <c r="X223" i="9"/>
  <c r="X224" i="9"/>
  <c r="X225" i="9"/>
  <c r="X226" i="9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X240" i="9"/>
  <c r="X241" i="9"/>
  <c r="X242" i="9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X259" i="9"/>
  <c r="X260" i="9"/>
  <c r="X261" i="9"/>
  <c r="X262" i="9"/>
  <c r="X263" i="9"/>
  <c r="X264" i="9"/>
  <c r="X265" i="9"/>
  <c r="X266" i="9"/>
  <c r="X267" i="9"/>
  <c r="X268" i="9"/>
  <c r="X269" i="9"/>
  <c r="X270" i="9"/>
  <c r="X271" i="9"/>
  <c r="X272" i="9"/>
  <c r="X273" i="9"/>
  <c r="X274" i="9"/>
  <c r="X275" i="9"/>
  <c r="X276" i="9"/>
  <c r="X277" i="9"/>
  <c r="X278" i="9"/>
  <c r="X279" i="9"/>
  <c r="X280" i="9"/>
  <c r="X281" i="9"/>
  <c r="X282" i="9"/>
  <c r="X283" i="9"/>
  <c r="X284" i="9"/>
  <c r="X285" i="9"/>
  <c r="X286" i="9"/>
  <c r="X287" i="9"/>
  <c r="X288" i="9"/>
  <c r="X289" i="9"/>
  <c r="X290" i="9"/>
  <c r="X291" i="9"/>
  <c r="X292" i="9"/>
  <c r="X293" i="9"/>
  <c r="X294" i="9"/>
  <c r="X295" i="9"/>
  <c r="X296" i="9"/>
  <c r="X297" i="9"/>
  <c r="X298" i="9"/>
  <c r="X299" i="9"/>
  <c r="X300" i="9"/>
  <c r="X301" i="9"/>
  <c r="X302" i="9"/>
  <c r="X303" i="9"/>
  <c r="X304" i="9"/>
  <c r="X305" i="9"/>
  <c r="X306" i="9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X323" i="9"/>
  <c r="X324" i="9"/>
  <c r="X325" i="9"/>
  <c r="X326" i="9"/>
  <c r="X327" i="9"/>
  <c r="X328" i="9"/>
  <c r="X329" i="9"/>
  <c r="X330" i="9"/>
  <c r="X331" i="9"/>
  <c r="X332" i="9"/>
  <c r="X333" i="9"/>
  <c r="X334" i="9"/>
  <c r="X335" i="9"/>
  <c r="X336" i="9"/>
  <c r="X337" i="9"/>
  <c r="X338" i="9"/>
  <c r="X339" i="9"/>
  <c r="X340" i="9"/>
  <c r="X341" i="9"/>
  <c r="X342" i="9"/>
  <c r="X343" i="9"/>
  <c r="X344" i="9"/>
  <c r="X345" i="9"/>
  <c r="X346" i="9"/>
  <c r="X347" i="9"/>
  <c r="X348" i="9"/>
  <c r="X349" i="9"/>
  <c r="X350" i="9"/>
  <c r="X351" i="9"/>
  <c r="X352" i="9"/>
  <c r="X353" i="9"/>
  <c r="X354" i="9"/>
  <c r="X355" i="9"/>
  <c r="X356" i="9"/>
  <c r="X357" i="9"/>
  <c r="X358" i="9"/>
  <c r="X359" i="9"/>
  <c r="X360" i="9"/>
  <c r="X361" i="9"/>
  <c r="X362" i="9"/>
  <c r="X363" i="9"/>
  <c r="X364" i="9"/>
  <c r="X365" i="9"/>
  <c r="X366" i="9"/>
  <c r="X367" i="9"/>
  <c r="X368" i="9"/>
  <c r="X369" i="9"/>
  <c r="X370" i="9"/>
  <c r="X371" i="9"/>
  <c r="X372" i="9"/>
  <c r="X373" i="9"/>
  <c r="X374" i="9"/>
  <c r="X375" i="9"/>
  <c r="X376" i="9"/>
  <c r="X377" i="9"/>
  <c r="X378" i="9"/>
  <c r="X379" i="9"/>
  <c r="X380" i="9"/>
  <c r="X381" i="9"/>
  <c r="X382" i="9"/>
  <c r="X383" i="9"/>
  <c r="X384" i="9"/>
  <c r="X385" i="9"/>
  <c r="X386" i="9"/>
  <c r="X387" i="9"/>
  <c r="X388" i="9"/>
  <c r="X389" i="9"/>
  <c r="X390" i="9"/>
  <c r="X391" i="9"/>
  <c r="X392" i="9"/>
  <c r="X393" i="9"/>
  <c r="X394" i="9"/>
  <c r="X395" i="9"/>
  <c r="X396" i="9"/>
  <c r="X397" i="9"/>
  <c r="X398" i="9"/>
  <c r="X399" i="9"/>
  <c r="X400" i="9"/>
  <c r="X401" i="9"/>
  <c r="X402" i="9"/>
  <c r="X403" i="9"/>
  <c r="X404" i="9"/>
  <c r="X405" i="9"/>
  <c r="X406" i="9"/>
  <c r="X407" i="9"/>
  <c r="X408" i="9"/>
  <c r="X409" i="9"/>
  <c r="X410" i="9"/>
  <c r="X411" i="9"/>
  <c r="X412" i="9"/>
  <c r="X413" i="9"/>
  <c r="X414" i="9"/>
  <c r="X415" i="9"/>
  <c r="X416" i="9"/>
  <c r="X417" i="9"/>
  <c r="X418" i="9"/>
  <c r="X419" i="9"/>
  <c r="X420" i="9"/>
  <c r="X421" i="9"/>
  <c r="X422" i="9"/>
  <c r="X423" i="9"/>
  <c r="X424" i="9"/>
  <c r="X425" i="9"/>
  <c r="X426" i="9"/>
  <c r="X427" i="9"/>
  <c r="X428" i="9"/>
  <c r="X429" i="9"/>
  <c r="X430" i="9"/>
  <c r="X431" i="9"/>
  <c r="X432" i="9"/>
  <c r="X433" i="9"/>
  <c r="X434" i="9"/>
  <c r="X435" i="9"/>
  <c r="X436" i="9"/>
  <c r="X437" i="9"/>
  <c r="X438" i="9"/>
  <c r="X439" i="9"/>
  <c r="X440" i="9"/>
  <c r="X441" i="9"/>
  <c r="X442" i="9"/>
  <c r="X443" i="9"/>
  <c r="X444" i="9"/>
  <c r="X445" i="9"/>
  <c r="X446" i="9"/>
  <c r="X447" i="9"/>
  <c r="X448" i="9"/>
  <c r="X449" i="9"/>
  <c r="X450" i="9"/>
  <c r="X451" i="9"/>
  <c r="X452" i="9"/>
  <c r="X453" i="9"/>
  <c r="X454" i="9"/>
  <c r="X455" i="9"/>
  <c r="X456" i="9"/>
  <c r="X457" i="9"/>
  <c r="X458" i="9"/>
  <c r="X459" i="9"/>
  <c r="X460" i="9"/>
  <c r="X461" i="9"/>
  <c r="X462" i="9"/>
  <c r="X463" i="9"/>
  <c r="X464" i="9"/>
  <c r="X465" i="9"/>
  <c r="X466" i="9"/>
  <c r="X467" i="9"/>
  <c r="X468" i="9"/>
  <c r="X469" i="9"/>
  <c r="X470" i="9"/>
  <c r="X471" i="9"/>
  <c r="X472" i="9"/>
  <c r="X473" i="9"/>
  <c r="X474" i="9"/>
  <c r="X475" i="9"/>
  <c r="X476" i="9"/>
  <c r="X477" i="9"/>
  <c r="X478" i="9"/>
  <c r="X479" i="9"/>
  <c r="X480" i="9"/>
  <c r="X481" i="9"/>
  <c r="X482" i="9"/>
  <c r="X483" i="9"/>
  <c r="X484" i="9"/>
  <c r="X485" i="9"/>
  <c r="X486" i="9"/>
  <c r="X487" i="9"/>
  <c r="X488" i="9"/>
  <c r="X489" i="9"/>
  <c r="X490" i="9"/>
  <c r="X491" i="9"/>
  <c r="X492" i="9"/>
  <c r="X493" i="9"/>
  <c r="X494" i="9"/>
  <c r="X495" i="9"/>
  <c r="X496" i="9"/>
  <c r="X497" i="9"/>
  <c r="X498" i="9"/>
  <c r="X499" i="9"/>
  <c r="X500" i="9"/>
  <c r="X501" i="9"/>
  <c r="X2" i="9"/>
  <c r="W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0" i="9"/>
  <c r="W111" i="9"/>
  <c r="W112" i="9"/>
  <c r="W113" i="9"/>
  <c r="W114" i="9"/>
  <c r="W115" i="9"/>
  <c r="W116" i="9"/>
  <c r="W117" i="9"/>
  <c r="W118" i="9"/>
  <c r="W119" i="9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W201" i="9"/>
  <c r="W202" i="9"/>
  <c r="W203" i="9"/>
  <c r="W204" i="9"/>
  <c r="W205" i="9"/>
  <c r="W206" i="9"/>
  <c r="W207" i="9"/>
  <c r="W208" i="9"/>
  <c r="W209" i="9"/>
  <c r="W210" i="9"/>
  <c r="W211" i="9"/>
  <c r="W212" i="9"/>
  <c r="W213" i="9"/>
  <c r="W214" i="9"/>
  <c r="W215" i="9"/>
  <c r="W216" i="9"/>
  <c r="W217" i="9"/>
  <c r="W218" i="9"/>
  <c r="W219" i="9"/>
  <c r="W220" i="9"/>
  <c r="W221" i="9"/>
  <c r="W222" i="9"/>
  <c r="W223" i="9"/>
  <c r="W224" i="9"/>
  <c r="W225" i="9"/>
  <c r="W226" i="9"/>
  <c r="W227" i="9"/>
  <c r="W228" i="9"/>
  <c r="W229" i="9"/>
  <c r="W230" i="9"/>
  <c r="W231" i="9"/>
  <c r="W232" i="9"/>
  <c r="W233" i="9"/>
  <c r="W234" i="9"/>
  <c r="W235" i="9"/>
  <c r="W236" i="9"/>
  <c r="W237" i="9"/>
  <c r="W238" i="9"/>
  <c r="W239" i="9"/>
  <c r="W240" i="9"/>
  <c r="W241" i="9"/>
  <c r="W242" i="9"/>
  <c r="W243" i="9"/>
  <c r="W244" i="9"/>
  <c r="W245" i="9"/>
  <c r="W246" i="9"/>
  <c r="W247" i="9"/>
  <c r="W248" i="9"/>
  <c r="W249" i="9"/>
  <c r="W250" i="9"/>
  <c r="W251" i="9"/>
  <c r="W252" i="9"/>
  <c r="W253" i="9"/>
  <c r="W254" i="9"/>
  <c r="W255" i="9"/>
  <c r="W256" i="9"/>
  <c r="W257" i="9"/>
  <c r="W258" i="9"/>
  <c r="W259" i="9"/>
  <c r="W260" i="9"/>
  <c r="W261" i="9"/>
  <c r="W262" i="9"/>
  <c r="W263" i="9"/>
  <c r="W264" i="9"/>
  <c r="W265" i="9"/>
  <c r="W266" i="9"/>
  <c r="W267" i="9"/>
  <c r="W268" i="9"/>
  <c r="W269" i="9"/>
  <c r="W270" i="9"/>
  <c r="W271" i="9"/>
  <c r="W272" i="9"/>
  <c r="W273" i="9"/>
  <c r="W274" i="9"/>
  <c r="W275" i="9"/>
  <c r="W276" i="9"/>
  <c r="W277" i="9"/>
  <c r="W278" i="9"/>
  <c r="W279" i="9"/>
  <c r="W280" i="9"/>
  <c r="W281" i="9"/>
  <c r="W282" i="9"/>
  <c r="W283" i="9"/>
  <c r="W284" i="9"/>
  <c r="W285" i="9"/>
  <c r="W286" i="9"/>
  <c r="W287" i="9"/>
  <c r="W288" i="9"/>
  <c r="W289" i="9"/>
  <c r="W290" i="9"/>
  <c r="W291" i="9"/>
  <c r="W292" i="9"/>
  <c r="W293" i="9"/>
  <c r="W294" i="9"/>
  <c r="W295" i="9"/>
  <c r="W296" i="9"/>
  <c r="W297" i="9"/>
  <c r="W298" i="9"/>
  <c r="W299" i="9"/>
  <c r="W300" i="9"/>
  <c r="W301" i="9"/>
  <c r="W302" i="9"/>
  <c r="W303" i="9"/>
  <c r="W304" i="9"/>
  <c r="W305" i="9"/>
  <c r="W306" i="9"/>
  <c r="W307" i="9"/>
  <c r="W308" i="9"/>
  <c r="W309" i="9"/>
  <c r="W310" i="9"/>
  <c r="W311" i="9"/>
  <c r="W312" i="9"/>
  <c r="W313" i="9"/>
  <c r="W314" i="9"/>
  <c r="W315" i="9"/>
  <c r="W316" i="9"/>
  <c r="W317" i="9"/>
  <c r="W318" i="9"/>
  <c r="W319" i="9"/>
  <c r="W320" i="9"/>
  <c r="W321" i="9"/>
  <c r="W322" i="9"/>
  <c r="W323" i="9"/>
  <c r="W324" i="9"/>
  <c r="W325" i="9"/>
  <c r="W326" i="9"/>
  <c r="W327" i="9"/>
  <c r="W328" i="9"/>
  <c r="W329" i="9"/>
  <c r="W330" i="9"/>
  <c r="W331" i="9"/>
  <c r="W332" i="9"/>
  <c r="W333" i="9"/>
  <c r="W334" i="9"/>
  <c r="W335" i="9"/>
  <c r="W336" i="9"/>
  <c r="W337" i="9"/>
  <c r="W338" i="9"/>
  <c r="W339" i="9"/>
  <c r="W340" i="9"/>
  <c r="W341" i="9"/>
  <c r="W342" i="9"/>
  <c r="W343" i="9"/>
  <c r="W344" i="9"/>
  <c r="W345" i="9"/>
  <c r="W346" i="9"/>
  <c r="W347" i="9"/>
  <c r="W348" i="9"/>
  <c r="W349" i="9"/>
  <c r="W350" i="9"/>
  <c r="W351" i="9"/>
  <c r="W352" i="9"/>
  <c r="W353" i="9"/>
  <c r="W354" i="9"/>
  <c r="W355" i="9"/>
  <c r="W356" i="9"/>
  <c r="W357" i="9"/>
  <c r="W358" i="9"/>
  <c r="W359" i="9"/>
  <c r="W360" i="9"/>
  <c r="W361" i="9"/>
  <c r="W362" i="9"/>
  <c r="W363" i="9"/>
  <c r="W364" i="9"/>
  <c r="W365" i="9"/>
  <c r="W366" i="9"/>
  <c r="W367" i="9"/>
  <c r="W368" i="9"/>
  <c r="W369" i="9"/>
  <c r="W370" i="9"/>
  <c r="W371" i="9"/>
  <c r="W372" i="9"/>
  <c r="W373" i="9"/>
  <c r="W374" i="9"/>
  <c r="W375" i="9"/>
  <c r="W376" i="9"/>
  <c r="W377" i="9"/>
  <c r="W378" i="9"/>
  <c r="W379" i="9"/>
  <c r="W380" i="9"/>
  <c r="W381" i="9"/>
  <c r="W382" i="9"/>
  <c r="W383" i="9"/>
  <c r="W384" i="9"/>
  <c r="W385" i="9"/>
  <c r="W386" i="9"/>
  <c r="W387" i="9"/>
  <c r="W388" i="9"/>
  <c r="W389" i="9"/>
  <c r="W390" i="9"/>
  <c r="W391" i="9"/>
  <c r="W392" i="9"/>
  <c r="W393" i="9"/>
  <c r="W394" i="9"/>
  <c r="W395" i="9"/>
  <c r="W396" i="9"/>
  <c r="W397" i="9"/>
  <c r="W398" i="9"/>
  <c r="W399" i="9"/>
  <c r="W400" i="9"/>
  <c r="W401" i="9"/>
  <c r="W402" i="9"/>
  <c r="W403" i="9"/>
  <c r="W404" i="9"/>
  <c r="W405" i="9"/>
  <c r="W406" i="9"/>
  <c r="W407" i="9"/>
  <c r="W408" i="9"/>
  <c r="W409" i="9"/>
  <c r="W410" i="9"/>
  <c r="W411" i="9"/>
  <c r="W412" i="9"/>
  <c r="W413" i="9"/>
  <c r="W414" i="9"/>
  <c r="W415" i="9"/>
  <c r="W416" i="9"/>
  <c r="W417" i="9"/>
  <c r="W418" i="9"/>
  <c r="W419" i="9"/>
  <c r="W420" i="9"/>
  <c r="W421" i="9"/>
  <c r="W422" i="9"/>
  <c r="W423" i="9"/>
  <c r="W424" i="9"/>
  <c r="W425" i="9"/>
  <c r="W426" i="9"/>
  <c r="W427" i="9"/>
  <c r="W428" i="9"/>
  <c r="W429" i="9"/>
  <c r="W430" i="9"/>
  <c r="W431" i="9"/>
  <c r="W432" i="9"/>
  <c r="W433" i="9"/>
  <c r="W434" i="9"/>
  <c r="W435" i="9"/>
  <c r="W436" i="9"/>
  <c r="W437" i="9"/>
  <c r="W438" i="9"/>
  <c r="W439" i="9"/>
  <c r="W440" i="9"/>
  <c r="W441" i="9"/>
  <c r="W442" i="9"/>
  <c r="W443" i="9"/>
  <c r="W444" i="9"/>
  <c r="W445" i="9"/>
  <c r="W446" i="9"/>
  <c r="W447" i="9"/>
  <c r="W448" i="9"/>
  <c r="W449" i="9"/>
  <c r="W450" i="9"/>
  <c r="W451" i="9"/>
  <c r="W452" i="9"/>
  <c r="W453" i="9"/>
  <c r="W454" i="9"/>
  <c r="W455" i="9"/>
  <c r="W456" i="9"/>
  <c r="W457" i="9"/>
  <c r="W458" i="9"/>
  <c r="W459" i="9"/>
  <c r="W460" i="9"/>
  <c r="W461" i="9"/>
  <c r="W462" i="9"/>
  <c r="W463" i="9"/>
  <c r="W464" i="9"/>
  <c r="W465" i="9"/>
  <c r="W466" i="9"/>
  <c r="W467" i="9"/>
  <c r="W468" i="9"/>
  <c r="W469" i="9"/>
  <c r="W470" i="9"/>
  <c r="W471" i="9"/>
  <c r="W472" i="9"/>
  <c r="W473" i="9"/>
  <c r="W474" i="9"/>
  <c r="W475" i="9"/>
  <c r="W476" i="9"/>
  <c r="W477" i="9"/>
  <c r="W478" i="9"/>
  <c r="W479" i="9"/>
  <c r="W480" i="9"/>
  <c r="W481" i="9"/>
  <c r="W482" i="9"/>
  <c r="W483" i="9"/>
  <c r="W484" i="9"/>
  <c r="W485" i="9"/>
  <c r="W486" i="9"/>
  <c r="W487" i="9"/>
  <c r="W488" i="9"/>
  <c r="W489" i="9"/>
  <c r="W490" i="9"/>
  <c r="W491" i="9"/>
  <c r="W492" i="9"/>
  <c r="W493" i="9"/>
  <c r="W494" i="9"/>
  <c r="W495" i="9"/>
  <c r="W496" i="9"/>
  <c r="W497" i="9"/>
  <c r="W498" i="9"/>
  <c r="W499" i="9"/>
  <c r="W500" i="9"/>
  <c r="W501" i="9"/>
  <c r="W2" i="9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V206" i="9"/>
  <c r="V207" i="9"/>
  <c r="V208" i="9"/>
  <c r="V209" i="9"/>
  <c r="V210" i="9"/>
  <c r="V211" i="9"/>
  <c r="V212" i="9"/>
  <c r="V213" i="9"/>
  <c r="V214" i="9"/>
  <c r="V215" i="9"/>
  <c r="V216" i="9"/>
  <c r="V217" i="9"/>
  <c r="V218" i="9"/>
  <c r="V219" i="9"/>
  <c r="V220" i="9"/>
  <c r="V221" i="9"/>
  <c r="V222" i="9"/>
  <c r="V223" i="9"/>
  <c r="V224" i="9"/>
  <c r="V225" i="9"/>
  <c r="V226" i="9"/>
  <c r="V227" i="9"/>
  <c r="V228" i="9"/>
  <c r="V229" i="9"/>
  <c r="V230" i="9"/>
  <c r="V231" i="9"/>
  <c r="V232" i="9"/>
  <c r="V233" i="9"/>
  <c r="V234" i="9"/>
  <c r="V235" i="9"/>
  <c r="V236" i="9"/>
  <c r="V237" i="9"/>
  <c r="V238" i="9"/>
  <c r="V239" i="9"/>
  <c r="V240" i="9"/>
  <c r="V241" i="9"/>
  <c r="V242" i="9"/>
  <c r="V243" i="9"/>
  <c r="V244" i="9"/>
  <c r="V245" i="9"/>
  <c r="V246" i="9"/>
  <c r="V247" i="9"/>
  <c r="V248" i="9"/>
  <c r="V249" i="9"/>
  <c r="V250" i="9"/>
  <c r="V251" i="9"/>
  <c r="V252" i="9"/>
  <c r="V253" i="9"/>
  <c r="V254" i="9"/>
  <c r="V255" i="9"/>
  <c r="V256" i="9"/>
  <c r="V257" i="9"/>
  <c r="V258" i="9"/>
  <c r="V259" i="9"/>
  <c r="V260" i="9"/>
  <c r="V261" i="9"/>
  <c r="V262" i="9"/>
  <c r="V263" i="9"/>
  <c r="V264" i="9"/>
  <c r="V265" i="9"/>
  <c r="V266" i="9"/>
  <c r="V267" i="9"/>
  <c r="V268" i="9"/>
  <c r="V269" i="9"/>
  <c r="V270" i="9"/>
  <c r="V271" i="9"/>
  <c r="V272" i="9"/>
  <c r="V273" i="9"/>
  <c r="V274" i="9"/>
  <c r="V275" i="9"/>
  <c r="V276" i="9"/>
  <c r="V277" i="9"/>
  <c r="V278" i="9"/>
  <c r="V279" i="9"/>
  <c r="V280" i="9"/>
  <c r="V281" i="9"/>
  <c r="V282" i="9"/>
  <c r="V283" i="9"/>
  <c r="V284" i="9"/>
  <c r="V285" i="9"/>
  <c r="V286" i="9"/>
  <c r="V287" i="9"/>
  <c r="V288" i="9"/>
  <c r="V289" i="9"/>
  <c r="V290" i="9"/>
  <c r="V291" i="9"/>
  <c r="V292" i="9"/>
  <c r="V293" i="9"/>
  <c r="V294" i="9"/>
  <c r="V295" i="9"/>
  <c r="V296" i="9"/>
  <c r="V297" i="9"/>
  <c r="V298" i="9"/>
  <c r="V299" i="9"/>
  <c r="V300" i="9"/>
  <c r="V301" i="9"/>
  <c r="V302" i="9"/>
  <c r="V303" i="9"/>
  <c r="V304" i="9"/>
  <c r="V305" i="9"/>
  <c r="V306" i="9"/>
  <c r="V307" i="9"/>
  <c r="V308" i="9"/>
  <c r="V309" i="9"/>
  <c r="V310" i="9"/>
  <c r="V311" i="9"/>
  <c r="V312" i="9"/>
  <c r="V313" i="9"/>
  <c r="V314" i="9"/>
  <c r="V315" i="9"/>
  <c r="V316" i="9"/>
  <c r="V317" i="9"/>
  <c r="V318" i="9"/>
  <c r="V319" i="9"/>
  <c r="V320" i="9"/>
  <c r="V321" i="9"/>
  <c r="V322" i="9"/>
  <c r="V323" i="9"/>
  <c r="V324" i="9"/>
  <c r="V325" i="9"/>
  <c r="V326" i="9"/>
  <c r="V327" i="9"/>
  <c r="V328" i="9"/>
  <c r="V329" i="9"/>
  <c r="V330" i="9"/>
  <c r="V331" i="9"/>
  <c r="V332" i="9"/>
  <c r="V333" i="9"/>
  <c r="V334" i="9"/>
  <c r="V335" i="9"/>
  <c r="V336" i="9"/>
  <c r="V337" i="9"/>
  <c r="V338" i="9"/>
  <c r="V339" i="9"/>
  <c r="V340" i="9"/>
  <c r="V341" i="9"/>
  <c r="V342" i="9"/>
  <c r="V343" i="9"/>
  <c r="V344" i="9"/>
  <c r="V345" i="9"/>
  <c r="V346" i="9"/>
  <c r="V347" i="9"/>
  <c r="V348" i="9"/>
  <c r="V349" i="9"/>
  <c r="V350" i="9"/>
  <c r="V351" i="9"/>
  <c r="V352" i="9"/>
  <c r="V353" i="9"/>
  <c r="V354" i="9"/>
  <c r="V355" i="9"/>
  <c r="V356" i="9"/>
  <c r="V357" i="9"/>
  <c r="V358" i="9"/>
  <c r="V359" i="9"/>
  <c r="V360" i="9"/>
  <c r="V361" i="9"/>
  <c r="V362" i="9"/>
  <c r="V363" i="9"/>
  <c r="V364" i="9"/>
  <c r="V365" i="9"/>
  <c r="V366" i="9"/>
  <c r="V367" i="9"/>
  <c r="V368" i="9"/>
  <c r="V369" i="9"/>
  <c r="V370" i="9"/>
  <c r="V371" i="9"/>
  <c r="V372" i="9"/>
  <c r="V373" i="9"/>
  <c r="V374" i="9"/>
  <c r="V375" i="9"/>
  <c r="V376" i="9"/>
  <c r="V377" i="9"/>
  <c r="V378" i="9"/>
  <c r="V379" i="9"/>
  <c r="V380" i="9"/>
  <c r="V381" i="9"/>
  <c r="V382" i="9"/>
  <c r="V383" i="9"/>
  <c r="V384" i="9"/>
  <c r="V385" i="9"/>
  <c r="V386" i="9"/>
  <c r="V387" i="9"/>
  <c r="V388" i="9"/>
  <c r="V389" i="9"/>
  <c r="V390" i="9"/>
  <c r="V391" i="9"/>
  <c r="V392" i="9"/>
  <c r="V393" i="9"/>
  <c r="V394" i="9"/>
  <c r="V395" i="9"/>
  <c r="V396" i="9"/>
  <c r="V397" i="9"/>
  <c r="V398" i="9"/>
  <c r="V399" i="9"/>
  <c r="V400" i="9"/>
  <c r="V401" i="9"/>
  <c r="V402" i="9"/>
  <c r="V403" i="9"/>
  <c r="V404" i="9"/>
  <c r="V405" i="9"/>
  <c r="V406" i="9"/>
  <c r="V407" i="9"/>
  <c r="V408" i="9"/>
  <c r="V409" i="9"/>
  <c r="V410" i="9"/>
  <c r="V411" i="9"/>
  <c r="V412" i="9"/>
  <c r="V413" i="9"/>
  <c r="V414" i="9"/>
  <c r="V415" i="9"/>
  <c r="V416" i="9"/>
  <c r="V417" i="9"/>
  <c r="V418" i="9"/>
  <c r="V419" i="9"/>
  <c r="V420" i="9"/>
  <c r="V421" i="9"/>
  <c r="V422" i="9"/>
  <c r="V423" i="9"/>
  <c r="V424" i="9"/>
  <c r="V425" i="9"/>
  <c r="V426" i="9"/>
  <c r="V427" i="9"/>
  <c r="V428" i="9"/>
  <c r="V429" i="9"/>
  <c r="V430" i="9"/>
  <c r="V431" i="9"/>
  <c r="V432" i="9"/>
  <c r="V433" i="9"/>
  <c r="V434" i="9"/>
  <c r="V435" i="9"/>
  <c r="V436" i="9"/>
  <c r="V437" i="9"/>
  <c r="V438" i="9"/>
  <c r="V439" i="9"/>
  <c r="V440" i="9"/>
  <c r="V441" i="9"/>
  <c r="V442" i="9"/>
  <c r="V443" i="9"/>
  <c r="V444" i="9"/>
  <c r="V445" i="9"/>
  <c r="V446" i="9"/>
  <c r="V447" i="9"/>
  <c r="V448" i="9"/>
  <c r="V449" i="9"/>
  <c r="V450" i="9"/>
  <c r="V451" i="9"/>
  <c r="V452" i="9"/>
  <c r="V453" i="9"/>
  <c r="V454" i="9"/>
  <c r="V455" i="9"/>
  <c r="V456" i="9"/>
  <c r="V457" i="9"/>
  <c r="V458" i="9"/>
  <c r="V459" i="9"/>
  <c r="V460" i="9"/>
  <c r="V461" i="9"/>
  <c r="V462" i="9"/>
  <c r="V463" i="9"/>
  <c r="V464" i="9"/>
  <c r="V465" i="9"/>
  <c r="V466" i="9"/>
  <c r="V467" i="9"/>
  <c r="V468" i="9"/>
  <c r="V469" i="9"/>
  <c r="V470" i="9"/>
  <c r="V471" i="9"/>
  <c r="V472" i="9"/>
  <c r="V473" i="9"/>
  <c r="V474" i="9"/>
  <c r="V475" i="9"/>
  <c r="V476" i="9"/>
  <c r="V477" i="9"/>
  <c r="V478" i="9"/>
  <c r="V479" i="9"/>
  <c r="V480" i="9"/>
  <c r="V481" i="9"/>
  <c r="V482" i="9"/>
  <c r="V483" i="9"/>
  <c r="V484" i="9"/>
  <c r="V485" i="9"/>
  <c r="V486" i="9"/>
  <c r="V487" i="9"/>
  <c r="V488" i="9"/>
  <c r="V489" i="9"/>
  <c r="V490" i="9"/>
  <c r="V491" i="9"/>
  <c r="V492" i="9"/>
  <c r="V493" i="9"/>
  <c r="V494" i="9"/>
  <c r="V495" i="9"/>
  <c r="V496" i="9"/>
  <c r="V497" i="9"/>
  <c r="V498" i="9"/>
  <c r="V499" i="9"/>
  <c r="V500" i="9"/>
  <c r="V501" i="9"/>
  <c r="V2" i="9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12" i="9"/>
  <c r="U213" i="9"/>
  <c r="U214" i="9"/>
  <c r="U215" i="9"/>
  <c r="U216" i="9"/>
  <c r="U217" i="9"/>
  <c r="U218" i="9"/>
  <c r="U219" i="9"/>
  <c r="U220" i="9"/>
  <c r="U221" i="9"/>
  <c r="U222" i="9"/>
  <c r="U223" i="9"/>
  <c r="U224" i="9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69" i="9"/>
  <c r="U270" i="9"/>
  <c r="U271" i="9"/>
  <c r="U272" i="9"/>
  <c r="U273" i="9"/>
  <c r="U274" i="9"/>
  <c r="U275" i="9"/>
  <c r="U276" i="9"/>
  <c r="U277" i="9"/>
  <c r="U278" i="9"/>
  <c r="U279" i="9"/>
  <c r="U280" i="9"/>
  <c r="U281" i="9"/>
  <c r="U282" i="9"/>
  <c r="U283" i="9"/>
  <c r="U284" i="9"/>
  <c r="U285" i="9"/>
  <c r="U286" i="9"/>
  <c r="U287" i="9"/>
  <c r="U288" i="9"/>
  <c r="U289" i="9"/>
  <c r="U290" i="9"/>
  <c r="U291" i="9"/>
  <c r="U292" i="9"/>
  <c r="U293" i="9"/>
  <c r="U294" i="9"/>
  <c r="U295" i="9"/>
  <c r="U296" i="9"/>
  <c r="U297" i="9"/>
  <c r="U298" i="9"/>
  <c r="U299" i="9"/>
  <c r="U300" i="9"/>
  <c r="U301" i="9"/>
  <c r="U302" i="9"/>
  <c r="U303" i="9"/>
  <c r="U304" i="9"/>
  <c r="U305" i="9"/>
  <c r="U306" i="9"/>
  <c r="U307" i="9"/>
  <c r="U308" i="9"/>
  <c r="U309" i="9"/>
  <c r="U310" i="9"/>
  <c r="U311" i="9"/>
  <c r="U312" i="9"/>
  <c r="U313" i="9"/>
  <c r="U314" i="9"/>
  <c r="U315" i="9"/>
  <c r="U316" i="9"/>
  <c r="U317" i="9"/>
  <c r="U318" i="9"/>
  <c r="U319" i="9"/>
  <c r="U320" i="9"/>
  <c r="U321" i="9"/>
  <c r="U322" i="9"/>
  <c r="U323" i="9"/>
  <c r="U324" i="9"/>
  <c r="U325" i="9"/>
  <c r="U326" i="9"/>
  <c r="U327" i="9"/>
  <c r="U328" i="9"/>
  <c r="U329" i="9"/>
  <c r="U330" i="9"/>
  <c r="U331" i="9"/>
  <c r="U332" i="9"/>
  <c r="U333" i="9"/>
  <c r="U334" i="9"/>
  <c r="U335" i="9"/>
  <c r="U336" i="9"/>
  <c r="U337" i="9"/>
  <c r="U338" i="9"/>
  <c r="U339" i="9"/>
  <c r="U340" i="9"/>
  <c r="U341" i="9"/>
  <c r="U342" i="9"/>
  <c r="U343" i="9"/>
  <c r="U344" i="9"/>
  <c r="U345" i="9"/>
  <c r="U346" i="9"/>
  <c r="U347" i="9"/>
  <c r="U348" i="9"/>
  <c r="U349" i="9"/>
  <c r="U350" i="9"/>
  <c r="U351" i="9"/>
  <c r="U352" i="9"/>
  <c r="U353" i="9"/>
  <c r="U354" i="9"/>
  <c r="U355" i="9"/>
  <c r="U356" i="9"/>
  <c r="U357" i="9"/>
  <c r="U358" i="9"/>
  <c r="U359" i="9"/>
  <c r="U360" i="9"/>
  <c r="U361" i="9"/>
  <c r="U362" i="9"/>
  <c r="U363" i="9"/>
  <c r="U364" i="9"/>
  <c r="U365" i="9"/>
  <c r="U366" i="9"/>
  <c r="U367" i="9"/>
  <c r="U368" i="9"/>
  <c r="U369" i="9"/>
  <c r="U370" i="9"/>
  <c r="U371" i="9"/>
  <c r="U372" i="9"/>
  <c r="U373" i="9"/>
  <c r="U374" i="9"/>
  <c r="U375" i="9"/>
  <c r="U376" i="9"/>
  <c r="U377" i="9"/>
  <c r="U378" i="9"/>
  <c r="U379" i="9"/>
  <c r="U380" i="9"/>
  <c r="U381" i="9"/>
  <c r="U382" i="9"/>
  <c r="U383" i="9"/>
  <c r="U384" i="9"/>
  <c r="U385" i="9"/>
  <c r="U386" i="9"/>
  <c r="U387" i="9"/>
  <c r="U388" i="9"/>
  <c r="U389" i="9"/>
  <c r="U390" i="9"/>
  <c r="U391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U405" i="9"/>
  <c r="U406" i="9"/>
  <c r="U407" i="9"/>
  <c r="U408" i="9"/>
  <c r="U409" i="9"/>
  <c r="U410" i="9"/>
  <c r="U411" i="9"/>
  <c r="U412" i="9"/>
  <c r="U413" i="9"/>
  <c r="U414" i="9"/>
  <c r="U415" i="9"/>
  <c r="U416" i="9"/>
  <c r="U417" i="9"/>
  <c r="U418" i="9"/>
  <c r="U419" i="9"/>
  <c r="U420" i="9"/>
  <c r="U421" i="9"/>
  <c r="U422" i="9"/>
  <c r="U423" i="9"/>
  <c r="U424" i="9"/>
  <c r="U425" i="9"/>
  <c r="U426" i="9"/>
  <c r="U427" i="9"/>
  <c r="U428" i="9"/>
  <c r="U429" i="9"/>
  <c r="U430" i="9"/>
  <c r="U431" i="9"/>
  <c r="U432" i="9"/>
  <c r="U433" i="9"/>
  <c r="U434" i="9"/>
  <c r="U435" i="9"/>
  <c r="U436" i="9"/>
  <c r="U437" i="9"/>
  <c r="U438" i="9"/>
  <c r="U439" i="9"/>
  <c r="U440" i="9"/>
  <c r="U441" i="9"/>
  <c r="U442" i="9"/>
  <c r="U443" i="9"/>
  <c r="U444" i="9"/>
  <c r="U445" i="9"/>
  <c r="U446" i="9"/>
  <c r="U447" i="9"/>
  <c r="U448" i="9"/>
  <c r="U449" i="9"/>
  <c r="U450" i="9"/>
  <c r="U451" i="9"/>
  <c r="U452" i="9"/>
  <c r="U453" i="9"/>
  <c r="U454" i="9"/>
  <c r="U455" i="9"/>
  <c r="U456" i="9"/>
  <c r="U457" i="9"/>
  <c r="U458" i="9"/>
  <c r="U459" i="9"/>
  <c r="U460" i="9"/>
  <c r="U461" i="9"/>
  <c r="U462" i="9"/>
  <c r="U463" i="9"/>
  <c r="U464" i="9"/>
  <c r="U465" i="9"/>
  <c r="U466" i="9"/>
  <c r="U467" i="9"/>
  <c r="U468" i="9"/>
  <c r="U469" i="9"/>
  <c r="U470" i="9"/>
  <c r="U471" i="9"/>
  <c r="U472" i="9"/>
  <c r="U473" i="9"/>
  <c r="U474" i="9"/>
  <c r="U475" i="9"/>
  <c r="U476" i="9"/>
  <c r="U477" i="9"/>
  <c r="U478" i="9"/>
  <c r="U479" i="9"/>
  <c r="U480" i="9"/>
  <c r="U481" i="9"/>
  <c r="U482" i="9"/>
  <c r="U483" i="9"/>
  <c r="U484" i="9"/>
  <c r="U485" i="9"/>
  <c r="U486" i="9"/>
  <c r="U487" i="9"/>
  <c r="U488" i="9"/>
  <c r="U489" i="9"/>
  <c r="U490" i="9"/>
  <c r="U491" i="9"/>
  <c r="U492" i="9"/>
  <c r="U493" i="9"/>
  <c r="U494" i="9"/>
  <c r="U495" i="9"/>
  <c r="U496" i="9"/>
  <c r="U497" i="9"/>
  <c r="U498" i="9"/>
  <c r="U499" i="9"/>
  <c r="U500" i="9"/>
  <c r="U501" i="9"/>
  <c r="U2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2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28" i="9"/>
  <c r="S329" i="9"/>
  <c r="S330" i="9"/>
  <c r="S331" i="9"/>
  <c r="S332" i="9"/>
  <c r="S333" i="9"/>
  <c r="S334" i="9"/>
  <c r="S335" i="9"/>
  <c r="S336" i="9"/>
  <c r="S337" i="9"/>
  <c r="S338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8" i="9"/>
  <c r="S369" i="9"/>
  <c r="S370" i="9"/>
  <c r="S371" i="9"/>
  <c r="S372" i="9"/>
  <c r="S373" i="9"/>
  <c r="S374" i="9"/>
  <c r="S375" i="9"/>
  <c r="S376" i="9"/>
  <c r="S377" i="9"/>
  <c r="S378" i="9"/>
  <c r="S379" i="9"/>
  <c r="S380" i="9"/>
  <c r="S381" i="9"/>
  <c r="S382" i="9"/>
  <c r="S383" i="9"/>
  <c r="S384" i="9"/>
  <c r="S385" i="9"/>
  <c r="S386" i="9"/>
  <c r="S387" i="9"/>
  <c r="S388" i="9"/>
  <c r="S389" i="9"/>
  <c r="S390" i="9"/>
  <c r="S391" i="9"/>
  <c r="S392" i="9"/>
  <c r="S393" i="9"/>
  <c r="S394" i="9"/>
  <c r="S395" i="9"/>
  <c r="S396" i="9"/>
  <c r="S397" i="9"/>
  <c r="S398" i="9"/>
  <c r="S399" i="9"/>
  <c r="S400" i="9"/>
  <c r="S401" i="9"/>
  <c r="S402" i="9"/>
  <c r="S403" i="9"/>
  <c r="S404" i="9"/>
  <c r="S405" i="9"/>
  <c r="S406" i="9"/>
  <c r="S407" i="9"/>
  <c r="S408" i="9"/>
  <c r="S409" i="9"/>
  <c r="S410" i="9"/>
  <c r="S411" i="9"/>
  <c r="S412" i="9"/>
  <c r="S413" i="9"/>
  <c r="S414" i="9"/>
  <c r="S415" i="9"/>
  <c r="S416" i="9"/>
  <c r="S417" i="9"/>
  <c r="S418" i="9"/>
  <c r="S419" i="9"/>
  <c r="S420" i="9"/>
  <c r="S421" i="9"/>
  <c r="S422" i="9"/>
  <c r="S423" i="9"/>
  <c r="S424" i="9"/>
  <c r="S425" i="9"/>
  <c r="S426" i="9"/>
  <c r="S427" i="9"/>
  <c r="S428" i="9"/>
  <c r="S429" i="9"/>
  <c r="S430" i="9"/>
  <c r="S431" i="9"/>
  <c r="S432" i="9"/>
  <c r="S433" i="9"/>
  <c r="S434" i="9"/>
  <c r="S435" i="9"/>
  <c r="S436" i="9"/>
  <c r="S437" i="9"/>
  <c r="S438" i="9"/>
  <c r="S439" i="9"/>
  <c r="S440" i="9"/>
  <c r="S441" i="9"/>
  <c r="S442" i="9"/>
  <c r="S443" i="9"/>
  <c r="S444" i="9"/>
  <c r="S445" i="9"/>
  <c r="S446" i="9"/>
  <c r="S447" i="9"/>
  <c r="S448" i="9"/>
  <c r="S449" i="9"/>
  <c r="S450" i="9"/>
  <c r="S451" i="9"/>
  <c r="S452" i="9"/>
  <c r="S453" i="9"/>
  <c r="S454" i="9"/>
  <c r="S455" i="9"/>
  <c r="S456" i="9"/>
  <c r="S457" i="9"/>
  <c r="S458" i="9"/>
  <c r="S459" i="9"/>
  <c r="S460" i="9"/>
  <c r="S461" i="9"/>
  <c r="S462" i="9"/>
  <c r="S463" i="9"/>
  <c r="S464" i="9"/>
  <c r="S465" i="9"/>
  <c r="S466" i="9"/>
  <c r="S467" i="9"/>
  <c r="S468" i="9"/>
  <c r="S469" i="9"/>
  <c r="S470" i="9"/>
  <c r="S471" i="9"/>
  <c r="S472" i="9"/>
  <c r="S473" i="9"/>
  <c r="S474" i="9"/>
  <c r="S475" i="9"/>
  <c r="S476" i="9"/>
  <c r="S477" i="9"/>
  <c r="S478" i="9"/>
  <c r="S479" i="9"/>
  <c r="S480" i="9"/>
  <c r="S481" i="9"/>
  <c r="S482" i="9"/>
  <c r="S483" i="9"/>
  <c r="S484" i="9"/>
  <c r="S485" i="9"/>
  <c r="S486" i="9"/>
  <c r="S487" i="9"/>
  <c r="S488" i="9"/>
  <c r="S489" i="9"/>
  <c r="S490" i="9"/>
  <c r="S491" i="9"/>
  <c r="S492" i="9"/>
  <c r="S493" i="9"/>
  <c r="S494" i="9"/>
  <c r="S495" i="9"/>
  <c r="S496" i="9"/>
  <c r="S497" i="9"/>
  <c r="S498" i="9"/>
  <c r="S499" i="9"/>
  <c r="S500" i="9"/>
  <c r="S501" i="9"/>
  <c r="S2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0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2" i="9"/>
  <c r="AF6" i="3"/>
  <c r="AF7" i="3"/>
  <c r="AF8" i="3"/>
  <c r="AF9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3" i="3"/>
  <c r="AF4" i="3"/>
  <c r="AF5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3" i="3"/>
  <c r="AD4" i="3"/>
  <c r="AD5" i="3"/>
  <c r="AD6" i="3"/>
  <c r="AD7" i="3"/>
  <c r="AD8" i="3"/>
  <c r="AD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" i="3"/>
  <c r="Y4" i="3"/>
  <c r="Y5" i="3"/>
  <c r="Y6" i="3"/>
  <c r="Y7" i="3"/>
  <c r="Y8" i="3"/>
  <c r="Y9" i="3"/>
  <c r="Y10" i="3"/>
  <c r="Y11" i="3"/>
  <c r="Y12" i="3"/>
  <c r="Y13" i="3"/>
  <c r="AA2" i="3"/>
  <c r="Y2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57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8" i="3"/>
  <c r="W9" i="3"/>
  <c r="W10" i="3"/>
  <c r="W11" i="3"/>
  <c r="W5" i="3"/>
  <c r="W6" i="3"/>
  <c r="W7" i="3"/>
  <c r="W3" i="3"/>
  <c r="W4" i="3"/>
  <c r="W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3" i="3"/>
  <c r="U4" i="3"/>
  <c r="U5" i="3"/>
  <c r="U6" i="3"/>
  <c r="U7" i="3"/>
  <c r="U9" i="3"/>
  <c r="U10" i="3"/>
  <c r="U11" i="3"/>
  <c r="U12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2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3" i="3"/>
  <c r="R4" i="3"/>
  <c r="R5" i="3"/>
  <c r="R6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Z4" i="2"/>
  <c r="S34" i="2"/>
  <c r="R30" i="2"/>
  <c r="R27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2" i="2"/>
  <c r="P3" i="2"/>
  <c r="P4" i="2"/>
  <c r="P5" i="2"/>
  <c r="P6" i="2"/>
  <c r="P7" i="2"/>
  <c r="P8" i="2"/>
  <c r="P9" i="2"/>
  <c r="P10" i="2"/>
  <c r="P11" i="2"/>
  <c r="P12" i="2"/>
  <c r="R26" i="2"/>
  <c r="S21" i="2"/>
  <c r="S18" i="2"/>
  <c r="R11" i="2"/>
  <c r="Q2" i="2"/>
  <c r="Q2" i="1"/>
  <c r="R2" i="1" a="1"/>
  <c r="S2" i="1"/>
  <c r="Q3" i="1"/>
  <c r="R3" i="1" a="1"/>
  <c r="S3" i="1"/>
  <c r="Q4" i="1"/>
  <c r="R4" i="1" a="1"/>
  <c r="S4" i="1"/>
  <c r="Q5" i="1"/>
  <c r="R5" i="1" a="1"/>
  <c r="S5" i="1"/>
  <c r="Q6" i="1"/>
  <c r="R6" i="1" a="1"/>
  <c r="S6" i="1"/>
  <c r="Q7" i="1"/>
  <c r="R7" i="1" a="1"/>
  <c r="S7" i="1"/>
  <c r="Q8" i="1"/>
  <c r="R8" i="1" a="1"/>
  <c r="S8" i="1"/>
  <c r="Q9" i="1"/>
  <c r="R9" i="1" a="1"/>
  <c r="S9" i="1"/>
  <c r="Q10" i="1"/>
  <c r="R10" i="1" a="1"/>
  <c r="S10" i="1"/>
  <c r="Q11" i="1"/>
  <c r="R11" i="1" a="1"/>
  <c r="S11" i="1"/>
  <c r="Q12" i="1"/>
  <c r="R12" i="1" a="1"/>
  <c r="S12" i="1"/>
  <c r="Q13" i="1"/>
  <c r="R13" i="1" a="1"/>
  <c r="S13" i="1"/>
  <c r="Q14" i="1"/>
  <c r="R14" i="1" a="1"/>
  <c r="S14" i="1"/>
  <c r="Q15" i="1"/>
  <c r="R15" i="1" a="1"/>
  <c r="S15" i="1"/>
  <c r="Q16" i="1"/>
  <c r="R16" i="1" a="1"/>
  <c r="S16" i="1"/>
  <c r="Q17" i="1"/>
  <c r="R17" i="1" a="1"/>
  <c r="S17" i="1"/>
  <c r="Q18" i="1"/>
  <c r="R18" i="1" a="1"/>
  <c r="S18" i="1"/>
  <c r="Q19" i="1"/>
  <c r="R19" i="1" a="1"/>
  <c r="S19" i="1"/>
  <c r="Q20" i="1"/>
  <c r="R20" i="1" a="1"/>
  <c r="S20" i="1"/>
  <c r="Q21" i="1"/>
  <c r="R21" i="1" a="1"/>
  <c r="S21" i="1"/>
  <c r="Q22" i="1"/>
  <c r="R22" i="1" a="1"/>
  <c r="S22" i="1"/>
  <c r="Q23" i="1"/>
  <c r="R23" i="1" a="1"/>
  <c r="S23" i="1"/>
  <c r="Q24" i="1"/>
  <c r="R24" i="1" a="1"/>
  <c r="S24" i="1"/>
  <c r="Q25" i="1"/>
  <c r="R25" i="1" a="1"/>
  <c r="S25" i="1"/>
  <c r="Q26" i="1"/>
  <c r="R26" i="1" a="1"/>
  <c r="S26" i="1"/>
  <c r="Q27" i="1"/>
  <c r="R27" i="1" a="1"/>
  <c r="S27" i="1"/>
  <c r="Q28" i="1"/>
  <c r="R28" i="1" a="1"/>
  <c r="S28" i="1"/>
  <c r="Q29" i="1"/>
  <c r="R29" i="1" a="1"/>
  <c r="S29" i="1"/>
  <c r="Q30" i="1"/>
  <c r="R30" i="1" a="1"/>
  <c r="S30" i="1"/>
  <c r="Q31" i="1"/>
  <c r="R31" i="1" a="1"/>
  <c r="S31" i="1"/>
  <c r="Q32" i="1"/>
  <c r="R32" i="1" a="1"/>
  <c r="S32" i="1"/>
  <c r="Q33" i="1"/>
  <c r="R33" i="1" a="1"/>
  <c r="S33" i="1"/>
  <c r="Q34" i="1"/>
  <c r="R34" i="1" a="1"/>
  <c r="S34" i="1"/>
  <c r="Q35" i="1"/>
  <c r="R35" i="1" a="1"/>
  <c r="S35" i="1"/>
  <c r="Q36" i="1"/>
  <c r="R36" i="1" a="1"/>
  <c r="S36" i="1"/>
  <c r="Q37" i="1"/>
  <c r="R37" i="1" a="1"/>
  <c r="S37" i="1"/>
  <c r="Q38" i="1"/>
  <c r="R38" i="1" a="1"/>
  <c r="S38" i="1"/>
  <c r="Q39" i="1"/>
  <c r="R39" i="1" a="1"/>
  <c r="S39" i="1"/>
  <c r="Q40" i="1"/>
  <c r="R40" i="1" a="1"/>
  <c r="S40" i="1"/>
  <c r="Q41" i="1"/>
  <c r="R41" i="1" a="1"/>
  <c r="S41" i="1"/>
  <c r="Q42" i="1"/>
  <c r="R42" i="1" a="1"/>
  <c r="S42" i="1"/>
  <c r="Q43" i="1"/>
  <c r="R43" i="1" a="1"/>
  <c r="S43" i="1"/>
  <c r="Q44" i="1"/>
  <c r="R44" i="1" a="1"/>
  <c r="S44" i="1"/>
  <c r="Q45" i="1"/>
  <c r="R45" i="1" a="1"/>
  <c r="S45" i="1"/>
  <c r="Q46" i="1"/>
  <c r="R46" i="1" a="1"/>
  <c r="S46" i="1"/>
  <c r="Q47" i="1"/>
  <c r="R47" i="1" a="1"/>
  <c r="S47" i="1"/>
  <c r="Q48" i="1"/>
  <c r="R48" i="1" a="1"/>
  <c r="S48" i="1"/>
  <c r="Q49" i="1"/>
  <c r="R49" i="1" a="1"/>
  <c r="S49" i="1"/>
  <c r="Q50" i="1"/>
  <c r="R50" i="1" a="1"/>
  <c r="S50" i="1"/>
  <c r="Q51" i="1"/>
  <c r="R51" i="1" a="1"/>
  <c r="S51" i="1"/>
  <c r="Q52" i="1"/>
  <c r="R52" i="1" a="1"/>
  <c r="S52" i="1"/>
  <c r="Q53" i="1"/>
  <c r="R53" i="1" a="1"/>
  <c r="S53" i="1"/>
  <c r="Q54" i="1"/>
  <c r="R54" i="1" a="1"/>
  <c r="S54" i="1"/>
  <c r="Q55" i="1"/>
  <c r="R55" i="1" a="1"/>
  <c r="S55" i="1"/>
  <c r="Q56" i="1"/>
  <c r="R56" i="1" a="1"/>
  <c r="S56" i="1"/>
  <c r="Q57" i="1"/>
  <c r="R57" i="1" a="1"/>
  <c r="S57" i="1"/>
  <c r="Q58" i="1"/>
  <c r="R58" i="1" a="1"/>
  <c r="S58" i="1"/>
  <c r="Q59" i="1"/>
  <c r="R59" i="1" a="1"/>
  <c r="S59" i="1"/>
  <c r="Q60" i="1"/>
  <c r="R60" i="1" a="1"/>
  <c r="S60" i="1"/>
  <c r="Q61" i="1"/>
  <c r="R61" i="1" a="1"/>
  <c r="S61" i="1"/>
  <c r="Q62" i="1"/>
  <c r="R62" i="1" a="1"/>
  <c r="S62" i="1"/>
  <c r="Q63" i="1"/>
  <c r="R63" i="1" a="1"/>
  <c r="S63" i="1"/>
  <c r="Q64" i="1"/>
  <c r="R64" i="1" a="1"/>
  <c r="S64" i="1"/>
  <c r="Q65" i="1"/>
  <c r="R65" i="1" a="1"/>
  <c r="S65" i="1"/>
  <c r="Q66" i="1"/>
  <c r="R66" i="1" a="1"/>
  <c r="S66" i="1"/>
  <c r="Q67" i="1"/>
  <c r="R67" i="1" a="1"/>
  <c r="S67" i="1"/>
  <c r="Q68" i="1"/>
  <c r="R68" i="1" a="1"/>
  <c r="S68" i="1"/>
  <c r="Q69" i="1"/>
  <c r="R69" i="1" a="1"/>
  <c r="S69" i="1"/>
  <c r="Q70" i="1"/>
  <c r="R70" i="1" a="1"/>
  <c r="S70" i="1"/>
  <c r="Q71" i="1"/>
  <c r="R71" i="1" a="1"/>
  <c r="S71" i="1"/>
  <c r="Q72" i="1"/>
  <c r="R72" i="1" a="1"/>
  <c r="S72" i="1"/>
  <c r="Q73" i="1"/>
  <c r="R73" i="1" a="1"/>
  <c r="S73" i="1"/>
  <c r="Q74" i="1"/>
  <c r="R74" i="1" a="1"/>
  <c r="S74" i="1"/>
  <c r="Q75" i="1"/>
  <c r="R75" i="1" a="1"/>
  <c r="S75" i="1"/>
  <c r="Q76" i="1"/>
  <c r="R76" i="1" a="1"/>
  <c r="S76" i="1"/>
  <c r="Q77" i="1"/>
  <c r="R77" i="1" a="1"/>
  <c r="S77" i="1"/>
  <c r="Q78" i="1"/>
  <c r="R78" i="1" a="1"/>
  <c r="S78" i="1"/>
  <c r="Q79" i="1"/>
  <c r="R79" i="1" a="1"/>
  <c r="S79" i="1"/>
  <c r="Q80" i="1"/>
  <c r="R80" i="1" a="1"/>
  <c r="S80" i="1"/>
  <c r="Q81" i="1"/>
  <c r="R81" i="1" a="1"/>
  <c r="S81" i="1"/>
  <c r="Q82" i="1"/>
  <c r="R82" i="1" a="1"/>
  <c r="S82" i="1"/>
  <c r="Q83" i="1"/>
  <c r="R83" i="1" a="1"/>
  <c r="S83" i="1"/>
  <c r="Q84" i="1"/>
  <c r="R84" i="1" a="1"/>
  <c r="S84" i="1"/>
  <c r="Q85" i="1"/>
  <c r="R85" i="1" a="1"/>
  <c r="S85" i="1"/>
  <c r="Q86" i="1"/>
  <c r="R86" i="1" a="1"/>
  <c r="S86" i="1"/>
  <c r="Q87" i="1"/>
  <c r="R87" i="1" a="1"/>
  <c r="S87" i="1"/>
  <c r="Q88" i="1"/>
  <c r="R88" i="1" a="1"/>
  <c r="S88" i="1"/>
  <c r="Q89" i="1"/>
  <c r="R89" i="1" a="1"/>
  <c r="S89" i="1"/>
  <c r="Q90" i="1"/>
  <c r="R90" i="1" a="1"/>
  <c r="S90" i="1"/>
  <c r="Q91" i="1"/>
  <c r="R91" i="1" a="1"/>
  <c r="S91" i="1"/>
  <c r="Q92" i="1"/>
  <c r="R92" i="1" a="1"/>
  <c r="S92" i="1"/>
  <c r="Q93" i="1"/>
  <c r="R93" i="1" a="1"/>
  <c r="S93" i="1"/>
  <c r="Q94" i="1"/>
  <c r="R94" i="1" a="1"/>
  <c r="S94" i="1"/>
  <c r="Q95" i="1"/>
  <c r="R95" i="1" a="1"/>
  <c r="S95" i="1"/>
  <c r="Q96" i="1"/>
  <c r="R96" i="1" a="1"/>
  <c r="S96" i="1"/>
  <c r="Q97" i="1"/>
  <c r="R97" i="1" a="1"/>
  <c r="S97" i="1"/>
  <c r="Q98" i="1"/>
  <c r="R98" i="1" a="1"/>
  <c r="S98" i="1"/>
  <c r="Q99" i="1"/>
  <c r="R99" i="1" a="1"/>
  <c r="S99" i="1"/>
  <c r="Q100" i="1"/>
  <c r="R100" i="1" a="1"/>
  <c r="S100" i="1"/>
  <c r="Q101" i="1"/>
  <c r="R101" i="1" a="1"/>
  <c r="S101" i="1"/>
  <c r="Q102" i="1"/>
  <c r="R102" i="1" a="1"/>
  <c r="S102" i="1"/>
  <c r="Q103" i="1"/>
  <c r="R103" i="1" a="1"/>
  <c r="S103" i="1"/>
  <c r="Q104" i="1"/>
  <c r="R104" i="1" a="1"/>
  <c r="S104" i="1"/>
  <c r="Q105" i="1"/>
  <c r="R105" i="1" a="1"/>
  <c r="S105" i="1"/>
  <c r="Q106" i="1"/>
  <c r="R106" i="1" a="1"/>
  <c r="S106" i="1"/>
  <c r="Q107" i="1"/>
  <c r="R107" i="1" a="1"/>
  <c r="S107" i="1"/>
  <c r="Q108" i="1"/>
  <c r="R108" i="1" a="1"/>
  <c r="S108" i="1"/>
  <c r="Q109" i="1"/>
  <c r="R109" i="1" a="1"/>
  <c r="S109" i="1"/>
  <c r="Q110" i="1"/>
  <c r="R110" i="1" a="1"/>
  <c r="S110" i="1"/>
  <c r="Q111" i="1"/>
  <c r="R111" i="1" a="1"/>
  <c r="S111" i="1"/>
  <c r="Q112" i="1"/>
  <c r="R112" i="1" a="1"/>
  <c r="S112" i="1"/>
  <c r="Q113" i="1"/>
  <c r="R113" i="1" a="1"/>
  <c r="S113" i="1"/>
  <c r="Q114" i="1"/>
  <c r="R114" i="1" a="1"/>
  <c r="S114" i="1"/>
  <c r="Q115" i="1"/>
  <c r="R115" i="1" a="1"/>
  <c r="S115" i="1"/>
  <c r="Q116" i="1"/>
  <c r="R116" i="1" a="1"/>
  <c r="S116" i="1"/>
  <c r="Q117" i="1"/>
  <c r="R117" i="1" a="1"/>
  <c r="S117" i="1"/>
  <c r="Q118" i="1"/>
  <c r="R118" i="1" a="1"/>
  <c r="S118" i="1"/>
  <c r="Q119" i="1"/>
  <c r="R119" i="1" a="1"/>
  <c r="S119" i="1"/>
  <c r="Q120" i="1"/>
  <c r="R120" i="1" a="1"/>
  <c r="S120" i="1"/>
  <c r="Q121" i="1"/>
  <c r="R121" i="1" a="1"/>
  <c r="S121" i="1"/>
  <c r="Q122" i="1"/>
  <c r="R122" i="1" a="1"/>
  <c r="S122" i="1"/>
  <c r="Q123" i="1"/>
  <c r="R123" i="1" a="1"/>
  <c r="S123" i="1"/>
  <c r="Q124" i="1"/>
  <c r="R124" i="1" a="1"/>
  <c r="S124" i="1"/>
  <c r="Q125" i="1"/>
  <c r="R125" i="1" a="1"/>
  <c r="S125" i="1"/>
  <c r="Q126" i="1"/>
  <c r="R126" i="1" a="1"/>
  <c r="S126" i="1"/>
  <c r="Q127" i="1"/>
  <c r="R127" i="1" a="1"/>
  <c r="S127" i="1"/>
  <c r="Q128" i="1"/>
  <c r="R128" i="1" a="1"/>
  <c r="S128" i="1"/>
  <c r="Q129" i="1"/>
  <c r="R129" i="1" a="1"/>
  <c r="S129" i="1"/>
  <c r="Q130" i="1"/>
  <c r="R130" i="1" a="1"/>
  <c r="S130" i="1"/>
  <c r="Q131" i="1"/>
  <c r="R131" i="1" a="1"/>
  <c r="S131" i="1"/>
  <c r="Q132" i="1"/>
  <c r="R132" i="1" a="1"/>
  <c r="S132" i="1"/>
  <c r="Q133" i="1"/>
  <c r="R133" i="1" a="1"/>
  <c r="S133" i="1"/>
  <c r="Q134" i="1"/>
  <c r="R134" i="1" a="1"/>
  <c r="S134" i="1"/>
  <c r="Q135" i="1"/>
  <c r="R135" i="1" a="1"/>
  <c r="S135" i="1"/>
  <c r="Q136" i="1"/>
  <c r="R136" i="1" a="1"/>
  <c r="S136" i="1"/>
  <c r="Q137" i="1"/>
  <c r="R137" i="1" a="1"/>
  <c r="S137" i="1"/>
  <c r="Q138" i="1"/>
  <c r="R138" i="1" a="1"/>
  <c r="S138" i="1"/>
  <c r="Q139" i="1"/>
  <c r="R139" i="1" a="1"/>
  <c r="S139" i="1"/>
  <c r="Q140" i="1"/>
  <c r="R140" i="1" a="1"/>
  <c r="S140" i="1"/>
  <c r="Q141" i="1"/>
  <c r="R141" i="1" a="1"/>
  <c r="S141" i="1"/>
  <c r="Q142" i="1"/>
  <c r="R142" i="1" a="1"/>
  <c r="S142" i="1"/>
  <c r="Q143" i="1"/>
  <c r="R143" i="1" a="1"/>
  <c r="S143" i="1"/>
  <c r="Q144" i="1"/>
  <c r="R144" i="1" a="1"/>
  <c r="S144" i="1"/>
  <c r="Q145" i="1"/>
  <c r="R145" i="1" a="1"/>
  <c r="S145" i="1"/>
  <c r="Q146" i="1"/>
  <c r="R146" i="1" a="1"/>
  <c r="S146" i="1"/>
  <c r="Q147" i="1"/>
  <c r="R147" i="1" a="1"/>
  <c r="S147" i="1"/>
  <c r="Q148" i="1"/>
  <c r="R148" i="1" a="1"/>
  <c r="S148" i="1"/>
  <c r="Q149" i="1"/>
  <c r="R149" i="1" a="1"/>
  <c r="S149" i="1"/>
  <c r="Q150" i="1"/>
  <c r="R150" i="1" a="1"/>
  <c r="S150" i="1"/>
  <c r="Q151" i="1"/>
  <c r="R151" i="1" a="1"/>
  <c r="S151" i="1"/>
  <c r="Q152" i="1"/>
  <c r="R152" i="1" a="1"/>
  <c r="S152" i="1"/>
  <c r="Q153" i="1"/>
  <c r="R153" i="1" a="1"/>
  <c r="S153" i="1"/>
  <c r="Q154" i="1"/>
  <c r="R154" i="1" a="1"/>
  <c r="S154" i="1"/>
  <c r="Q155" i="1"/>
  <c r="R155" i="1" a="1"/>
  <c r="S155" i="1"/>
  <c r="Q156" i="1"/>
  <c r="R156" i="1" a="1"/>
  <c r="S156" i="1"/>
  <c r="Q157" i="1"/>
  <c r="R157" i="1" a="1"/>
  <c r="S157" i="1"/>
  <c r="Q158" i="1"/>
  <c r="R158" i="1" a="1"/>
  <c r="S158" i="1"/>
  <c r="Q159" i="1"/>
  <c r="R159" i="1" a="1"/>
  <c r="S159" i="1"/>
  <c r="Q160" i="1"/>
  <c r="R160" i="1" a="1"/>
  <c r="S160" i="1"/>
  <c r="Q161" i="1"/>
  <c r="R161" i="1" a="1"/>
  <c r="S161" i="1"/>
  <c r="Q162" i="1"/>
  <c r="R162" i="1" a="1"/>
  <c r="S162" i="1"/>
  <c r="Q163" i="1"/>
  <c r="R163" i="1" a="1"/>
  <c r="S163" i="1"/>
  <c r="Q164" i="1"/>
  <c r="R164" i="1" a="1"/>
  <c r="S164" i="1"/>
  <c r="Q165" i="1"/>
  <c r="R165" i="1" a="1"/>
  <c r="S165" i="1"/>
  <c r="Q166" i="1"/>
  <c r="R166" i="1" a="1"/>
  <c r="S166" i="1"/>
  <c r="Q167" i="1"/>
  <c r="R167" i="1" a="1"/>
  <c r="S167" i="1"/>
  <c r="Q168" i="1"/>
  <c r="R168" i="1" a="1"/>
  <c r="S168" i="1"/>
  <c r="Q169" i="1"/>
  <c r="R169" i="1" a="1"/>
  <c r="S169" i="1"/>
  <c r="Q170" i="1"/>
  <c r="R170" i="1" a="1"/>
  <c r="S170" i="1"/>
  <c r="Q171" i="1"/>
  <c r="R171" i="1" a="1"/>
  <c r="S171" i="1"/>
  <c r="Q172" i="1"/>
  <c r="R172" i="1" a="1"/>
  <c r="S172" i="1"/>
  <c r="Q173" i="1"/>
  <c r="R173" i="1" a="1"/>
  <c r="S173" i="1"/>
  <c r="Q174" i="1"/>
  <c r="R174" i="1" a="1"/>
  <c r="S174" i="1"/>
  <c r="Q175" i="1"/>
  <c r="R175" i="1" a="1"/>
  <c r="S175" i="1"/>
  <c r="Q176" i="1"/>
  <c r="R176" i="1" a="1"/>
  <c r="S176" i="1"/>
  <c r="Q177" i="1"/>
  <c r="R177" i="1" a="1"/>
  <c r="S177" i="1"/>
  <c r="Q178" i="1"/>
  <c r="R178" i="1" a="1"/>
  <c r="S178" i="1"/>
  <c r="Q179" i="1"/>
  <c r="R179" i="1" a="1"/>
  <c r="S179" i="1"/>
  <c r="Q180" i="1"/>
  <c r="R180" i="1" a="1"/>
  <c r="S180" i="1"/>
  <c r="Q181" i="1"/>
  <c r="R181" i="1" a="1"/>
  <c r="S181" i="1"/>
  <c r="Q182" i="1"/>
  <c r="R182" i="1" a="1"/>
  <c r="S182" i="1"/>
  <c r="Q183" i="1"/>
  <c r="R183" i="1" a="1"/>
  <c r="S183" i="1"/>
  <c r="Q184" i="1"/>
  <c r="R184" i="1" a="1"/>
  <c r="S184" i="1"/>
  <c r="Q185" i="1"/>
  <c r="R185" i="1" a="1"/>
  <c r="S185" i="1"/>
  <c r="Q186" i="1"/>
  <c r="R186" i="1" a="1"/>
  <c r="S186" i="1"/>
  <c r="Q187" i="1"/>
  <c r="R187" i="1" a="1"/>
  <c r="S187" i="1"/>
  <c r="Q188" i="1"/>
  <c r="R188" i="1" a="1"/>
  <c r="S188" i="1"/>
  <c r="Q189" i="1"/>
  <c r="R189" i="1" a="1"/>
  <c r="S189" i="1"/>
  <c r="Q190" i="1"/>
  <c r="R190" i="1" a="1"/>
  <c r="S190" i="1"/>
  <c r="Q191" i="1"/>
  <c r="R191" i="1" a="1"/>
  <c r="S191" i="1"/>
  <c r="Q192" i="1"/>
  <c r="R192" i="1" a="1"/>
  <c r="S192" i="1"/>
  <c r="Q193" i="1"/>
  <c r="R193" i="1" a="1"/>
  <c r="S193" i="1"/>
  <c r="Q194" i="1"/>
  <c r="R194" i="1" a="1"/>
  <c r="S194" i="1"/>
  <c r="Q195" i="1"/>
  <c r="R195" i="1" a="1"/>
  <c r="S195" i="1"/>
  <c r="Q196" i="1"/>
  <c r="R196" i="1" a="1"/>
  <c r="S196" i="1"/>
  <c r="Q197" i="1"/>
  <c r="R197" i="1" a="1"/>
  <c r="S197" i="1"/>
  <c r="Q198" i="1"/>
  <c r="R198" i="1" a="1"/>
  <c r="S198" i="1"/>
  <c r="Q199" i="1"/>
  <c r="R199" i="1" a="1"/>
  <c r="S199" i="1"/>
  <c r="Q200" i="1"/>
  <c r="R200" i="1" a="1"/>
  <c r="S200" i="1"/>
  <c r="Q201" i="1"/>
  <c r="R201" i="1" a="1"/>
  <c r="S201" i="1"/>
  <c r="Q202" i="1"/>
  <c r="R202" i="1" a="1"/>
  <c r="S202" i="1"/>
  <c r="Q203" i="1"/>
  <c r="R203" i="1" a="1"/>
  <c r="S203" i="1"/>
  <c r="Q204" i="1"/>
  <c r="R204" i="1" a="1"/>
  <c r="S204" i="1"/>
  <c r="Q205" i="1"/>
  <c r="R205" i="1" a="1"/>
  <c r="S205" i="1"/>
  <c r="Q206" i="1"/>
  <c r="R206" i="1" a="1"/>
  <c r="S206" i="1"/>
  <c r="Q207" i="1"/>
  <c r="R207" i="1" a="1"/>
  <c r="S207" i="1"/>
  <c r="Q208" i="1"/>
  <c r="R208" i="1" a="1"/>
  <c r="S208" i="1"/>
  <c r="Q209" i="1"/>
  <c r="R209" i="1" a="1"/>
  <c r="S209" i="1"/>
  <c r="Q210" i="1"/>
  <c r="R210" i="1" a="1"/>
  <c r="S210" i="1"/>
  <c r="Q211" i="1"/>
  <c r="R211" i="1" a="1"/>
  <c r="S211" i="1"/>
  <c r="Q212" i="1"/>
  <c r="R212" i="1" a="1"/>
  <c r="S212" i="1"/>
  <c r="Q213" i="1"/>
  <c r="R213" i="1" a="1"/>
  <c r="S213" i="1"/>
  <c r="Q214" i="1"/>
  <c r="R214" i="1" a="1"/>
  <c r="S214" i="1"/>
  <c r="Q215" i="1"/>
  <c r="R215" i="1" a="1"/>
  <c r="S215" i="1"/>
  <c r="Q216" i="1"/>
  <c r="R216" i="1" a="1"/>
  <c r="S216" i="1"/>
  <c r="Q217" i="1"/>
  <c r="R217" i="1" a="1"/>
  <c r="S217" i="1"/>
  <c r="Q218" i="1"/>
  <c r="R218" i="1" a="1"/>
  <c r="S218" i="1"/>
  <c r="Q219" i="1"/>
  <c r="R219" i="1" a="1"/>
  <c r="S219" i="1"/>
  <c r="Q220" i="1"/>
  <c r="R220" i="1" a="1"/>
  <c r="S220" i="1"/>
  <c r="Q221" i="1"/>
  <c r="R221" i="1" a="1"/>
  <c r="S221" i="1"/>
  <c r="Q222" i="1"/>
  <c r="R222" i="1" a="1"/>
  <c r="S222" i="1"/>
  <c r="Q223" i="1"/>
  <c r="R223" i="1" a="1"/>
  <c r="S223" i="1"/>
  <c r="Q224" i="1"/>
  <c r="R224" i="1" a="1"/>
  <c r="S224" i="1"/>
  <c r="Q225" i="1"/>
  <c r="R225" i="1" a="1"/>
  <c r="S225" i="1"/>
  <c r="Q226" i="1"/>
  <c r="R226" i="1" a="1"/>
  <c r="S226" i="1"/>
  <c r="Q227" i="1"/>
  <c r="R227" i="1" a="1"/>
  <c r="S227" i="1"/>
  <c r="Q228" i="1"/>
  <c r="R228" i="1" a="1"/>
  <c r="S228" i="1"/>
  <c r="Q229" i="1"/>
  <c r="R229" i="1" a="1"/>
  <c r="S229" i="1"/>
  <c r="Q230" i="1"/>
  <c r="R230" i="1" a="1"/>
  <c r="S230" i="1"/>
  <c r="Q231" i="1"/>
  <c r="R231" i="1" a="1"/>
  <c r="S231" i="1"/>
  <c r="Q232" i="1"/>
  <c r="R232" i="1" a="1"/>
  <c r="S232" i="1"/>
  <c r="Q233" i="1"/>
  <c r="R233" i="1" a="1"/>
  <c r="S233" i="1"/>
  <c r="Q234" i="1"/>
  <c r="R234" i="1" a="1"/>
  <c r="S234" i="1"/>
  <c r="Q235" i="1"/>
  <c r="R235" i="1" a="1"/>
  <c r="S235" i="1"/>
  <c r="Q236" i="1"/>
  <c r="R236" i="1" a="1"/>
  <c r="S236" i="1"/>
  <c r="Q237" i="1"/>
  <c r="R237" i="1" a="1"/>
  <c r="S237" i="1"/>
  <c r="Q238" i="1"/>
  <c r="R238" i="1" a="1"/>
  <c r="S238" i="1"/>
  <c r="Q239" i="1"/>
  <c r="R239" i="1" a="1"/>
  <c r="S239" i="1"/>
  <c r="Q240" i="1"/>
  <c r="R240" i="1" a="1"/>
  <c r="S240" i="1"/>
  <c r="Q241" i="1"/>
  <c r="R241" i="1" a="1"/>
  <c r="S241" i="1"/>
  <c r="Q242" i="1"/>
  <c r="R242" i="1" a="1"/>
  <c r="S242" i="1"/>
  <c r="Q243" i="1"/>
  <c r="R243" i="1" a="1"/>
  <c r="S243" i="1"/>
  <c r="Q244" i="1"/>
  <c r="R244" i="1" a="1"/>
  <c r="S244" i="1"/>
  <c r="Q245" i="1"/>
  <c r="R245" i="1" a="1"/>
  <c r="S245" i="1"/>
  <c r="Q246" i="1"/>
  <c r="R246" i="1" a="1"/>
  <c r="S246" i="1"/>
  <c r="Q247" i="1"/>
  <c r="R247" i="1" a="1"/>
  <c r="S247" i="1"/>
  <c r="Q248" i="1"/>
  <c r="R248" i="1" a="1"/>
  <c r="S248" i="1"/>
  <c r="Q249" i="1"/>
  <c r="R249" i="1" a="1"/>
  <c r="S249" i="1"/>
  <c r="Q250" i="1"/>
  <c r="R250" i="1" a="1"/>
  <c r="S250" i="1"/>
  <c r="Q251" i="1"/>
  <c r="R251" i="1" a="1"/>
  <c r="S251" i="1"/>
  <c r="Q252" i="1"/>
  <c r="R252" i="1" a="1"/>
  <c r="S252" i="1"/>
  <c r="Q253" i="1"/>
  <c r="R253" i="1" a="1"/>
  <c r="S253" i="1"/>
  <c r="Q254" i="1"/>
  <c r="R254" i="1" a="1"/>
  <c r="S254" i="1"/>
  <c r="Q255" i="1"/>
  <c r="R255" i="1" a="1"/>
  <c r="S255" i="1"/>
  <c r="Q256" i="1"/>
  <c r="R256" i="1" a="1"/>
  <c r="S256" i="1"/>
  <c r="Q257" i="1"/>
  <c r="R257" i="1" a="1"/>
  <c r="S257" i="1"/>
  <c r="Q258" i="1"/>
  <c r="R258" i="1" a="1"/>
  <c r="S258" i="1"/>
  <c r="Q259" i="1"/>
  <c r="R259" i="1" a="1"/>
  <c r="S259" i="1"/>
  <c r="Q260" i="1"/>
  <c r="R260" i="1" a="1"/>
  <c r="S260" i="1"/>
  <c r="Q261" i="1"/>
  <c r="R261" i="1" a="1"/>
  <c r="S261" i="1"/>
  <c r="Q262" i="1"/>
  <c r="R262" i="1" a="1"/>
  <c r="S262" i="1"/>
  <c r="Q263" i="1"/>
  <c r="R263" i="1" a="1"/>
  <c r="S263" i="1"/>
  <c r="Q264" i="1"/>
  <c r="R264" i="1" a="1"/>
  <c r="S264" i="1"/>
  <c r="Q265" i="1"/>
  <c r="R265" i="1" a="1"/>
  <c r="S265" i="1"/>
  <c r="Q266" i="1"/>
  <c r="R266" i="1" a="1"/>
  <c r="S266" i="1"/>
  <c r="Q267" i="1"/>
  <c r="R267" i="1" a="1"/>
  <c r="S267" i="1"/>
  <c r="Q268" i="1"/>
  <c r="R268" i="1" a="1"/>
  <c r="S268" i="1"/>
  <c r="Q269" i="1"/>
  <c r="R269" i="1" a="1"/>
  <c r="S269" i="1"/>
  <c r="Q270" i="1"/>
  <c r="R270" i="1" a="1"/>
  <c r="S270" i="1"/>
  <c r="Q271" i="1"/>
  <c r="R271" i="1" a="1"/>
  <c r="S271" i="1"/>
  <c r="Q272" i="1"/>
  <c r="R272" i="1" a="1"/>
  <c r="S272" i="1"/>
  <c r="Q273" i="1"/>
  <c r="R273" i="1" a="1"/>
  <c r="S273" i="1"/>
  <c r="Q274" i="1"/>
  <c r="R274" i="1" a="1"/>
  <c r="S274" i="1"/>
  <c r="Q275" i="1"/>
  <c r="R275" i="1" a="1"/>
  <c r="S275" i="1"/>
  <c r="Q276" i="1"/>
  <c r="R276" i="1" a="1"/>
  <c r="S276" i="1"/>
  <c r="Q277" i="1"/>
  <c r="R277" i="1" a="1"/>
  <c r="S277" i="1"/>
  <c r="Q278" i="1"/>
  <c r="R278" i="1" a="1"/>
  <c r="S278" i="1"/>
  <c r="Q279" i="1"/>
  <c r="R279" i="1" a="1"/>
  <c r="S279" i="1"/>
  <c r="Q280" i="1"/>
  <c r="R280" i="1" a="1"/>
  <c r="S280" i="1"/>
  <c r="Q281" i="1"/>
  <c r="R281" i="1" a="1"/>
  <c r="S281" i="1"/>
  <c r="Q282" i="1"/>
  <c r="R282" i="1" a="1"/>
  <c r="S282" i="1"/>
  <c r="Q283" i="1"/>
  <c r="R283" i="1" a="1"/>
  <c r="S283" i="1"/>
  <c r="Q284" i="1"/>
  <c r="R284" i="1" a="1"/>
  <c r="S284" i="1"/>
  <c r="Q285" i="1"/>
  <c r="R285" i="1" a="1"/>
  <c r="S285" i="1"/>
  <c r="Q286" i="1"/>
  <c r="R286" i="1" a="1"/>
  <c r="S286" i="1"/>
  <c r="Q287" i="1"/>
  <c r="R287" i="1" a="1"/>
  <c r="S287" i="1"/>
  <c r="Q288" i="1"/>
  <c r="R288" i="1" a="1"/>
  <c r="S288" i="1"/>
  <c r="Q289" i="1"/>
  <c r="R289" i="1" a="1"/>
  <c r="S289" i="1"/>
  <c r="Q290" i="1"/>
  <c r="R290" i="1" a="1"/>
  <c r="S290" i="1"/>
  <c r="Q291" i="1"/>
  <c r="R291" i="1" a="1"/>
  <c r="S291" i="1"/>
  <c r="Q292" i="1"/>
  <c r="R292" i="1" a="1"/>
  <c r="S292" i="1"/>
  <c r="Q293" i="1"/>
  <c r="R293" i="1" a="1"/>
  <c r="S293" i="1"/>
  <c r="Q294" i="1"/>
  <c r="R294" i="1" a="1"/>
  <c r="S294" i="1"/>
  <c r="Q295" i="1"/>
  <c r="R295" i="1" a="1"/>
  <c r="S295" i="1"/>
  <c r="Q296" i="1"/>
  <c r="R296" i="1" a="1"/>
  <c r="S296" i="1"/>
  <c r="Q297" i="1"/>
  <c r="R297" i="1" a="1"/>
  <c r="S297" i="1"/>
  <c r="Q298" i="1"/>
  <c r="R298" i="1" a="1"/>
  <c r="S298" i="1"/>
  <c r="Q299" i="1"/>
  <c r="R299" i="1" a="1"/>
  <c r="S299" i="1"/>
  <c r="Q300" i="1"/>
  <c r="R300" i="1" a="1"/>
  <c r="S300" i="1"/>
  <c r="Q301" i="1"/>
  <c r="R301" i="1" a="1"/>
  <c r="S301" i="1"/>
  <c r="Q302" i="1"/>
  <c r="R302" i="1" a="1"/>
  <c r="S302" i="1"/>
  <c r="Q303" i="1"/>
  <c r="R303" i="1" a="1"/>
  <c r="S303" i="1"/>
  <c r="Q304" i="1"/>
  <c r="R304" i="1" a="1"/>
  <c r="S304" i="1"/>
  <c r="Q305" i="1"/>
  <c r="R305" i="1" a="1"/>
  <c r="S305" i="1"/>
  <c r="Q306" i="1"/>
  <c r="R306" i="1" a="1"/>
  <c r="S306" i="1"/>
  <c r="Q307" i="1"/>
  <c r="R307" i="1" a="1"/>
  <c r="S307" i="1"/>
  <c r="Q308" i="1"/>
  <c r="R308" i="1" a="1"/>
  <c r="S308" i="1"/>
  <c r="Q309" i="1"/>
  <c r="R309" i="1" a="1"/>
  <c r="S309" i="1"/>
  <c r="Q310" i="1"/>
  <c r="R310" i="1" a="1"/>
  <c r="S310" i="1"/>
  <c r="Q311" i="1"/>
  <c r="R311" i="1" a="1"/>
  <c r="S311" i="1"/>
  <c r="Q312" i="1"/>
  <c r="R312" i="1" a="1"/>
  <c r="S312" i="1"/>
  <c r="Q313" i="1"/>
  <c r="R313" i="1" a="1"/>
  <c r="S313" i="1"/>
  <c r="Q314" i="1"/>
  <c r="R314" i="1" a="1"/>
  <c r="S314" i="1"/>
  <c r="Q315" i="1"/>
  <c r="R315" i="1" a="1"/>
  <c r="S315" i="1"/>
  <c r="Q316" i="1"/>
  <c r="R316" i="1" a="1"/>
  <c r="S316" i="1"/>
  <c r="Q317" i="1"/>
  <c r="R317" i="1" a="1"/>
  <c r="S317" i="1"/>
  <c r="Q318" i="1"/>
  <c r="R318" i="1" a="1"/>
  <c r="S318" i="1"/>
  <c r="Q319" i="1"/>
  <c r="R319" i="1" a="1"/>
  <c r="S319" i="1"/>
  <c r="Q320" i="1"/>
  <c r="R320" i="1" a="1"/>
  <c r="S320" i="1"/>
  <c r="Q321" i="1"/>
  <c r="R321" i="1" a="1"/>
  <c r="S321" i="1"/>
  <c r="Q322" i="1"/>
  <c r="R322" i="1" a="1"/>
  <c r="S322" i="1"/>
  <c r="Q323" i="1"/>
  <c r="R323" i="1" a="1"/>
  <c r="S323" i="1"/>
  <c r="Q324" i="1"/>
  <c r="R324" i="1" a="1"/>
  <c r="S324" i="1"/>
  <c r="Q325" i="1"/>
  <c r="R325" i="1" a="1"/>
  <c r="S325" i="1"/>
  <c r="Q326" i="1"/>
  <c r="R326" i="1" a="1"/>
  <c r="S326" i="1"/>
  <c r="Q327" i="1"/>
  <c r="R327" i="1" a="1"/>
  <c r="S327" i="1"/>
  <c r="Q328" i="1"/>
  <c r="R328" i="1" a="1"/>
  <c r="S328" i="1"/>
  <c r="Q329" i="1"/>
  <c r="R329" i="1" a="1"/>
  <c r="S329" i="1"/>
  <c r="Q330" i="1"/>
  <c r="R330" i="1" a="1"/>
  <c r="S330" i="1"/>
  <c r="Q331" i="1"/>
  <c r="R331" i="1" a="1"/>
  <c r="S331" i="1"/>
  <c r="Q332" i="1"/>
  <c r="R332" i="1" a="1"/>
  <c r="S332" i="1"/>
  <c r="Q333" i="1"/>
  <c r="R333" i="1" a="1"/>
  <c r="S333" i="1"/>
  <c r="Q334" i="1"/>
  <c r="R334" i="1" a="1"/>
  <c r="S334" i="1"/>
  <c r="Q335" i="1"/>
  <c r="R335" i="1" a="1"/>
  <c r="S335" i="1"/>
  <c r="Q336" i="1"/>
  <c r="R336" i="1" a="1"/>
  <c r="S336" i="1"/>
  <c r="Q337" i="1"/>
  <c r="R337" i="1" a="1"/>
  <c r="S337" i="1"/>
  <c r="Q338" i="1"/>
  <c r="R338" i="1" a="1"/>
  <c r="S338" i="1"/>
  <c r="Q339" i="1"/>
  <c r="R339" i="1" a="1"/>
  <c r="S339" i="1"/>
  <c r="Q340" i="1"/>
  <c r="R340" i="1" a="1"/>
  <c r="S340" i="1"/>
  <c r="Q341" i="1"/>
  <c r="R341" i="1" a="1"/>
  <c r="S341" i="1"/>
  <c r="Q342" i="1"/>
  <c r="R342" i="1" a="1"/>
  <c r="S342" i="1"/>
  <c r="Q343" i="1"/>
  <c r="R343" i="1" a="1"/>
  <c r="S343" i="1"/>
  <c r="Q344" i="1"/>
  <c r="R344" i="1" a="1"/>
  <c r="S344" i="1"/>
  <c r="Q345" i="1"/>
  <c r="R345" i="1" a="1"/>
  <c r="S345" i="1"/>
  <c r="Q346" i="1"/>
  <c r="R346" i="1" a="1"/>
  <c r="S346" i="1"/>
  <c r="Q347" i="1"/>
  <c r="R347" i="1" a="1"/>
  <c r="S347" i="1"/>
  <c r="Q348" i="1"/>
  <c r="R348" i="1" a="1"/>
  <c r="S348" i="1"/>
  <c r="Q349" i="1"/>
  <c r="R349" i="1" a="1"/>
  <c r="S349" i="1"/>
  <c r="Q350" i="1"/>
  <c r="R350" i="1" a="1"/>
  <c r="S350" i="1"/>
  <c r="Q351" i="1"/>
  <c r="R351" i="1" a="1"/>
  <c r="S351" i="1"/>
  <c r="Q352" i="1"/>
  <c r="R352" i="1" a="1"/>
  <c r="S352" i="1"/>
  <c r="Q353" i="1"/>
  <c r="R353" i="1" a="1"/>
  <c r="S353" i="1"/>
  <c r="Q354" i="1"/>
  <c r="R354" i="1" a="1"/>
  <c r="S354" i="1"/>
  <c r="Q355" i="1"/>
  <c r="R355" i="1" a="1"/>
  <c r="S355" i="1"/>
  <c r="Q356" i="1"/>
  <c r="R356" i="1" a="1"/>
  <c r="S356" i="1"/>
  <c r="Q357" i="1"/>
  <c r="R357" i="1" a="1"/>
  <c r="S357" i="1"/>
  <c r="Q358" i="1"/>
  <c r="R358" i="1" a="1"/>
  <c r="S358" i="1"/>
  <c r="Q359" i="1"/>
  <c r="R359" i="1" a="1"/>
  <c r="S359" i="1"/>
  <c r="Q360" i="1"/>
  <c r="R360" i="1" a="1"/>
  <c r="S360" i="1"/>
  <c r="Q361" i="1"/>
  <c r="R361" i="1" a="1"/>
  <c r="S361" i="1"/>
  <c r="Q362" i="1"/>
  <c r="R362" i="1" a="1"/>
  <c r="S362" i="1"/>
  <c r="Q363" i="1"/>
  <c r="R363" i="1" a="1"/>
  <c r="S363" i="1"/>
  <c r="Q364" i="1"/>
  <c r="R364" i="1" a="1"/>
  <c r="S364" i="1"/>
  <c r="Q365" i="1"/>
  <c r="R365" i="1" a="1"/>
  <c r="S365" i="1"/>
  <c r="Q366" i="1"/>
  <c r="R366" i="1" a="1"/>
  <c r="S366" i="1"/>
  <c r="Q367" i="1"/>
  <c r="R367" i="1" a="1"/>
  <c r="S367" i="1"/>
  <c r="Q368" i="1"/>
  <c r="R368" i="1" a="1"/>
  <c r="S368" i="1"/>
  <c r="Q369" i="1"/>
  <c r="R369" i="1" a="1"/>
  <c r="S369" i="1"/>
  <c r="Q370" i="1"/>
  <c r="R370" i="1" a="1"/>
  <c r="S370" i="1"/>
  <c r="Q371" i="1"/>
  <c r="R371" i="1" a="1"/>
  <c r="S371" i="1"/>
  <c r="Q372" i="1"/>
  <c r="R372" i="1" a="1"/>
  <c r="S372" i="1"/>
  <c r="Q373" i="1"/>
  <c r="R373" i="1" a="1"/>
  <c r="S373" i="1"/>
  <c r="Q374" i="1"/>
  <c r="R374" i="1" a="1"/>
  <c r="S374" i="1"/>
  <c r="Q375" i="1"/>
  <c r="R375" i="1" a="1"/>
  <c r="S375" i="1"/>
  <c r="Q376" i="1"/>
  <c r="R376" i="1" a="1"/>
  <c r="S376" i="1"/>
  <c r="Q377" i="1"/>
  <c r="R377" i="1" a="1"/>
  <c r="S377" i="1"/>
  <c r="Q378" i="1"/>
  <c r="R378" i="1" a="1"/>
  <c r="S378" i="1"/>
  <c r="Q379" i="1"/>
  <c r="R379" i="1" a="1"/>
  <c r="S379" i="1"/>
  <c r="Q380" i="1"/>
  <c r="R380" i="1" a="1"/>
  <c r="S380" i="1"/>
  <c r="Q381" i="1"/>
  <c r="R381" i="1" a="1"/>
  <c r="S381" i="1"/>
  <c r="Q382" i="1"/>
  <c r="R382" i="1" a="1"/>
  <c r="S382" i="1"/>
  <c r="Q383" i="1"/>
  <c r="R383" i="1" a="1"/>
  <c r="S383" i="1"/>
  <c r="Q384" i="1"/>
  <c r="R384" i="1" a="1"/>
  <c r="S384" i="1"/>
  <c r="Q385" i="1"/>
  <c r="R385" i="1" a="1"/>
  <c r="S385" i="1"/>
  <c r="Q386" i="1"/>
  <c r="R386" i="1" a="1"/>
  <c r="S386" i="1"/>
  <c r="Q387" i="1"/>
  <c r="R387" i="1" a="1"/>
  <c r="S387" i="1"/>
  <c r="Q388" i="1"/>
  <c r="R388" i="1" a="1"/>
  <c r="S388" i="1"/>
  <c r="Q389" i="1"/>
  <c r="R389" i="1" a="1"/>
  <c r="S389" i="1"/>
  <c r="Q390" i="1"/>
  <c r="R390" i="1" a="1"/>
  <c r="S390" i="1"/>
  <c r="Q391" i="1"/>
  <c r="R391" i="1" a="1"/>
  <c r="S391" i="1"/>
  <c r="Q392" i="1"/>
  <c r="R392" i="1" a="1"/>
  <c r="S392" i="1"/>
  <c r="Q393" i="1"/>
  <c r="R393" i="1" a="1"/>
  <c r="S393" i="1"/>
  <c r="Q394" i="1"/>
  <c r="R394" i="1" a="1"/>
  <c r="S394" i="1"/>
  <c r="Q395" i="1"/>
  <c r="R395" i="1" a="1"/>
  <c r="S395" i="1"/>
  <c r="Q396" i="1"/>
  <c r="R396" i="1" a="1"/>
  <c r="S396" i="1"/>
  <c r="Q397" i="1"/>
  <c r="R397" i="1" a="1"/>
  <c r="S397" i="1"/>
  <c r="Q398" i="1"/>
  <c r="R398" i="1" a="1"/>
  <c r="S398" i="1"/>
  <c r="Q399" i="1"/>
  <c r="R399" i="1" a="1"/>
  <c r="S399" i="1"/>
  <c r="Q400" i="1"/>
  <c r="R400" i="1" a="1"/>
  <c r="S400" i="1"/>
  <c r="Q401" i="1"/>
  <c r="R401" i="1" a="1"/>
  <c r="S401" i="1"/>
  <c r="Q402" i="1"/>
  <c r="R402" i="1" a="1"/>
  <c r="S402" i="1"/>
  <c r="Q403" i="1"/>
  <c r="R403" i="1" a="1"/>
  <c r="S403" i="1"/>
  <c r="Q404" i="1"/>
  <c r="R404" i="1" a="1"/>
  <c r="S404" i="1"/>
  <c r="Q405" i="1"/>
  <c r="R405" i="1" a="1"/>
  <c r="S405" i="1"/>
  <c r="Q406" i="1"/>
  <c r="R406" i="1" a="1"/>
  <c r="S406" i="1"/>
  <c r="Q407" i="1"/>
  <c r="R407" i="1" a="1"/>
  <c r="S407" i="1"/>
  <c r="Q408" i="1"/>
  <c r="R408" i="1" a="1"/>
  <c r="S408" i="1"/>
  <c r="Q409" i="1"/>
  <c r="R409" i="1" a="1"/>
  <c r="S409" i="1"/>
  <c r="Q410" i="1"/>
  <c r="R410" i="1" a="1"/>
  <c r="S410" i="1"/>
  <c r="Q411" i="1"/>
  <c r="R411" i="1" a="1"/>
  <c r="S411" i="1"/>
  <c r="Q412" i="1"/>
  <c r="R412" i="1" a="1"/>
  <c r="S412" i="1"/>
  <c r="Q413" i="1"/>
  <c r="R413" i="1" a="1"/>
  <c r="S413" i="1"/>
  <c r="Q414" i="1"/>
  <c r="R414" i="1" a="1"/>
  <c r="S414" i="1"/>
  <c r="Q415" i="1"/>
  <c r="R415" i="1" a="1"/>
  <c r="S415" i="1"/>
  <c r="Q416" i="1"/>
  <c r="R416" i="1" a="1"/>
  <c r="S416" i="1"/>
  <c r="Q417" i="1"/>
  <c r="R417" i="1" a="1"/>
  <c r="S417" i="1"/>
  <c r="Q418" i="1"/>
  <c r="R418" i="1" a="1"/>
  <c r="S418" i="1"/>
  <c r="Q419" i="1"/>
  <c r="R419" i="1" a="1"/>
  <c r="S419" i="1"/>
  <c r="Q420" i="1"/>
  <c r="R420" i="1" a="1"/>
  <c r="S420" i="1"/>
  <c r="Q421" i="1"/>
  <c r="R421" i="1" a="1"/>
  <c r="S421" i="1"/>
  <c r="Q422" i="1"/>
  <c r="R422" i="1" a="1"/>
  <c r="S422" i="1"/>
  <c r="Q423" i="1"/>
  <c r="R423" i="1" a="1"/>
  <c r="S423" i="1"/>
  <c r="Q424" i="1"/>
  <c r="R424" i="1" a="1"/>
  <c r="S424" i="1"/>
  <c r="Q425" i="1"/>
  <c r="R425" i="1" a="1"/>
  <c r="S425" i="1"/>
  <c r="Q426" i="1"/>
  <c r="R426" i="1" a="1"/>
  <c r="S426" i="1"/>
  <c r="Q427" i="1"/>
  <c r="R427" i="1" a="1"/>
  <c r="S427" i="1"/>
  <c r="Q428" i="1"/>
  <c r="R428" i="1" a="1"/>
  <c r="S428" i="1"/>
  <c r="Q429" i="1"/>
  <c r="R429" i="1" a="1"/>
  <c r="S429" i="1"/>
  <c r="Q430" i="1"/>
  <c r="R430" i="1" a="1"/>
  <c r="S430" i="1"/>
  <c r="Q431" i="1"/>
  <c r="R431" i="1" a="1"/>
  <c r="S431" i="1"/>
  <c r="Q432" i="1"/>
  <c r="R432" i="1" a="1"/>
  <c r="S432" i="1"/>
  <c r="Q433" i="1"/>
  <c r="R433" i="1" a="1"/>
  <c r="S433" i="1"/>
  <c r="Q434" i="1"/>
  <c r="R434" i="1" a="1"/>
  <c r="S434" i="1"/>
  <c r="Q435" i="1"/>
  <c r="R435" i="1" a="1"/>
  <c r="S435" i="1"/>
  <c r="Q436" i="1"/>
  <c r="R436" i="1" a="1"/>
  <c r="S436" i="1"/>
  <c r="Q437" i="1"/>
  <c r="R437" i="1" a="1"/>
  <c r="S437" i="1"/>
  <c r="Q438" i="1"/>
  <c r="R438" i="1" a="1"/>
  <c r="S438" i="1"/>
  <c r="Q439" i="1"/>
  <c r="R439" i="1" a="1"/>
  <c r="S439" i="1"/>
  <c r="Q440" i="1"/>
  <c r="R440" i="1" a="1"/>
  <c r="S440" i="1"/>
  <c r="Q441" i="1"/>
  <c r="R441" i="1" a="1"/>
  <c r="S441" i="1"/>
  <c r="Q442" i="1"/>
  <c r="R442" i="1" a="1"/>
  <c r="S442" i="1"/>
  <c r="Q443" i="1"/>
  <c r="R443" i="1" a="1"/>
  <c r="S443" i="1"/>
  <c r="Q444" i="1"/>
  <c r="R444" i="1" a="1"/>
  <c r="S444" i="1"/>
  <c r="Q445" i="1"/>
  <c r="R445" i="1" a="1"/>
  <c r="S445" i="1"/>
  <c r="Q446" i="1"/>
  <c r="R446" i="1" a="1"/>
  <c r="S446" i="1"/>
  <c r="Q447" i="1"/>
  <c r="R447" i="1" a="1"/>
  <c r="S447" i="1"/>
  <c r="Q448" i="1"/>
  <c r="R448" i="1" a="1"/>
  <c r="S448" i="1"/>
  <c r="Q449" i="1"/>
  <c r="R449" i="1" a="1"/>
  <c r="S449" i="1"/>
  <c r="Q450" i="1"/>
  <c r="R450" i="1" a="1"/>
  <c r="S450" i="1"/>
  <c r="Q451" i="1"/>
  <c r="R451" i="1" a="1"/>
  <c r="S451" i="1"/>
  <c r="Q452" i="1"/>
  <c r="R452" i="1" a="1"/>
  <c r="S452" i="1"/>
  <c r="Q453" i="1"/>
  <c r="R453" i="1" a="1"/>
  <c r="S453" i="1"/>
  <c r="Q454" i="1"/>
  <c r="R454" i="1" a="1"/>
  <c r="S454" i="1"/>
  <c r="Q455" i="1"/>
  <c r="R455" i="1" a="1"/>
  <c r="S455" i="1"/>
  <c r="Q456" i="1"/>
  <c r="R456" i="1" a="1"/>
  <c r="S456" i="1"/>
  <c r="Q457" i="1"/>
  <c r="R457" i="1" a="1"/>
  <c r="S457" i="1"/>
  <c r="Q458" i="1"/>
  <c r="R458" i="1" a="1"/>
  <c r="S458" i="1"/>
  <c r="Q459" i="1"/>
  <c r="R459" i="1" a="1"/>
  <c r="S459" i="1"/>
  <c r="Q460" i="1"/>
  <c r="R460" i="1" a="1"/>
  <c r="S460" i="1"/>
  <c r="Q461" i="1"/>
  <c r="R461" i="1" a="1"/>
  <c r="S461" i="1"/>
  <c r="Q462" i="1"/>
  <c r="R462" i="1" a="1"/>
  <c r="S462" i="1"/>
  <c r="Q463" i="1"/>
  <c r="R463" i="1" a="1"/>
  <c r="S463" i="1"/>
  <c r="Q464" i="1"/>
  <c r="R464" i="1" a="1"/>
  <c r="S464" i="1"/>
  <c r="Q465" i="1"/>
  <c r="R465" i="1" a="1"/>
  <c r="S465" i="1"/>
  <c r="Q466" i="1"/>
  <c r="R466" i="1" a="1"/>
  <c r="S466" i="1"/>
  <c r="Q467" i="1"/>
  <c r="R467" i="1" a="1"/>
  <c r="S467" i="1"/>
  <c r="Q468" i="1"/>
  <c r="R468" i="1" a="1"/>
  <c r="S468" i="1"/>
  <c r="Q469" i="1"/>
  <c r="R469" i="1" a="1"/>
  <c r="S469" i="1"/>
  <c r="Q470" i="1"/>
  <c r="R470" i="1" a="1"/>
  <c r="S470" i="1"/>
  <c r="Q471" i="1"/>
  <c r="R471" i="1" a="1"/>
  <c r="S471" i="1"/>
  <c r="Q472" i="1"/>
  <c r="R472" i="1" a="1"/>
  <c r="S472" i="1"/>
  <c r="Q473" i="1"/>
  <c r="R473" i="1" a="1"/>
  <c r="S473" i="1"/>
  <c r="Q474" i="1"/>
  <c r="R474" i="1" a="1"/>
  <c r="S474" i="1"/>
  <c r="Q475" i="1"/>
  <c r="R475" i="1" a="1"/>
  <c r="S475" i="1"/>
  <c r="Q476" i="1"/>
  <c r="R476" i="1" a="1"/>
  <c r="S476" i="1"/>
  <c r="Q477" i="1"/>
  <c r="R477" i="1" a="1"/>
  <c r="S477" i="1"/>
  <c r="Q478" i="1"/>
  <c r="R478" i="1" a="1"/>
  <c r="S478" i="1"/>
  <c r="Q479" i="1"/>
  <c r="R479" i="1" a="1"/>
  <c r="S479" i="1"/>
  <c r="Q480" i="1"/>
  <c r="R480" i="1" a="1"/>
  <c r="S480" i="1"/>
  <c r="Q481" i="1"/>
  <c r="R481" i="1" a="1"/>
  <c r="S481" i="1"/>
  <c r="Q482" i="1"/>
  <c r="R482" i="1" a="1"/>
  <c r="S482" i="1"/>
  <c r="Q483" i="1"/>
  <c r="R483" i="1" a="1"/>
  <c r="S483" i="1"/>
  <c r="Q484" i="1"/>
  <c r="R484" i="1" a="1"/>
  <c r="S484" i="1"/>
  <c r="Q485" i="1"/>
  <c r="R485" i="1" a="1"/>
  <c r="S485" i="1"/>
  <c r="Q486" i="1"/>
  <c r="R486" i="1" a="1"/>
  <c r="S486" i="1"/>
  <c r="Q487" i="1"/>
  <c r="R487" i="1" a="1"/>
  <c r="S487" i="1"/>
  <c r="Q488" i="1"/>
  <c r="R488" i="1" a="1"/>
  <c r="S488" i="1"/>
  <c r="Q489" i="1"/>
  <c r="R489" i="1" a="1"/>
  <c r="S489" i="1"/>
  <c r="Q490" i="1"/>
  <c r="R490" i="1" a="1"/>
  <c r="S490" i="1"/>
  <c r="Q491" i="1"/>
  <c r="R491" i="1" a="1"/>
  <c r="S491" i="1"/>
  <c r="Q492" i="1"/>
  <c r="R492" i="1" a="1"/>
  <c r="S492" i="1"/>
  <c r="Q493" i="1"/>
  <c r="R493" i="1" a="1"/>
  <c r="S493" i="1"/>
  <c r="Q494" i="1"/>
  <c r="R494" i="1" a="1"/>
  <c r="S494" i="1"/>
  <c r="Q495" i="1"/>
  <c r="R495" i="1" a="1"/>
  <c r="S495" i="1"/>
  <c r="Q496" i="1"/>
  <c r="R496" i="1" a="1"/>
  <c r="S496" i="1"/>
  <c r="Q497" i="1"/>
  <c r="R497" i="1" a="1"/>
  <c r="S497" i="1"/>
  <c r="Q498" i="1"/>
  <c r="R498" i="1" a="1"/>
  <c r="S498" i="1"/>
  <c r="Q499" i="1"/>
  <c r="R499" i="1" a="1"/>
  <c r="S499" i="1"/>
  <c r="Q500" i="1"/>
  <c r="R500" i="1" a="1"/>
  <c r="S500" i="1"/>
  <c r="Q501" i="1"/>
  <c r="R501" i="1" a="1"/>
  <c r="S5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  <c r="R2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<sst xmlns="http://schemas.openxmlformats.org/spreadsheetml/2006/main" count="38484" uniqueCount="183">
  <si>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</si>
  <si>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</si>
  <si>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</si>
  <si>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</si>
  <si>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</si>
  <si>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</si>
  <si>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</si>
  <si>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</si>
  <si>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</si>
  <si>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</si>
  <si>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</si>
  <si>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</si>
  <si>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</si>
  <si>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</si>
  <si>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</si>
  <si>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</si>
  <si>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</si>
  <si>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</si>
  <si>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</si>
  <si>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</si>
  <si>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</si>
  <si>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</si>
  <si>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</si>
  <si>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</si>
  <si>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</si>
  <si>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</si>
  <si>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</si>
  <si>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</si>
  <si>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</si>
  <si>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</si>
  <si>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</si>
  <si>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</si>
  <si>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</si>
  <si>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</si>
  <si>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</si>
  <si>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</si>
  <si>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</si>
  <si>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</si>
  <si>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</si>
  <si>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</si>
  <si>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</si>
  <si>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</si>
  <si>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</si>
  <si>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</si>
  <si>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</si>
  <si>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</si>
  <si>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</si>
  <si>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</si>
  <si>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</si>
  <si>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</si>
  <si>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</si>
  <si>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</si>
  <si>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</si>
  <si>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</si>
  <si>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</si>
  <si>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</si>
  <si>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</si>
  <si>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</si>
  <si>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</si>
  <si>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</si>
  <si>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</si>
  <si>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</si>
  <si>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</si>
  <si>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</si>
  <si>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</si>
  <si>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</si>
  <si>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</si>
  <si>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</si>
  <si>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</si>
  <si>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</si>
  <si>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</si>
  <si>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Sale Status uses of IF</t>
  </si>
  <si>
    <t>Sale Status1 uses of  IFS</t>
  </si>
  <si>
    <t>Sale Status2 uses of NESTED IF</t>
  </si>
  <si>
    <t>Total Units Sold(SUM)</t>
  </si>
  <si>
    <t>COUNT</t>
  </si>
  <si>
    <t>COUNTA</t>
  </si>
  <si>
    <t>COUNTBLANK</t>
  </si>
  <si>
    <t>Total Units Sold(SUMIFS)</t>
  </si>
  <si>
    <t>SUMIFS</t>
  </si>
  <si>
    <t>Grand Total</t>
  </si>
  <si>
    <t>Total Discount Amount</t>
  </si>
  <si>
    <t>Using ARRAY</t>
  </si>
  <si>
    <t xml:space="preserve">Grand Total </t>
  </si>
  <si>
    <t>Avg. Net Sales</t>
  </si>
  <si>
    <t>Using AVERAGEIFS</t>
  </si>
  <si>
    <t>Using AVERAGEIF</t>
  </si>
  <si>
    <t>K</t>
  </si>
  <si>
    <t>G</t>
  </si>
  <si>
    <t>@</t>
  </si>
  <si>
    <t>*jk</t>
  </si>
  <si>
    <t>AVERAGEA</t>
  </si>
  <si>
    <t>SUMIF</t>
  </si>
  <si>
    <t>High Value Order</t>
  </si>
  <si>
    <t>Uses of "AND"</t>
  </si>
  <si>
    <t>Bulk Order</t>
  </si>
  <si>
    <t>Priority Channel</t>
  </si>
  <si>
    <t>Uses of "OR"</t>
  </si>
  <si>
    <t>Sales Status</t>
  </si>
  <si>
    <t>Website Order</t>
  </si>
  <si>
    <t>Category</t>
  </si>
  <si>
    <t>Uses of "NOT"</t>
  </si>
  <si>
    <t>Uses of "&lt;&gt;"</t>
  </si>
  <si>
    <t>Uses of "AND","OR"</t>
  </si>
  <si>
    <t xml:space="preserve"> Order Type</t>
  </si>
  <si>
    <t>Right Values</t>
  </si>
  <si>
    <t>Brand FLASH FILL Using (CTRL+E)</t>
  </si>
  <si>
    <t>Middle Values</t>
  </si>
  <si>
    <t>Len of productname</t>
  </si>
  <si>
    <t>Trim</t>
  </si>
  <si>
    <t>Mixer    Grinder</t>
  </si>
  <si>
    <t xml:space="preserve">Football    </t>
  </si>
  <si>
    <t xml:space="preserve">    Sneakers</t>
  </si>
  <si>
    <t xml:space="preserve">Len </t>
  </si>
  <si>
    <t>upper</t>
  </si>
  <si>
    <t>lower</t>
  </si>
  <si>
    <t>proper</t>
  </si>
  <si>
    <t>concat</t>
  </si>
  <si>
    <t>concat using range</t>
  </si>
  <si>
    <t>concatenate</t>
  </si>
  <si>
    <t>Text Join</t>
  </si>
  <si>
    <t>find the position</t>
  </si>
  <si>
    <t>search</t>
  </si>
  <si>
    <t>replace</t>
  </si>
  <si>
    <t>text split</t>
  </si>
  <si>
    <t>delhi</t>
  </si>
  <si>
    <t>tamil nadu</t>
  </si>
  <si>
    <t>west bengal</t>
  </si>
  <si>
    <t>karnataka</t>
  </si>
  <si>
    <t>telangana</t>
  </si>
  <si>
    <t>maharashtra</t>
  </si>
  <si>
    <t>mobile</t>
  </si>
  <si>
    <t>website</t>
  </si>
  <si>
    <t>marketplace</t>
  </si>
  <si>
    <t>app</t>
  </si>
  <si>
    <t>Marks</t>
  </si>
  <si>
    <t>Fail</t>
  </si>
  <si>
    <t>C</t>
  </si>
  <si>
    <t>B</t>
  </si>
  <si>
    <t>A</t>
  </si>
  <si>
    <t>iferror</t>
  </si>
  <si>
    <t>value</t>
  </si>
  <si>
    <t>Serial no.</t>
  </si>
  <si>
    <t>row</t>
  </si>
  <si>
    <t>column</t>
  </si>
  <si>
    <t>position</t>
  </si>
  <si>
    <t>unit price</t>
  </si>
  <si>
    <t>customer id</t>
  </si>
  <si>
    <t>order id</t>
  </si>
  <si>
    <t>product category</t>
  </si>
  <si>
    <t>payment method</t>
  </si>
  <si>
    <t>Sales Amt.</t>
  </si>
  <si>
    <t>Rohan</t>
  </si>
  <si>
    <t>Amrita</t>
  </si>
  <si>
    <t>Sayan</t>
  </si>
  <si>
    <t>Dipa</t>
  </si>
  <si>
    <t>sub1</t>
  </si>
  <si>
    <t>sub2</t>
  </si>
  <si>
    <t>sub3</t>
  </si>
  <si>
    <t>Ecommerce_Data</t>
  </si>
  <si>
    <t>3D-SUM</t>
  </si>
  <si>
    <t>Number</t>
  </si>
  <si>
    <t>Name</t>
  </si>
  <si>
    <t>SRI</t>
  </si>
  <si>
    <t>TINA</t>
  </si>
  <si>
    <t>Emp ID</t>
  </si>
  <si>
    <t>PRIYA</t>
  </si>
  <si>
    <t>SURESH</t>
  </si>
  <si>
    <t>RAJ</t>
  </si>
  <si>
    <t>TANIA</t>
  </si>
  <si>
    <t>RIA</t>
  </si>
  <si>
    <t>Phone</t>
  </si>
  <si>
    <t>Interview Date</t>
  </si>
  <si>
    <t>text,length min3 max10</t>
  </si>
  <si>
    <t>VNH</t>
  </si>
  <si>
    <t>LOKJJ</t>
  </si>
  <si>
    <t>PAN</t>
  </si>
  <si>
    <t>XYZ1234A</t>
  </si>
  <si>
    <t>XYZ1237B</t>
  </si>
  <si>
    <t>REG. NO.</t>
  </si>
  <si>
    <t>R1234</t>
  </si>
  <si>
    <t>EMAIL</t>
  </si>
  <si>
    <t>abc@xyz.com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</si>
</sst>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theme="8" tint="0.39997558519241921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4"/>
      <color theme="7" tint="-0.499984740745262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2" xfId="0" applyFont="1" applyBorder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6" fillId="0" borderId="3" xfId="0" applyFont="1" applyBorder="1"/>
    <xf numFmtId="0" fontId="1" fillId="3" borderId="1" xfId="0" applyFont="1" applyFill="1" applyBorder="1"/>
    <xf numFmtId="0" fontId="4" fillId="3" borderId="1" xfId="0" applyFont="1" applyFill="1" applyBorder="1"/>
    <xf numFmtId="0" fontId="1" fillId="2" borderId="1" xfId="0" applyFont="1" applyFill="1" applyBorder="1"/>
    <xf numFmtId="0" fontId="14" fillId="0" borderId="0" xfId="0" applyFont="1" applyAlignment="1">
      <alignment vertical="center"/>
    </xf>
    <xf numFmtId="0" fontId="3" fillId="0" borderId="0" xfId="0" applyFont="1"/>
    <xf numFmtId="0" fontId="16" fillId="0" borderId="3" xfId="0" applyFont="1" applyBorder="1"/>
    <xf numFmtId="0" fontId="1" fillId="0" borderId="0" xfId="0" applyFont="1"/>
    <xf numFmtId="0" fontId="10" fillId="0" borderId="0" xfId="0" applyFont="1"/>
    <xf numFmtId="0" fontId="17" fillId="0" borderId="0" xfId="0" applyFont="1"/>
    <xf numFmtId="0" fontId="16" fillId="0" borderId="0" xfId="0" applyFont="1"/>
    <xf numFmtId="0" fontId="18" fillId="0" borderId="0" xfId="0" applyFont="1"/>
    <xf numFmtId="0" fontId="2" fillId="0" borderId="0" xfId="0" applyFont="1"/>
    <xf numFmtId="0" fontId="19" fillId="0" borderId="0" xfId="0" applyFont="1"/>
    <xf numFmtId="0" fontId="0" fillId="0" borderId="13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1" fillId="0" borderId="14" xfId="0" applyFont="1" applyBorder="1"/>
    <xf numFmtId="14" fontId="0" fillId="0" borderId="13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Fill="1" applyBorder="1"/>
    <xf numFmtId="0" fontId="20" fillId="0" borderId="1" xfId="1" applyBorder="1"/>
  </cellXfs>
  <cellStyles count="2">
    <cellStyle name="Hyperlink" xfId="1" builtinId="8"/>
    <cellStyle name="Normal" xfId="0" builtinId="0"/>
  </cellStyles>
  <dxfs count="29"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4" tint="0.59996337778862885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B44D0C-DEA9-41ED-A2D0-C3476F3E3209}" name="Table1" displayName="Table1" ref="Q10:R11" totalsRowShown="0" headerRowDxfId="28" headerRowBorderDxfId="27" tableBorderDxfId="26" totalsRowBorderDxfId="25">
  <autoFilter ref="Q10:R11" xr:uid="{29B44D0C-DEA9-41ED-A2D0-C3476F3E3209}"/>
  <tableColumns count="2">
    <tableColumn id="1" xr3:uid="{71F95228-FD8A-425C-A9F0-2CEF65EFF124}" name="Sales Channel" dataDxfId="24"/>
    <tableColumn id="2" xr3:uid="{CA2191A2-C9A3-4E18-8568-3524DF679BD8}" name="Net Sales" dataDxfId="23">
      <calculatedColumnFormula>SUMIF(G2:G501,Q11,O2:O501)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3AD1F0-DA5A-4FEE-8326-023960050F4D}" name="Table2" displayName="Table2" ref="A1:O502" totalsRowShown="0" headerRowDxfId="22" headerRowBorderDxfId="21" tableBorderDxfId="20" totalsRowBorderDxfId="19">
  <autoFilter ref="A1:O502" xr:uid="{F13AD1F0-DA5A-4FEE-8326-023960050F4D}"/>
  <tableColumns count="15">
    <tableColumn id="1" xr3:uid="{A17FCD77-D2F2-4949-A80A-1AEFAA66FF14}" name="Order ID" dataDxfId="18"/>
    <tableColumn id="2" xr3:uid="{7C04ED30-16FA-410F-943B-260AB2405AAC}" name="Customer ID" dataDxfId="17"/>
    <tableColumn id="3" xr3:uid="{A891DFD8-CF5A-4D71-842E-11FF66335ADB}" name="Order Date" dataDxfId="16"/>
    <tableColumn id="4" xr3:uid="{5500317B-56AB-4B53-8F7C-C56DE5D2178F}" name="Ship Date" dataDxfId="15"/>
    <tableColumn id="5" xr3:uid="{B9F7B09D-D8D2-4438-9F87-54558D96BC00}" name="City" dataDxfId="14"/>
    <tableColumn id="6" xr3:uid="{514B0BE5-2022-4310-A9F7-47DC96720F30}" name="State" dataDxfId="13"/>
    <tableColumn id="7" xr3:uid="{8E4A1101-336C-46E7-8371-4507F17CC565}" name="Sales Channel" dataDxfId="12"/>
    <tableColumn id="8" xr3:uid="{CCFE8B98-143D-4E5D-ABC5-0202348DFDA6}" name="Payment Method" dataDxfId="11"/>
    <tableColumn id="9" xr3:uid="{C0C1ADA3-4DE5-4EA6-ADEB-981881322AF1}" name="Product Category" dataDxfId="10"/>
    <tableColumn id="10" xr3:uid="{09ED30A2-AC72-4CBD-9AE2-0FFDBBC42959}" name="Product Name" dataDxfId="9"/>
    <tableColumn id="11" xr3:uid="{983FAE5B-8406-414E-9D50-36074F90E130}" name="Brand" dataDxfId="8"/>
    <tableColumn id="12" xr3:uid="{6B49BF5B-1FA5-4853-8D0D-E2344B712F16}" name="Units Sold" dataDxfId="7"/>
    <tableColumn id="13" xr3:uid="{CE0F3FBF-6F97-4E0C-B46B-55A47DE772D3}" name="Unit Price" dataDxfId="6"/>
    <tableColumn id="14" xr3:uid="{E55982E8-CFB4-4668-9487-D93774382A2D}" name="Discount %" dataDxfId="5"/>
    <tableColumn id="15" xr3:uid="{6AC84BBA-DD4B-458C-AAF7-5EA86641B41A}" name="Net Sale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abc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U501"/>
  <sheetViews>
    <sheetView topLeftCell="A500" zoomScale="101" zoomScaleNormal="132" workbookViewId="0">
      <selection activeCell="O1" sqref="A1:O501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3" bestFit="1" customWidth="1"/>
    <col min="8" max="8" width="16.33203125" bestFit="1" customWidth="1"/>
    <col min="9" max="9" width="16.21875" bestFit="1" customWidth="1"/>
    <col min="10" max="10" width="13.44140625" bestFit="1" customWidth="1"/>
    <col min="11" max="11" width="7" bestFit="1" customWidth="1"/>
    <col min="12" max="12" width="9.77734375" bestFit="1" customWidth="1"/>
    <col min="14" max="14" width="10" bestFit="1" customWidth="1"/>
    <col min="15" max="15" width="9" customWidth="1"/>
    <col min="16" max="16" width="9.88671875" customWidth="1"/>
    <col min="17" max="18" width="23.6640625" style="22" bestFit="1" customWidth="1"/>
    <col min="19" max="19" width="34.6640625" style="22" bestFit="1" customWidth="1"/>
    <col min="21" max="21" width="12.77734375" bestFit="1" customWidth="1"/>
  </cols>
  <sheetData>
    <row r="1" spans="1:21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70</v>
      </c>
      <c r="Q1" s="5" t="s">
        <v>71</v>
      </c>
      <c r="R1" s="6" t="s">
        <v>72</v>
      </c>
      <c r="S1" s="7" t="s">
        <v>73</v>
      </c>
    </row>
    <row r="2" spans="1:21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>
        <f>L2*M2</f>
        <v>19907.09</v>
      </c>
      <c r="Q2" s="22" t="str">
        <f>IF(O2&gt;=15000,"high","low")</f>
        <v>high</v>
      </c>
      <c r="R2" s="22" t="str" cm="1">
        <f t="array" ref="R2">_xlfn.IFS(O2&gt;=20000,"high",O2&gt;=15000,"medium",O2&lt;15000,"low")</f>
        <v>medium</v>
      </c>
      <c r="S2" s="22" t="str">
        <f>IF(O2&gt;=20000,"high",IF(O2&gt;=15000,"mid","low"))</f>
        <v>mid</v>
      </c>
    </row>
    <row r="3" spans="1:21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>
        <f t="shared" ref="P3:P66" si="0">L3*M3</f>
        <v>22727.07</v>
      </c>
      <c r="Q3" s="22" t="str">
        <f t="shared" ref="Q3:Q66" si="1">IF(O3&gt;=15000,"high","low")</f>
        <v>high</v>
      </c>
      <c r="R3" s="22" t="str" cm="1">
        <f t="array" ref="R3">_xlfn.IFS(O3&gt;=20000,"high",O3&gt;=15000,"medium",O3&lt;15000,"low")</f>
        <v>high</v>
      </c>
      <c r="S3" s="22" t="str">
        <f t="shared" ref="S3:S66" si="2">IF(O3&gt;=20000,"high",IF(O3&gt;=15000,"mid","low"))</f>
        <v>high</v>
      </c>
      <c r="U3" t="s">
        <v>75</v>
      </c>
    </row>
    <row r="4" spans="1:21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>
        <f t="shared" si="0"/>
        <v>20846.04</v>
      </c>
      <c r="Q4" s="22" t="str">
        <f t="shared" si="1"/>
        <v>high</v>
      </c>
      <c r="R4" s="22" t="str" cm="1">
        <f t="array" ref="R4">_xlfn.IFS(O4&gt;=20000,"high",O4&gt;=15000,"medium",O4&lt;15000,"low")</f>
        <v>medium</v>
      </c>
      <c r="S4" s="22" t="str">
        <f t="shared" si="2"/>
        <v>mid</v>
      </c>
    </row>
    <row r="5" spans="1:21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>
        <f t="shared" si="0"/>
        <v>1008.79</v>
      </c>
      <c r="Q5" s="22" t="str">
        <f t="shared" si="1"/>
        <v>low</v>
      </c>
      <c r="R5" s="22" t="str" cm="1">
        <f t="array" ref="R5">_xlfn.IFS(O5&gt;=20000,"high",O5&gt;=15000,"medium",O5&lt;15000,"low")</f>
        <v>low</v>
      </c>
      <c r="S5" s="22" t="str">
        <f t="shared" si="2"/>
        <v>low</v>
      </c>
    </row>
    <row r="6" spans="1:21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>
        <f t="shared" si="0"/>
        <v>24580.289999999997</v>
      </c>
      <c r="Q6" s="22" t="str">
        <f t="shared" si="1"/>
        <v>high</v>
      </c>
      <c r="R6" s="22" t="str" cm="1">
        <f t="array" ref="R6">_xlfn.IFS(O6&gt;=20000,"high",O6&gt;=15000,"medium",O6&lt;15000,"low")</f>
        <v>medium</v>
      </c>
      <c r="S6" s="22" t="str">
        <f t="shared" si="2"/>
        <v>mid</v>
      </c>
    </row>
    <row r="7" spans="1:21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>
        <f t="shared" si="0"/>
        <v>9568.6500000000015</v>
      </c>
      <c r="Q7" s="22" t="str">
        <f t="shared" si="1"/>
        <v>low</v>
      </c>
      <c r="R7" s="22" t="str" cm="1">
        <f t="array" ref="R7">_xlfn.IFS(O7&gt;=20000,"high",O7&gt;=15000,"medium",O7&lt;15000,"low")</f>
        <v>low</v>
      </c>
      <c r="S7" s="22" t="str">
        <f t="shared" si="2"/>
        <v>low</v>
      </c>
      <c r="U7" t="s">
        <v>76</v>
      </c>
    </row>
    <row r="8" spans="1:21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>
        <f t="shared" si="0"/>
        <v>15152.1</v>
      </c>
      <c r="Q8" s="22" t="str">
        <f t="shared" si="1"/>
        <v>low</v>
      </c>
      <c r="R8" s="22" t="str" cm="1">
        <f t="array" ref="R8">_xlfn.IFS(O8&gt;=20000,"high",O8&gt;=15000,"medium",O8&lt;15000,"low")</f>
        <v>low</v>
      </c>
      <c r="S8" s="22" t="str">
        <f t="shared" si="2"/>
        <v>low</v>
      </c>
    </row>
    <row r="9" spans="1:21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>
        <f t="shared" si="0"/>
        <v>9243.32</v>
      </c>
      <c r="Q9" s="22" t="str">
        <f t="shared" si="1"/>
        <v>low</v>
      </c>
      <c r="R9" s="22" t="str" cm="1">
        <f t="array" ref="R9">_xlfn.IFS(O9&gt;=20000,"high",O9&gt;=15000,"medium",O9&lt;15000,"low")</f>
        <v>low</v>
      </c>
      <c r="S9" s="22" t="str">
        <f t="shared" si="2"/>
        <v>low</v>
      </c>
    </row>
    <row r="10" spans="1:21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>
        <f t="shared" si="0"/>
        <v>5490.2</v>
      </c>
      <c r="Q10" s="22" t="str">
        <f t="shared" si="1"/>
        <v>low</v>
      </c>
      <c r="R10" s="22" t="str" cm="1">
        <f t="array" ref="R10">_xlfn.IFS(O10&gt;=20000,"high",O10&gt;=15000,"medium",O10&lt;15000,"low")</f>
        <v>low</v>
      </c>
      <c r="S10" s="22" t="str">
        <f t="shared" si="2"/>
        <v>low</v>
      </c>
    </row>
    <row r="11" spans="1:21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>
        <f t="shared" si="0"/>
        <v>8903.3000000000011</v>
      </c>
      <c r="Q11" s="22" t="str">
        <f t="shared" si="1"/>
        <v>low</v>
      </c>
      <c r="R11" s="22" t="str" cm="1">
        <f t="array" ref="R11">_xlfn.IFS(O11&gt;=20000,"high",O11&gt;=15000,"medium",O11&lt;15000,"low")</f>
        <v>low</v>
      </c>
      <c r="S11" s="22" t="str">
        <f t="shared" si="2"/>
        <v>low</v>
      </c>
      <c r="T11" s="1"/>
      <c r="U11" t="s">
        <v>77</v>
      </c>
    </row>
    <row r="12" spans="1:21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>
        <f t="shared" si="0"/>
        <v>19231.5</v>
      </c>
      <c r="Q12" s="22" t="str">
        <f t="shared" si="1"/>
        <v>high</v>
      </c>
      <c r="R12" s="22" t="str" cm="1">
        <f t="array" ref="R12">_xlfn.IFS(O12&gt;=20000,"high",O12&gt;=15000,"medium",O12&lt;15000,"low")</f>
        <v>medium</v>
      </c>
      <c r="S12" s="22" t="str">
        <f t="shared" si="2"/>
        <v>mid</v>
      </c>
      <c r="T12" s="1"/>
    </row>
    <row r="13" spans="1:21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>
        <f t="shared" si="0"/>
        <v>1634.1000000000001</v>
      </c>
      <c r="Q13" s="22" t="str">
        <f t="shared" si="1"/>
        <v>low</v>
      </c>
      <c r="R13" s="22" t="str" cm="1">
        <f t="array" ref="R13">_xlfn.IFS(O13&gt;=20000,"high",O13&gt;=15000,"medium",O13&lt;15000,"low")</f>
        <v>low</v>
      </c>
      <c r="S13" s="22" t="str">
        <f t="shared" si="2"/>
        <v>low</v>
      </c>
      <c r="T13" s="1"/>
    </row>
    <row r="14" spans="1:21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>
        <f t="shared" si="0"/>
        <v>25287.200000000001</v>
      </c>
      <c r="Q14" s="22" t="str">
        <f t="shared" si="1"/>
        <v>high</v>
      </c>
      <c r="R14" s="22" t="str" cm="1">
        <f t="array" ref="R14">_xlfn.IFS(O14&gt;=20000,"high",O14&gt;=15000,"medium",O14&lt;15000,"low")</f>
        <v>high</v>
      </c>
      <c r="S14" s="22" t="str">
        <f t="shared" si="2"/>
        <v>high</v>
      </c>
      <c r="T14" s="1"/>
    </row>
    <row r="15" spans="1:21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>
        <f t="shared" si="0"/>
        <v>8594.16</v>
      </c>
      <c r="Q15" s="22" t="str">
        <f t="shared" si="1"/>
        <v>low</v>
      </c>
      <c r="R15" s="22" t="str" cm="1">
        <f t="array" ref="R15">_xlfn.IFS(O15&gt;=20000,"high",O15&gt;=15000,"medium",O15&lt;15000,"low")</f>
        <v>low</v>
      </c>
      <c r="S15" s="22" t="str">
        <f t="shared" si="2"/>
        <v>low</v>
      </c>
      <c r="T15" s="1"/>
    </row>
    <row r="16" spans="1:21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>
        <f t="shared" si="0"/>
        <v>6350.31</v>
      </c>
      <c r="Q16" s="22" t="str">
        <f t="shared" si="1"/>
        <v>low</v>
      </c>
      <c r="R16" s="22" t="str" cm="1">
        <f t="array" ref="R16">_xlfn.IFS(O16&gt;=20000,"high",O16&gt;=15000,"medium",O16&lt;15000,"low")</f>
        <v>low</v>
      </c>
      <c r="S16" s="22" t="str">
        <f t="shared" si="2"/>
        <v>low</v>
      </c>
      <c r="T16" s="1"/>
    </row>
    <row r="17" spans="1:20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>
        <f t="shared" si="0"/>
        <v>4763.6000000000004</v>
      </c>
      <c r="Q17" s="22" t="str">
        <f t="shared" si="1"/>
        <v>low</v>
      </c>
      <c r="R17" s="22" t="str" cm="1">
        <f t="array" ref="R17">_xlfn.IFS(O17&gt;=20000,"high",O17&gt;=15000,"medium",O17&lt;15000,"low")</f>
        <v>low</v>
      </c>
      <c r="S17" s="22" t="str">
        <f t="shared" si="2"/>
        <v>low</v>
      </c>
      <c r="T17" s="1"/>
    </row>
    <row r="18" spans="1:20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>
        <f t="shared" si="0"/>
        <v>509.82</v>
      </c>
      <c r="Q18" s="22" t="str">
        <f t="shared" si="1"/>
        <v>low</v>
      </c>
      <c r="R18" s="22" t="str" cm="1">
        <f t="array" ref="R18">_xlfn.IFS(O18&gt;=20000,"high",O18&gt;=15000,"medium",O18&lt;15000,"low")</f>
        <v>low</v>
      </c>
      <c r="S18" s="22" t="str">
        <f t="shared" si="2"/>
        <v>low</v>
      </c>
      <c r="T18" s="1"/>
    </row>
    <row r="19" spans="1:20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>
        <f t="shared" si="0"/>
        <v>2165.81</v>
      </c>
      <c r="Q19" s="22" t="str">
        <f t="shared" si="1"/>
        <v>low</v>
      </c>
      <c r="R19" s="22" t="str" cm="1">
        <f t="array" ref="R19">_xlfn.IFS(O19&gt;=20000,"high",O19&gt;=15000,"medium",O19&lt;15000,"low")</f>
        <v>low</v>
      </c>
      <c r="S19" s="22" t="str">
        <f t="shared" si="2"/>
        <v>low</v>
      </c>
    </row>
    <row r="20" spans="1:20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>
        <f t="shared" si="0"/>
        <v>1980.6</v>
      </c>
      <c r="Q20" s="22" t="str">
        <f t="shared" si="1"/>
        <v>low</v>
      </c>
      <c r="R20" s="22" t="str" cm="1">
        <f t="array" ref="R20">_xlfn.IFS(O20&gt;=20000,"high",O20&gt;=15000,"medium",O20&lt;15000,"low")</f>
        <v>low</v>
      </c>
      <c r="S20" s="22" t="str">
        <f t="shared" si="2"/>
        <v>low</v>
      </c>
    </row>
    <row r="21" spans="1:20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>
        <f t="shared" si="0"/>
        <v>7918.62</v>
      </c>
      <c r="Q21" s="22" t="str">
        <f t="shared" si="1"/>
        <v>low</v>
      </c>
      <c r="R21" s="22" t="str" cm="1">
        <f t="array" ref="R21">_xlfn.IFS(O21&gt;=20000,"high",O21&gt;=15000,"medium",O21&lt;15000,"low")</f>
        <v>low</v>
      </c>
      <c r="S21" s="22" t="str">
        <f t="shared" si="2"/>
        <v>low</v>
      </c>
    </row>
    <row r="22" spans="1:20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>
        <f t="shared" si="0"/>
        <v>7084.74</v>
      </c>
      <c r="Q22" s="22" t="str">
        <f t="shared" si="1"/>
        <v>low</v>
      </c>
      <c r="R22" s="22" t="str" cm="1">
        <f t="array" ref="R22">_xlfn.IFS(O22&gt;=20000,"high",O22&gt;=15000,"medium",O22&lt;15000,"low")</f>
        <v>low</v>
      </c>
      <c r="S22" s="22" t="str">
        <f t="shared" si="2"/>
        <v>low</v>
      </c>
    </row>
    <row r="23" spans="1:20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>
        <f t="shared" si="0"/>
        <v>4766.0200000000004</v>
      </c>
      <c r="Q23" s="22" t="str">
        <f t="shared" si="1"/>
        <v>low</v>
      </c>
      <c r="R23" s="22" t="str" cm="1">
        <f t="array" ref="R23">_xlfn.IFS(O23&gt;=20000,"high",O23&gt;=15000,"medium",O23&lt;15000,"low")</f>
        <v>low</v>
      </c>
      <c r="S23" s="22" t="str">
        <f t="shared" si="2"/>
        <v>low</v>
      </c>
    </row>
    <row r="24" spans="1:20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>
        <f t="shared" si="0"/>
        <v>5603.48</v>
      </c>
      <c r="Q24" s="22" t="str">
        <f t="shared" si="1"/>
        <v>low</v>
      </c>
      <c r="R24" s="22" t="str" cm="1">
        <f t="array" ref="R24">_xlfn.IFS(O24&gt;=20000,"high",O24&gt;=15000,"medium",O24&lt;15000,"low")</f>
        <v>low</v>
      </c>
      <c r="S24" s="22" t="str">
        <f t="shared" si="2"/>
        <v>low</v>
      </c>
    </row>
    <row r="25" spans="1:20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>
        <f t="shared" si="0"/>
        <v>3606.31</v>
      </c>
      <c r="Q25" s="22" t="str">
        <f t="shared" si="1"/>
        <v>low</v>
      </c>
      <c r="R25" s="22" t="str" cm="1">
        <f t="array" ref="R25">_xlfn.IFS(O25&gt;=20000,"high",O25&gt;=15000,"medium",O25&lt;15000,"low")</f>
        <v>low</v>
      </c>
      <c r="S25" s="22" t="str">
        <f t="shared" si="2"/>
        <v>low</v>
      </c>
    </row>
    <row r="26" spans="1:20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>
        <f t="shared" si="0"/>
        <v>18113.64</v>
      </c>
      <c r="Q26" s="22" t="str">
        <f t="shared" si="1"/>
        <v>high</v>
      </c>
      <c r="R26" s="22" t="str" cm="1">
        <f t="array" ref="R26">_xlfn.IFS(O26&gt;=20000,"high",O26&gt;=15000,"medium",O26&lt;15000,"low")</f>
        <v>medium</v>
      </c>
      <c r="S26" s="22" t="str">
        <f t="shared" si="2"/>
        <v>mid</v>
      </c>
    </row>
    <row r="27" spans="1:20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>
        <f t="shared" si="0"/>
        <v>3998.61</v>
      </c>
      <c r="Q27" s="22" t="str">
        <f t="shared" si="1"/>
        <v>low</v>
      </c>
      <c r="R27" s="22" t="str" cm="1">
        <f t="array" ref="R27">_xlfn.IFS(O27&gt;=20000,"high",O27&gt;=15000,"medium",O27&lt;15000,"low")</f>
        <v>low</v>
      </c>
      <c r="S27" s="22" t="str">
        <f t="shared" si="2"/>
        <v>low</v>
      </c>
    </row>
    <row r="28" spans="1:20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>
        <f t="shared" si="0"/>
        <v>10797.45</v>
      </c>
      <c r="Q28" s="22" t="str">
        <f t="shared" si="1"/>
        <v>low</v>
      </c>
      <c r="R28" s="22" t="str" cm="1">
        <f t="array" ref="R28">_xlfn.IFS(O28&gt;=20000,"high",O28&gt;=15000,"medium",O28&lt;15000,"low")</f>
        <v>low</v>
      </c>
      <c r="S28" s="22" t="str">
        <f t="shared" si="2"/>
        <v>low</v>
      </c>
    </row>
    <row r="29" spans="1:20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>
        <f t="shared" si="0"/>
        <v>19239.78</v>
      </c>
      <c r="Q29" s="22" t="str">
        <f t="shared" si="1"/>
        <v>high</v>
      </c>
      <c r="R29" s="22" t="str" cm="1">
        <f t="array" ref="R29">_xlfn.IFS(O29&gt;=20000,"high",O29&gt;=15000,"medium",O29&lt;15000,"low")</f>
        <v>medium</v>
      </c>
      <c r="S29" s="22" t="str">
        <f t="shared" si="2"/>
        <v>mid</v>
      </c>
    </row>
    <row r="30" spans="1:20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>
        <f t="shared" si="0"/>
        <v>2278.41</v>
      </c>
      <c r="Q30" s="22" t="str">
        <f t="shared" si="1"/>
        <v>low</v>
      </c>
      <c r="R30" s="22" t="str" cm="1">
        <f t="array" ref="R30">_xlfn.IFS(O30&gt;=20000,"high",O30&gt;=15000,"medium",O30&lt;15000,"low")</f>
        <v>low</v>
      </c>
      <c r="S30" s="22" t="str">
        <f t="shared" si="2"/>
        <v>low</v>
      </c>
    </row>
    <row r="31" spans="1:20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>
        <f t="shared" si="0"/>
        <v>349.38</v>
      </c>
      <c r="Q31" s="22" t="str">
        <f t="shared" si="1"/>
        <v>low</v>
      </c>
      <c r="R31" s="22" t="str" cm="1">
        <f t="array" ref="R31">_xlfn.IFS(O31&gt;=20000,"high",O31&gt;=15000,"medium",O31&lt;15000,"low")</f>
        <v>low</v>
      </c>
      <c r="S31" s="22" t="str">
        <f t="shared" si="2"/>
        <v>low</v>
      </c>
    </row>
    <row r="32" spans="1:20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>
        <f t="shared" si="0"/>
        <v>11478.25</v>
      </c>
      <c r="Q32" s="22" t="str">
        <f t="shared" si="1"/>
        <v>low</v>
      </c>
      <c r="R32" s="22" t="str" cm="1">
        <f t="array" ref="R32">_xlfn.IFS(O32&gt;=20000,"high",O32&gt;=15000,"medium",O32&lt;15000,"low")</f>
        <v>low</v>
      </c>
      <c r="S32" s="22" t="str">
        <f t="shared" si="2"/>
        <v>low</v>
      </c>
    </row>
    <row r="33" spans="1:19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>
        <f t="shared" si="0"/>
        <v>3002.96</v>
      </c>
      <c r="Q33" s="22" t="str">
        <f t="shared" si="1"/>
        <v>low</v>
      </c>
      <c r="R33" s="22" t="str" cm="1">
        <f t="array" ref="R33">_xlfn.IFS(O33&gt;=20000,"high",O33&gt;=15000,"medium",O33&lt;15000,"low")</f>
        <v>low</v>
      </c>
      <c r="S33" s="22" t="str">
        <f t="shared" si="2"/>
        <v>low</v>
      </c>
    </row>
    <row r="34" spans="1:19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>
        <f t="shared" si="0"/>
        <v>23542.26</v>
      </c>
      <c r="Q34" s="22" t="str">
        <f t="shared" si="1"/>
        <v>high</v>
      </c>
      <c r="R34" s="22" t="str" cm="1">
        <f t="array" ref="R34">_xlfn.IFS(O34&gt;=20000,"high",O34&gt;=15000,"medium",O34&lt;15000,"low")</f>
        <v>medium</v>
      </c>
      <c r="S34" s="22" t="str">
        <f t="shared" si="2"/>
        <v>mid</v>
      </c>
    </row>
    <row r="35" spans="1:19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>
        <f t="shared" si="0"/>
        <v>9177.5399999999991</v>
      </c>
      <c r="Q35" s="22" t="str">
        <f t="shared" si="1"/>
        <v>low</v>
      </c>
      <c r="R35" s="22" t="str" cm="1">
        <f t="array" ref="R35">_xlfn.IFS(O35&gt;=20000,"high",O35&gt;=15000,"medium",O35&lt;15000,"low")</f>
        <v>low</v>
      </c>
      <c r="S35" s="22" t="str">
        <f t="shared" si="2"/>
        <v>low</v>
      </c>
    </row>
    <row r="36" spans="1:19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>
        <f t="shared" si="0"/>
        <v>25652.48</v>
      </c>
      <c r="Q36" s="22" t="str">
        <f t="shared" si="1"/>
        <v>high</v>
      </c>
      <c r="R36" s="22" t="str" cm="1">
        <f t="array" ref="R36">_xlfn.IFS(O36&gt;=20000,"high",O36&gt;=15000,"medium",O36&lt;15000,"low")</f>
        <v>high</v>
      </c>
      <c r="S36" s="22" t="str">
        <f t="shared" si="2"/>
        <v>high</v>
      </c>
    </row>
    <row r="37" spans="1:19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>
        <f t="shared" si="0"/>
        <v>11639.5</v>
      </c>
      <c r="Q37" s="22" t="str">
        <f t="shared" si="1"/>
        <v>low</v>
      </c>
      <c r="R37" s="22" t="str" cm="1">
        <f t="array" ref="R37">_xlfn.IFS(O37&gt;=20000,"high",O37&gt;=15000,"medium",O37&lt;15000,"low")</f>
        <v>low</v>
      </c>
      <c r="S37" s="22" t="str">
        <f t="shared" si="2"/>
        <v>low</v>
      </c>
    </row>
    <row r="38" spans="1:19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>
        <f t="shared" si="0"/>
        <v>3413.16</v>
      </c>
      <c r="Q38" s="22" t="str">
        <f t="shared" si="1"/>
        <v>low</v>
      </c>
      <c r="R38" s="22" t="str" cm="1">
        <f t="array" ref="R38">_xlfn.IFS(O38&gt;=20000,"high",O38&gt;=15000,"medium",O38&lt;15000,"low")</f>
        <v>low</v>
      </c>
      <c r="S38" s="22" t="str">
        <f t="shared" si="2"/>
        <v>low</v>
      </c>
    </row>
    <row r="39" spans="1:19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>
        <f t="shared" si="0"/>
        <v>4812.22</v>
      </c>
      <c r="Q39" s="22" t="str">
        <f t="shared" si="1"/>
        <v>low</v>
      </c>
      <c r="R39" s="22" t="str" cm="1">
        <f t="array" ref="R39">_xlfn.IFS(O39&gt;=20000,"high",O39&gt;=15000,"medium",O39&lt;15000,"low")</f>
        <v>low</v>
      </c>
      <c r="S39" s="22" t="str">
        <f t="shared" si="2"/>
        <v>low</v>
      </c>
    </row>
    <row r="40" spans="1:19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>
        <f t="shared" si="0"/>
        <v>16585.940000000002</v>
      </c>
      <c r="Q40" s="22" t="str">
        <f t="shared" si="1"/>
        <v>low</v>
      </c>
      <c r="R40" s="22" t="str" cm="1">
        <f t="array" ref="R40">_xlfn.IFS(O40&gt;=20000,"high",O40&gt;=15000,"medium",O40&lt;15000,"low")</f>
        <v>low</v>
      </c>
      <c r="S40" s="22" t="str">
        <f t="shared" si="2"/>
        <v>low</v>
      </c>
    </row>
    <row r="41" spans="1:19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>
        <f t="shared" si="0"/>
        <v>18499.5</v>
      </c>
      <c r="Q41" s="22" t="str">
        <f t="shared" si="1"/>
        <v>high</v>
      </c>
      <c r="R41" s="22" t="str" cm="1">
        <f t="array" ref="R41">_xlfn.IFS(O41&gt;=20000,"high",O41&gt;=15000,"medium",O41&lt;15000,"low")</f>
        <v>medium</v>
      </c>
      <c r="S41" s="22" t="str">
        <f t="shared" si="2"/>
        <v>mid</v>
      </c>
    </row>
    <row r="42" spans="1:19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>
        <f t="shared" si="0"/>
        <v>25270.400000000001</v>
      </c>
      <c r="Q42" s="22" t="str">
        <f t="shared" si="1"/>
        <v>high</v>
      </c>
      <c r="R42" s="22" t="str" cm="1">
        <f t="array" ref="R42">_xlfn.IFS(O42&gt;=20000,"high",O42&gt;=15000,"medium",O42&lt;15000,"low")</f>
        <v>high</v>
      </c>
      <c r="S42" s="22" t="str">
        <f t="shared" si="2"/>
        <v>high</v>
      </c>
    </row>
    <row r="43" spans="1:19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>
        <f t="shared" si="0"/>
        <v>4846.68</v>
      </c>
      <c r="Q43" s="22" t="str">
        <f t="shared" si="1"/>
        <v>low</v>
      </c>
      <c r="R43" s="22" t="str" cm="1">
        <f t="array" ref="R43">_xlfn.IFS(O43&gt;=20000,"high",O43&gt;=15000,"medium",O43&lt;15000,"low")</f>
        <v>low</v>
      </c>
      <c r="S43" s="22" t="str">
        <f t="shared" si="2"/>
        <v>low</v>
      </c>
    </row>
    <row r="44" spans="1:19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>
        <f t="shared" si="0"/>
        <v>4681.75</v>
      </c>
      <c r="Q44" s="22" t="str">
        <f t="shared" si="1"/>
        <v>low</v>
      </c>
      <c r="R44" s="22" t="str" cm="1">
        <f t="array" ref="R44">_xlfn.IFS(O44&gt;=20000,"high",O44&gt;=15000,"medium",O44&lt;15000,"low")</f>
        <v>low</v>
      </c>
      <c r="S44" s="22" t="str">
        <f t="shared" si="2"/>
        <v>low</v>
      </c>
    </row>
    <row r="45" spans="1:19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>
        <f t="shared" si="0"/>
        <v>858.04</v>
      </c>
      <c r="Q45" s="22" t="str">
        <f t="shared" si="1"/>
        <v>low</v>
      </c>
      <c r="R45" s="22" t="str" cm="1">
        <f t="array" ref="R45">_xlfn.IFS(O45&gt;=20000,"high",O45&gt;=15000,"medium",O45&lt;15000,"low")</f>
        <v>low</v>
      </c>
      <c r="S45" s="22" t="str">
        <f t="shared" si="2"/>
        <v>low</v>
      </c>
    </row>
    <row r="46" spans="1:19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>
        <f t="shared" si="0"/>
        <v>2764.92</v>
      </c>
      <c r="Q46" s="22" t="str">
        <f t="shared" si="1"/>
        <v>low</v>
      </c>
      <c r="R46" s="22" t="str" cm="1">
        <f t="array" ref="R46">_xlfn.IFS(O46&gt;=20000,"high",O46&gt;=15000,"medium",O46&lt;15000,"low")</f>
        <v>low</v>
      </c>
      <c r="S46" s="22" t="str">
        <f t="shared" si="2"/>
        <v>low</v>
      </c>
    </row>
    <row r="47" spans="1:19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>
        <f t="shared" si="0"/>
        <v>3558.32</v>
      </c>
      <c r="Q47" s="22" t="str">
        <f t="shared" si="1"/>
        <v>low</v>
      </c>
      <c r="R47" s="22" t="str" cm="1">
        <f t="array" ref="R47">_xlfn.IFS(O47&gt;=20000,"high",O47&gt;=15000,"medium",O47&lt;15000,"low")</f>
        <v>low</v>
      </c>
      <c r="S47" s="22" t="str">
        <f t="shared" si="2"/>
        <v>low</v>
      </c>
    </row>
    <row r="48" spans="1:19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>
        <f t="shared" si="0"/>
        <v>1769.93</v>
      </c>
      <c r="Q48" s="22" t="str">
        <f t="shared" si="1"/>
        <v>low</v>
      </c>
      <c r="R48" s="22" t="str" cm="1">
        <f t="array" ref="R48">_xlfn.IFS(O48&gt;=20000,"high",O48&gt;=15000,"medium",O48&lt;15000,"low")</f>
        <v>low</v>
      </c>
      <c r="S48" s="22" t="str">
        <f t="shared" si="2"/>
        <v>low</v>
      </c>
    </row>
    <row r="49" spans="1:19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>
        <f t="shared" si="0"/>
        <v>12332.4</v>
      </c>
      <c r="Q49" s="22" t="str">
        <f t="shared" si="1"/>
        <v>low</v>
      </c>
      <c r="R49" s="22" t="str" cm="1">
        <f t="array" ref="R49">_xlfn.IFS(O49&gt;=20000,"high",O49&gt;=15000,"medium",O49&lt;15000,"low")</f>
        <v>low</v>
      </c>
      <c r="S49" s="22" t="str">
        <f t="shared" si="2"/>
        <v>low</v>
      </c>
    </row>
    <row r="50" spans="1:19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>
        <f t="shared" si="0"/>
        <v>22547.22</v>
      </c>
      <c r="Q50" s="22" t="str">
        <f t="shared" si="1"/>
        <v>high</v>
      </c>
      <c r="R50" s="22" t="str" cm="1">
        <f t="array" ref="R50">_xlfn.IFS(O50&gt;=20000,"high",O50&gt;=15000,"medium",O50&lt;15000,"low")</f>
        <v>medium</v>
      </c>
      <c r="S50" s="22" t="str">
        <f t="shared" si="2"/>
        <v>mid</v>
      </c>
    </row>
    <row r="51" spans="1:19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>
        <f t="shared" si="0"/>
        <v>8102.64</v>
      </c>
      <c r="Q51" s="22" t="str">
        <f t="shared" si="1"/>
        <v>low</v>
      </c>
      <c r="R51" s="22" t="str" cm="1">
        <f t="array" ref="R51">_xlfn.IFS(O51&gt;=20000,"high",O51&gt;=15000,"medium",O51&lt;15000,"low")</f>
        <v>low</v>
      </c>
      <c r="S51" s="22" t="str">
        <f t="shared" si="2"/>
        <v>low</v>
      </c>
    </row>
    <row r="52" spans="1:19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>
        <f t="shared" si="0"/>
        <v>5558.0999999999995</v>
      </c>
      <c r="Q52" s="22" t="str">
        <f t="shared" si="1"/>
        <v>low</v>
      </c>
      <c r="R52" s="22" t="str" cm="1">
        <f t="array" ref="R52">_xlfn.IFS(O52&gt;=20000,"high",O52&gt;=15000,"medium",O52&lt;15000,"low")</f>
        <v>low</v>
      </c>
      <c r="S52" s="22" t="str">
        <f t="shared" si="2"/>
        <v>low</v>
      </c>
    </row>
    <row r="53" spans="1:19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>
        <f t="shared" si="0"/>
        <v>8005.5599999999995</v>
      </c>
      <c r="Q53" s="22" t="str">
        <f t="shared" si="1"/>
        <v>low</v>
      </c>
      <c r="R53" s="22" t="str" cm="1">
        <f t="array" ref="R53">_xlfn.IFS(O53&gt;=20000,"high",O53&gt;=15000,"medium",O53&lt;15000,"low")</f>
        <v>low</v>
      </c>
      <c r="S53" s="22" t="str">
        <f t="shared" si="2"/>
        <v>low</v>
      </c>
    </row>
    <row r="54" spans="1:19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>
        <f t="shared" si="0"/>
        <v>12670.35</v>
      </c>
      <c r="Q54" s="22" t="str">
        <f t="shared" si="1"/>
        <v>low</v>
      </c>
      <c r="R54" s="22" t="str" cm="1">
        <f t="array" ref="R54">_xlfn.IFS(O54&gt;=20000,"high",O54&gt;=15000,"medium",O54&lt;15000,"low")</f>
        <v>low</v>
      </c>
      <c r="S54" s="22" t="str">
        <f t="shared" si="2"/>
        <v>low</v>
      </c>
    </row>
    <row r="55" spans="1:19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>
        <f t="shared" si="0"/>
        <v>11428.96</v>
      </c>
      <c r="Q55" s="22" t="str">
        <f t="shared" si="1"/>
        <v>low</v>
      </c>
      <c r="R55" s="22" t="str" cm="1">
        <f t="array" ref="R55">_xlfn.IFS(O55&gt;=20000,"high",O55&gt;=15000,"medium",O55&lt;15000,"low")</f>
        <v>low</v>
      </c>
      <c r="S55" s="22" t="str">
        <f t="shared" si="2"/>
        <v>low</v>
      </c>
    </row>
    <row r="56" spans="1:19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>
        <f t="shared" si="0"/>
        <v>7446.38</v>
      </c>
      <c r="Q56" s="22" t="str">
        <f t="shared" si="1"/>
        <v>low</v>
      </c>
      <c r="R56" s="22" t="str" cm="1">
        <f t="array" ref="R56">_xlfn.IFS(O56&gt;=20000,"high",O56&gt;=15000,"medium",O56&lt;15000,"low")</f>
        <v>low</v>
      </c>
      <c r="S56" s="22" t="str">
        <f t="shared" si="2"/>
        <v>low</v>
      </c>
    </row>
    <row r="57" spans="1:19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>
        <f t="shared" si="0"/>
        <v>20416.32</v>
      </c>
      <c r="Q57" s="22" t="str">
        <f t="shared" si="1"/>
        <v>high</v>
      </c>
      <c r="R57" s="22" t="str" cm="1">
        <f t="array" ref="R57">_xlfn.IFS(O57&gt;=20000,"high",O57&gt;=15000,"medium",O57&lt;15000,"low")</f>
        <v>medium</v>
      </c>
      <c r="S57" s="22" t="str">
        <f t="shared" si="2"/>
        <v>mid</v>
      </c>
    </row>
    <row r="58" spans="1:19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>
        <f t="shared" si="0"/>
        <v>9110.9700000000012</v>
      </c>
      <c r="Q58" s="22" t="str">
        <f t="shared" si="1"/>
        <v>low</v>
      </c>
      <c r="R58" s="22" t="str" cm="1">
        <f t="array" ref="R58">_xlfn.IFS(O58&gt;=20000,"high",O58&gt;=15000,"medium",O58&lt;15000,"low")</f>
        <v>low</v>
      </c>
      <c r="S58" s="22" t="str">
        <f t="shared" si="2"/>
        <v>low</v>
      </c>
    </row>
    <row r="59" spans="1:19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>
        <f t="shared" si="0"/>
        <v>8565.6</v>
      </c>
      <c r="Q59" s="22" t="str">
        <f t="shared" si="1"/>
        <v>low</v>
      </c>
      <c r="R59" s="22" t="str" cm="1">
        <f t="array" ref="R59">_xlfn.IFS(O59&gt;=20000,"high",O59&gt;=15000,"medium",O59&lt;15000,"low")</f>
        <v>low</v>
      </c>
      <c r="S59" s="22" t="str">
        <f t="shared" si="2"/>
        <v>low</v>
      </c>
    </row>
    <row r="60" spans="1:19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>
        <f t="shared" si="0"/>
        <v>16978.88</v>
      </c>
      <c r="Q60" s="22" t="str">
        <f t="shared" si="1"/>
        <v>high</v>
      </c>
      <c r="R60" s="22" t="str" cm="1">
        <f t="array" ref="R60">_xlfn.IFS(O60&gt;=20000,"high",O60&gt;=15000,"medium",O60&lt;15000,"low")</f>
        <v>medium</v>
      </c>
      <c r="S60" s="22" t="str">
        <f t="shared" si="2"/>
        <v>mid</v>
      </c>
    </row>
    <row r="61" spans="1:19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>
        <f t="shared" si="0"/>
        <v>25026</v>
      </c>
      <c r="Q61" s="22" t="str">
        <f t="shared" si="1"/>
        <v>high</v>
      </c>
      <c r="R61" s="22" t="str" cm="1">
        <f t="array" ref="R61">_xlfn.IFS(O61&gt;=20000,"high",O61&gt;=15000,"medium",O61&lt;15000,"low")</f>
        <v>high</v>
      </c>
      <c r="S61" s="22" t="str">
        <f t="shared" si="2"/>
        <v>high</v>
      </c>
    </row>
    <row r="62" spans="1:19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>
        <f t="shared" si="0"/>
        <v>2236.92</v>
      </c>
      <c r="Q62" s="22" t="str">
        <f t="shared" si="1"/>
        <v>low</v>
      </c>
      <c r="R62" s="22" t="str" cm="1">
        <f t="array" ref="R62">_xlfn.IFS(O62&gt;=20000,"high",O62&gt;=15000,"medium",O62&lt;15000,"low")</f>
        <v>low</v>
      </c>
      <c r="S62" s="22" t="str">
        <f t="shared" si="2"/>
        <v>low</v>
      </c>
    </row>
    <row r="63" spans="1:19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>
        <f t="shared" si="0"/>
        <v>22554.720000000001</v>
      </c>
      <c r="Q63" s="22" t="str">
        <f t="shared" si="1"/>
        <v>high</v>
      </c>
      <c r="R63" s="22" t="str" cm="1">
        <f t="array" ref="R63">_xlfn.IFS(O63&gt;=20000,"high",O63&gt;=15000,"medium",O63&lt;15000,"low")</f>
        <v>high</v>
      </c>
      <c r="S63" s="22" t="str">
        <f t="shared" si="2"/>
        <v>high</v>
      </c>
    </row>
    <row r="64" spans="1:19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>
        <f t="shared" si="0"/>
        <v>15874.26</v>
      </c>
      <c r="Q64" s="22" t="str">
        <f t="shared" si="1"/>
        <v>low</v>
      </c>
      <c r="R64" s="22" t="str" cm="1">
        <f t="array" ref="R64">_xlfn.IFS(O64&gt;=20000,"high",O64&gt;=15000,"medium",O64&lt;15000,"low")</f>
        <v>low</v>
      </c>
      <c r="S64" s="22" t="str">
        <f t="shared" si="2"/>
        <v>low</v>
      </c>
    </row>
    <row r="65" spans="1:19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>
        <f t="shared" si="0"/>
        <v>2082.4</v>
      </c>
      <c r="Q65" s="22" t="str">
        <f t="shared" si="1"/>
        <v>low</v>
      </c>
      <c r="R65" s="22" t="str" cm="1">
        <f t="array" ref="R65">_xlfn.IFS(O65&gt;=20000,"high",O65&gt;=15000,"medium",O65&lt;15000,"low")</f>
        <v>low</v>
      </c>
      <c r="S65" s="22" t="str">
        <f t="shared" si="2"/>
        <v>low</v>
      </c>
    </row>
    <row r="66" spans="1:19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>
        <f t="shared" si="0"/>
        <v>5546.42</v>
      </c>
      <c r="Q66" s="22" t="str">
        <f t="shared" si="1"/>
        <v>low</v>
      </c>
      <c r="R66" s="22" t="str" cm="1">
        <f t="array" ref="R66">_xlfn.IFS(O66&gt;=20000,"high",O66&gt;=15000,"medium",O66&lt;15000,"low")</f>
        <v>low</v>
      </c>
      <c r="S66" s="22" t="str">
        <f t="shared" si="2"/>
        <v>low</v>
      </c>
    </row>
    <row r="67" spans="1:19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>
        <f t="shared" ref="P67:P130" si="3">L67*M67</f>
        <v>30157.68</v>
      </c>
      <c r="Q67" s="22" t="str">
        <f t="shared" ref="Q67:Q130" si="4">IF(O67&gt;=15000,"high","low")</f>
        <v>high</v>
      </c>
      <c r="R67" s="22" t="str" cm="1">
        <f t="array" ref="R67">_xlfn.IFS(O67&gt;=20000,"high",O67&gt;=15000,"medium",O67&lt;15000,"low")</f>
        <v>high</v>
      </c>
      <c r="S67" s="22" t="str">
        <f t="shared" ref="S67:S130" si="5">IF(O67&gt;=20000,"high",IF(O67&gt;=15000,"mid","low"))</f>
        <v>high</v>
      </c>
    </row>
    <row r="68" spans="1:19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>
        <f t="shared" si="3"/>
        <v>330.13</v>
      </c>
      <c r="Q68" s="22" t="str">
        <f t="shared" si="4"/>
        <v>low</v>
      </c>
      <c r="R68" s="22" t="str" cm="1">
        <f t="array" ref="R68">_xlfn.IFS(O68&gt;=20000,"high",O68&gt;=15000,"medium",O68&lt;15000,"low")</f>
        <v>low</v>
      </c>
      <c r="S68" s="22" t="str">
        <f t="shared" si="5"/>
        <v>low</v>
      </c>
    </row>
    <row r="69" spans="1:19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>
        <f t="shared" si="3"/>
        <v>8283.9600000000009</v>
      </c>
      <c r="Q69" s="22" t="str">
        <f t="shared" si="4"/>
        <v>low</v>
      </c>
      <c r="R69" s="22" t="str" cm="1">
        <f t="array" ref="R69">_xlfn.IFS(O69&gt;=20000,"high",O69&gt;=15000,"medium",O69&lt;15000,"low")</f>
        <v>low</v>
      </c>
      <c r="S69" s="22" t="str">
        <f t="shared" si="5"/>
        <v>low</v>
      </c>
    </row>
    <row r="70" spans="1:19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>
        <f t="shared" si="3"/>
        <v>11021.880000000001</v>
      </c>
      <c r="Q70" s="22" t="str">
        <f t="shared" si="4"/>
        <v>low</v>
      </c>
      <c r="R70" s="22" t="str" cm="1">
        <f t="array" ref="R70">_xlfn.IFS(O70&gt;=20000,"high",O70&gt;=15000,"medium",O70&lt;15000,"low")</f>
        <v>low</v>
      </c>
      <c r="S70" s="22" t="str">
        <f t="shared" si="5"/>
        <v>low</v>
      </c>
    </row>
    <row r="71" spans="1:19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>
        <f t="shared" si="3"/>
        <v>14448.6</v>
      </c>
      <c r="Q71" s="22" t="str">
        <f t="shared" si="4"/>
        <v>low</v>
      </c>
      <c r="R71" s="22" t="str" cm="1">
        <f t="array" ref="R71">_xlfn.IFS(O71&gt;=20000,"high",O71&gt;=15000,"medium",O71&lt;15000,"low")</f>
        <v>low</v>
      </c>
      <c r="S71" s="22" t="str">
        <f t="shared" si="5"/>
        <v>low</v>
      </c>
    </row>
    <row r="72" spans="1:19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>
        <f t="shared" si="3"/>
        <v>11564.130000000001</v>
      </c>
      <c r="Q72" s="22" t="str">
        <f t="shared" si="4"/>
        <v>low</v>
      </c>
      <c r="R72" s="22" t="str" cm="1">
        <f t="array" ref="R72">_xlfn.IFS(O72&gt;=20000,"high",O72&gt;=15000,"medium",O72&lt;15000,"low")</f>
        <v>low</v>
      </c>
      <c r="S72" s="22" t="str">
        <f t="shared" si="5"/>
        <v>low</v>
      </c>
    </row>
    <row r="73" spans="1:19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>
        <f t="shared" si="3"/>
        <v>5579.5199999999995</v>
      </c>
      <c r="Q73" s="22" t="str">
        <f t="shared" si="4"/>
        <v>low</v>
      </c>
      <c r="R73" s="22" t="str" cm="1">
        <f t="array" ref="R73">_xlfn.IFS(O73&gt;=20000,"high",O73&gt;=15000,"medium",O73&lt;15000,"low")</f>
        <v>low</v>
      </c>
      <c r="S73" s="22" t="str">
        <f t="shared" si="5"/>
        <v>low</v>
      </c>
    </row>
    <row r="74" spans="1:19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>
        <f t="shared" si="3"/>
        <v>3037.61</v>
      </c>
      <c r="Q74" s="22" t="str">
        <f t="shared" si="4"/>
        <v>low</v>
      </c>
      <c r="R74" s="22" t="str" cm="1">
        <f t="array" ref="R74">_xlfn.IFS(O74&gt;=20000,"high",O74&gt;=15000,"medium",O74&lt;15000,"low")</f>
        <v>low</v>
      </c>
      <c r="S74" s="22" t="str">
        <f t="shared" si="5"/>
        <v>low</v>
      </c>
    </row>
    <row r="75" spans="1:19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>
        <f t="shared" si="3"/>
        <v>6590.67</v>
      </c>
      <c r="Q75" s="22" t="str">
        <f t="shared" si="4"/>
        <v>low</v>
      </c>
      <c r="R75" s="22" t="str" cm="1">
        <f t="array" ref="R75">_xlfn.IFS(O75&gt;=20000,"high",O75&gt;=15000,"medium",O75&lt;15000,"low")</f>
        <v>low</v>
      </c>
      <c r="S75" s="22" t="str">
        <f t="shared" si="5"/>
        <v>low</v>
      </c>
    </row>
    <row r="76" spans="1:19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>
        <f t="shared" si="3"/>
        <v>8881.84</v>
      </c>
      <c r="Q76" s="22" t="str">
        <f t="shared" si="4"/>
        <v>low</v>
      </c>
      <c r="R76" s="22" t="str" cm="1">
        <f t="array" ref="R76">_xlfn.IFS(O76&gt;=20000,"high",O76&gt;=15000,"medium",O76&lt;15000,"low")</f>
        <v>low</v>
      </c>
      <c r="S76" s="22" t="str">
        <f t="shared" si="5"/>
        <v>low</v>
      </c>
    </row>
    <row r="77" spans="1:19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>
        <f t="shared" si="3"/>
        <v>6103.4000000000005</v>
      </c>
      <c r="Q77" s="22" t="str">
        <f t="shared" si="4"/>
        <v>low</v>
      </c>
      <c r="R77" s="22" t="str" cm="1">
        <f t="array" ref="R77">_xlfn.IFS(O77&gt;=20000,"high",O77&gt;=15000,"medium",O77&lt;15000,"low")</f>
        <v>low</v>
      </c>
      <c r="S77" s="22" t="str">
        <f t="shared" si="5"/>
        <v>low</v>
      </c>
    </row>
    <row r="78" spans="1:19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>
        <f t="shared" si="3"/>
        <v>2955.84</v>
      </c>
      <c r="Q78" s="22" t="str">
        <f t="shared" si="4"/>
        <v>low</v>
      </c>
      <c r="R78" s="22" t="str" cm="1">
        <f t="array" ref="R78">_xlfn.IFS(O78&gt;=20000,"high",O78&gt;=15000,"medium",O78&lt;15000,"low")</f>
        <v>low</v>
      </c>
      <c r="S78" s="22" t="str">
        <f t="shared" si="5"/>
        <v>low</v>
      </c>
    </row>
    <row r="79" spans="1:19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>
        <f t="shared" si="3"/>
        <v>7552.92</v>
      </c>
      <c r="Q79" s="22" t="str">
        <f t="shared" si="4"/>
        <v>low</v>
      </c>
      <c r="R79" s="22" t="str" cm="1">
        <f t="array" ref="R79">_xlfn.IFS(O79&gt;=20000,"high",O79&gt;=15000,"medium",O79&lt;15000,"low")</f>
        <v>low</v>
      </c>
      <c r="S79" s="22" t="str">
        <f t="shared" si="5"/>
        <v>low</v>
      </c>
    </row>
    <row r="80" spans="1:19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>
        <f t="shared" si="3"/>
        <v>11459.300000000001</v>
      </c>
      <c r="Q80" s="22" t="str">
        <f t="shared" si="4"/>
        <v>low</v>
      </c>
      <c r="R80" s="22" t="str" cm="1">
        <f t="array" ref="R80">_xlfn.IFS(O80&gt;=20000,"high",O80&gt;=15000,"medium",O80&lt;15000,"low")</f>
        <v>low</v>
      </c>
      <c r="S80" s="22" t="str">
        <f t="shared" si="5"/>
        <v>low</v>
      </c>
    </row>
    <row r="81" spans="1:19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>
        <f t="shared" si="3"/>
        <v>786.75</v>
      </c>
      <c r="Q81" s="22" t="str">
        <f t="shared" si="4"/>
        <v>low</v>
      </c>
      <c r="R81" s="22" t="str" cm="1">
        <f t="array" ref="R81">_xlfn.IFS(O81&gt;=20000,"high",O81&gt;=15000,"medium",O81&lt;15000,"low")</f>
        <v>low</v>
      </c>
      <c r="S81" s="22" t="str">
        <f t="shared" si="5"/>
        <v>low</v>
      </c>
    </row>
    <row r="82" spans="1:19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>
        <f t="shared" si="3"/>
        <v>21857.46</v>
      </c>
      <c r="Q82" s="22" t="str">
        <f t="shared" si="4"/>
        <v>high</v>
      </c>
      <c r="R82" s="22" t="str" cm="1">
        <f t="array" ref="R82">_xlfn.IFS(O82&gt;=20000,"high",O82&gt;=15000,"medium",O82&lt;15000,"low")</f>
        <v>high</v>
      </c>
      <c r="S82" s="22" t="str">
        <f t="shared" si="5"/>
        <v>high</v>
      </c>
    </row>
    <row r="83" spans="1:19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>
        <f t="shared" si="3"/>
        <v>4510.1400000000003</v>
      </c>
      <c r="Q83" s="22" t="str">
        <f t="shared" si="4"/>
        <v>low</v>
      </c>
      <c r="R83" s="22" t="str" cm="1">
        <f t="array" ref="R83">_xlfn.IFS(O83&gt;=20000,"high",O83&gt;=15000,"medium",O83&lt;15000,"low")</f>
        <v>low</v>
      </c>
      <c r="S83" s="22" t="str">
        <f t="shared" si="5"/>
        <v>low</v>
      </c>
    </row>
    <row r="84" spans="1:19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>
        <f t="shared" si="3"/>
        <v>7978.72</v>
      </c>
      <c r="Q84" s="22" t="str">
        <f t="shared" si="4"/>
        <v>low</v>
      </c>
      <c r="R84" s="22" t="str" cm="1">
        <f t="array" ref="R84">_xlfn.IFS(O84&gt;=20000,"high",O84&gt;=15000,"medium",O84&lt;15000,"low")</f>
        <v>low</v>
      </c>
      <c r="S84" s="22" t="str">
        <f t="shared" si="5"/>
        <v>low</v>
      </c>
    </row>
    <row r="85" spans="1:19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>
        <f t="shared" si="3"/>
        <v>4290.72</v>
      </c>
      <c r="Q85" s="22" t="str">
        <f t="shared" si="4"/>
        <v>low</v>
      </c>
      <c r="R85" s="22" t="str" cm="1">
        <f t="array" ref="R85">_xlfn.IFS(O85&gt;=20000,"high",O85&gt;=15000,"medium",O85&lt;15000,"low")</f>
        <v>low</v>
      </c>
      <c r="S85" s="22" t="str">
        <f t="shared" si="5"/>
        <v>low</v>
      </c>
    </row>
    <row r="86" spans="1:19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>
        <f t="shared" si="3"/>
        <v>2883.94</v>
      </c>
      <c r="Q86" s="22" t="str">
        <f t="shared" si="4"/>
        <v>low</v>
      </c>
      <c r="R86" s="22" t="str" cm="1">
        <f t="array" ref="R86">_xlfn.IFS(O86&gt;=20000,"high",O86&gt;=15000,"medium",O86&lt;15000,"low")</f>
        <v>low</v>
      </c>
      <c r="S86" s="22" t="str">
        <f t="shared" si="5"/>
        <v>low</v>
      </c>
    </row>
    <row r="87" spans="1:19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>
        <f t="shared" si="3"/>
        <v>2074.2399999999998</v>
      </c>
      <c r="Q87" s="22" t="str">
        <f t="shared" si="4"/>
        <v>low</v>
      </c>
      <c r="R87" s="22" t="str" cm="1">
        <f t="array" ref="R87">_xlfn.IFS(O87&gt;=20000,"high",O87&gt;=15000,"medium",O87&lt;15000,"low")</f>
        <v>low</v>
      </c>
      <c r="S87" s="22" t="str">
        <f t="shared" si="5"/>
        <v>low</v>
      </c>
    </row>
    <row r="88" spans="1:19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>
        <f t="shared" si="3"/>
        <v>9611.84</v>
      </c>
      <c r="Q88" s="22" t="str">
        <f t="shared" si="4"/>
        <v>low</v>
      </c>
      <c r="R88" s="22" t="str" cm="1">
        <f t="array" ref="R88">_xlfn.IFS(O88&gt;=20000,"high",O88&gt;=15000,"medium",O88&lt;15000,"low")</f>
        <v>low</v>
      </c>
      <c r="S88" s="22" t="str">
        <f t="shared" si="5"/>
        <v>low</v>
      </c>
    </row>
    <row r="89" spans="1:19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>
        <f t="shared" si="3"/>
        <v>11638.2</v>
      </c>
      <c r="Q89" s="22" t="str">
        <f t="shared" si="4"/>
        <v>low</v>
      </c>
      <c r="R89" s="22" t="str" cm="1">
        <f t="array" ref="R89">_xlfn.IFS(O89&gt;=20000,"high",O89&gt;=15000,"medium",O89&lt;15000,"low")</f>
        <v>low</v>
      </c>
      <c r="S89" s="22" t="str">
        <f t="shared" si="5"/>
        <v>low</v>
      </c>
    </row>
    <row r="90" spans="1:19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>
        <f t="shared" si="3"/>
        <v>3480.06</v>
      </c>
      <c r="Q90" s="22" t="str">
        <f t="shared" si="4"/>
        <v>low</v>
      </c>
      <c r="R90" s="22" t="str" cm="1">
        <f t="array" ref="R90">_xlfn.IFS(O90&gt;=20000,"high",O90&gt;=15000,"medium",O90&lt;15000,"low")</f>
        <v>low</v>
      </c>
      <c r="S90" s="22" t="str">
        <f t="shared" si="5"/>
        <v>low</v>
      </c>
    </row>
    <row r="91" spans="1:19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>
        <f t="shared" si="3"/>
        <v>6776.2</v>
      </c>
      <c r="Q91" s="22" t="str">
        <f t="shared" si="4"/>
        <v>low</v>
      </c>
      <c r="R91" s="22" t="str" cm="1">
        <f t="array" ref="R91">_xlfn.IFS(O91&gt;=20000,"high",O91&gt;=15000,"medium",O91&lt;15000,"low")</f>
        <v>low</v>
      </c>
      <c r="S91" s="22" t="str">
        <f t="shared" si="5"/>
        <v>low</v>
      </c>
    </row>
    <row r="92" spans="1:19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>
        <f t="shared" si="3"/>
        <v>16852.599999999999</v>
      </c>
      <c r="Q92" s="22" t="str">
        <f t="shared" si="4"/>
        <v>high</v>
      </c>
      <c r="R92" s="22" t="str" cm="1">
        <f t="array" ref="R92">_xlfn.IFS(O92&gt;=20000,"high",O92&gt;=15000,"medium",O92&lt;15000,"low")</f>
        <v>medium</v>
      </c>
      <c r="S92" s="22" t="str">
        <f t="shared" si="5"/>
        <v>mid</v>
      </c>
    </row>
    <row r="93" spans="1:19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>
        <f t="shared" si="3"/>
        <v>1029.99</v>
      </c>
      <c r="Q93" s="22" t="str">
        <f t="shared" si="4"/>
        <v>low</v>
      </c>
      <c r="R93" s="22" t="str" cm="1">
        <f t="array" ref="R93">_xlfn.IFS(O93&gt;=20000,"high",O93&gt;=15000,"medium",O93&lt;15000,"low")</f>
        <v>low</v>
      </c>
      <c r="S93" s="22" t="str">
        <f t="shared" si="5"/>
        <v>low</v>
      </c>
    </row>
    <row r="94" spans="1:19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>
        <f t="shared" si="3"/>
        <v>17448.84</v>
      </c>
      <c r="Q94" s="22" t="str">
        <f t="shared" si="4"/>
        <v>low</v>
      </c>
      <c r="R94" s="22" t="str" cm="1">
        <f t="array" ref="R94">_xlfn.IFS(O94&gt;=20000,"high",O94&gt;=15000,"medium",O94&lt;15000,"low")</f>
        <v>low</v>
      </c>
      <c r="S94" s="22" t="str">
        <f t="shared" si="5"/>
        <v>low</v>
      </c>
    </row>
    <row r="95" spans="1:19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>
        <f t="shared" si="3"/>
        <v>6446.08</v>
      </c>
      <c r="Q95" s="22" t="str">
        <f t="shared" si="4"/>
        <v>low</v>
      </c>
      <c r="R95" s="22" t="str" cm="1">
        <f t="array" ref="R95">_xlfn.IFS(O95&gt;=20000,"high",O95&gt;=15000,"medium",O95&lt;15000,"low")</f>
        <v>low</v>
      </c>
      <c r="S95" s="22" t="str">
        <f t="shared" si="5"/>
        <v>low</v>
      </c>
    </row>
    <row r="96" spans="1:19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>
        <f t="shared" si="3"/>
        <v>4106.58</v>
      </c>
      <c r="Q96" s="22" t="str">
        <f t="shared" si="4"/>
        <v>low</v>
      </c>
      <c r="R96" s="22" t="str" cm="1">
        <f t="array" ref="R96">_xlfn.IFS(O96&gt;=20000,"high",O96&gt;=15000,"medium",O96&lt;15000,"low")</f>
        <v>low</v>
      </c>
      <c r="S96" s="22" t="str">
        <f t="shared" si="5"/>
        <v>low</v>
      </c>
    </row>
    <row r="97" spans="1:19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>
        <f t="shared" si="3"/>
        <v>2499.88</v>
      </c>
      <c r="Q97" s="22" t="str">
        <f t="shared" si="4"/>
        <v>low</v>
      </c>
      <c r="R97" s="22" t="str" cm="1">
        <f t="array" ref="R97">_xlfn.IFS(O97&gt;=20000,"high",O97&gt;=15000,"medium",O97&lt;15000,"low")</f>
        <v>low</v>
      </c>
      <c r="S97" s="22" t="str">
        <f t="shared" si="5"/>
        <v>low</v>
      </c>
    </row>
    <row r="98" spans="1:19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>
        <f t="shared" si="3"/>
        <v>4516.1100000000006</v>
      </c>
      <c r="Q98" s="22" t="str">
        <f t="shared" si="4"/>
        <v>low</v>
      </c>
      <c r="R98" s="22" t="str" cm="1">
        <f t="array" ref="R98">_xlfn.IFS(O98&gt;=20000,"high",O98&gt;=15000,"medium",O98&lt;15000,"low")</f>
        <v>low</v>
      </c>
      <c r="S98" s="22" t="str">
        <f t="shared" si="5"/>
        <v>low</v>
      </c>
    </row>
    <row r="99" spans="1:19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>
        <f t="shared" si="3"/>
        <v>5448.32</v>
      </c>
      <c r="Q99" s="22" t="str">
        <f t="shared" si="4"/>
        <v>low</v>
      </c>
      <c r="R99" s="22" t="str" cm="1">
        <f t="array" ref="R99">_xlfn.IFS(O99&gt;=20000,"high",O99&gt;=15000,"medium",O99&lt;15000,"low")</f>
        <v>low</v>
      </c>
      <c r="S99" s="22" t="str">
        <f t="shared" si="5"/>
        <v>low</v>
      </c>
    </row>
    <row r="100" spans="1:19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>
        <f t="shared" si="3"/>
        <v>947.25</v>
      </c>
      <c r="Q100" s="22" t="str">
        <f t="shared" si="4"/>
        <v>low</v>
      </c>
      <c r="R100" s="22" t="str" cm="1">
        <f t="array" ref="R100">_xlfn.IFS(O100&gt;=20000,"high",O100&gt;=15000,"medium",O100&lt;15000,"low")</f>
        <v>low</v>
      </c>
      <c r="S100" s="22" t="str">
        <f t="shared" si="5"/>
        <v>low</v>
      </c>
    </row>
    <row r="101" spans="1:19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>
        <f t="shared" si="3"/>
        <v>22096.97</v>
      </c>
      <c r="Q101" s="22" t="str">
        <f t="shared" si="4"/>
        <v>high</v>
      </c>
      <c r="R101" s="22" t="str" cm="1">
        <f t="array" ref="R101">_xlfn.IFS(O101&gt;=20000,"high",O101&gt;=15000,"medium",O101&lt;15000,"low")</f>
        <v>medium</v>
      </c>
      <c r="S101" s="22" t="str">
        <f t="shared" si="5"/>
        <v>mid</v>
      </c>
    </row>
    <row r="102" spans="1:19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>
        <f t="shared" si="3"/>
        <v>13465.44</v>
      </c>
      <c r="Q102" s="22" t="str">
        <f t="shared" si="4"/>
        <v>low</v>
      </c>
      <c r="R102" s="22" t="str" cm="1">
        <f t="array" ref="R102">_xlfn.IFS(O102&gt;=20000,"high",O102&gt;=15000,"medium",O102&lt;15000,"low")</f>
        <v>low</v>
      </c>
      <c r="S102" s="22" t="str">
        <f t="shared" si="5"/>
        <v>low</v>
      </c>
    </row>
    <row r="103" spans="1:19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>
        <f t="shared" si="3"/>
        <v>3718.06</v>
      </c>
      <c r="Q103" s="22" t="str">
        <f t="shared" si="4"/>
        <v>low</v>
      </c>
      <c r="R103" s="22" t="str" cm="1">
        <f t="array" ref="R103">_xlfn.IFS(O103&gt;=20000,"high",O103&gt;=15000,"medium",O103&lt;15000,"low")</f>
        <v>low</v>
      </c>
      <c r="S103" s="22" t="str">
        <f t="shared" si="5"/>
        <v>low</v>
      </c>
    </row>
    <row r="104" spans="1:19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>
        <f t="shared" si="3"/>
        <v>25132.38</v>
      </c>
      <c r="Q104" s="22" t="str">
        <f t="shared" si="4"/>
        <v>high</v>
      </c>
      <c r="R104" s="22" t="str" cm="1">
        <f t="array" ref="R104">_xlfn.IFS(O104&gt;=20000,"high",O104&gt;=15000,"medium",O104&lt;15000,"low")</f>
        <v>high</v>
      </c>
      <c r="S104" s="22" t="str">
        <f t="shared" si="5"/>
        <v>high</v>
      </c>
    </row>
    <row r="105" spans="1:19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>
        <f t="shared" si="3"/>
        <v>13417.550000000001</v>
      </c>
      <c r="Q105" s="22" t="str">
        <f t="shared" si="4"/>
        <v>low</v>
      </c>
      <c r="R105" s="22" t="str" cm="1">
        <f t="array" ref="R105">_xlfn.IFS(O105&gt;=20000,"high",O105&gt;=15000,"medium",O105&lt;15000,"low")</f>
        <v>low</v>
      </c>
      <c r="S105" s="22" t="str">
        <f t="shared" si="5"/>
        <v>low</v>
      </c>
    </row>
    <row r="106" spans="1:19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>
        <f t="shared" si="3"/>
        <v>905.15</v>
      </c>
      <c r="Q106" s="22" t="str">
        <f t="shared" si="4"/>
        <v>low</v>
      </c>
      <c r="R106" s="22" t="str" cm="1">
        <f t="array" ref="R106">_xlfn.IFS(O106&gt;=20000,"high",O106&gt;=15000,"medium",O106&lt;15000,"low")</f>
        <v>low</v>
      </c>
      <c r="S106" s="22" t="str">
        <f t="shared" si="5"/>
        <v>low</v>
      </c>
    </row>
    <row r="107" spans="1:19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>
        <f t="shared" si="3"/>
        <v>11343.66</v>
      </c>
      <c r="Q107" s="22" t="str">
        <f t="shared" si="4"/>
        <v>low</v>
      </c>
      <c r="R107" s="22" t="str" cm="1">
        <f t="array" ref="R107">_xlfn.IFS(O107&gt;=20000,"high",O107&gt;=15000,"medium",O107&lt;15000,"low")</f>
        <v>low</v>
      </c>
      <c r="S107" s="22" t="str">
        <f t="shared" si="5"/>
        <v>low</v>
      </c>
    </row>
    <row r="108" spans="1:19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>
        <f t="shared" si="3"/>
        <v>5315.05</v>
      </c>
      <c r="Q108" s="22" t="str">
        <f t="shared" si="4"/>
        <v>low</v>
      </c>
      <c r="R108" s="22" t="str" cm="1">
        <f t="array" ref="R108">_xlfn.IFS(O108&gt;=20000,"high",O108&gt;=15000,"medium",O108&lt;15000,"low")</f>
        <v>low</v>
      </c>
      <c r="S108" s="22" t="str">
        <f t="shared" si="5"/>
        <v>low</v>
      </c>
    </row>
    <row r="109" spans="1:19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>
        <f t="shared" si="3"/>
        <v>1128.6199999999999</v>
      </c>
      <c r="Q109" s="22" t="str">
        <f t="shared" si="4"/>
        <v>low</v>
      </c>
      <c r="R109" s="22" t="str" cm="1">
        <f t="array" ref="R109">_xlfn.IFS(O109&gt;=20000,"high",O109&gt;=15000,"medium",O109&lt;15000,"low")</f>
        <v>low</v>
      </c>
      <c r="S109" s="22" t="str">
        <f t="shared" si="5"/>
        <v>low</v>
      </c>
    </row>
    <row r="110" spans="1:19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>
        <f t="shared" si="3"/>
        <v>12429.16</v>
      </c>
      <c r="Q110" s="22" t="str">
        <f t="shared" si="4"/>
        <v>low</v>
      </c>
      <c r="R110" s="22" t="str" cm="1">
        <f t="array" ref="R110">_xlfn.IFS(O110&gt;=20000,"high",O110&gt;=15000,"medium",O110&lt;15000,"low")</f>
        <v>low</v>
      </c>
      <c r="S110" s="22" t="str">
        <f t="shared" si="5"/>
        <v>low</v>
      </c>
    </row>
    <row r="111" spans="1:19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>
        <f t="shared" si="3"/>
        <v>12461.04</v>
      </c>
      <c r="Q111" s="22" t="str">
        <f t="shared" si="4"/>
        <v>low</v>
      </c>
      <c r="R111" s="22" t="str" cm="1">
        <f t="array" ref="R111">_xlfn.IFS(O111&gt;=20000,"high",O111&gt;=15000,"medium",O111&lt;15000,"low")</f>
        <v>low</v>
      </c>
      <c r="S111" s="22" t="str">
        <f t="shared" si="5"/>
        <v>low</v>
      </c>
    </row>
    <row r="112" spans="1:19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>
        <f t="shared" si="3"/>
        <v>1820.02</v>
      </c>
      <c r="Q112" s="22" t="str">
        <f t="shared" si="4"/>
        <v>low</v>
      </c>
      <c r="R112" s="22" t="str" cm="1">
        <f t="array" ref="R112">_xlfn.IFS(O112&gt;=20000,"high",O112&gt;=15000,"medium",O112&lt;15000,"low")</f>
        <v>low</v>
      </c>
      <c r="S112" s="22" t="str">
        <f t="shared" si="5"/>
        <v>low</v>
      </c>
    </row>
    <row r="113" spans="1:19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>
        <f t="shared" si="3"/>
        <v>4442.3599999999997</v>
      </c>
      <c r="Q113" s="22" t="str">
        <f t="shared" si="4"/>
        <v>low</v>
      </c>
      <c r="R113" s="22" t="str" cm="1">
        <f t="array" ref="R113">_xlfn.IFS(O113&gt;=20000,"high",O113&gt;=15000,"medium",O113&lt;15000,"low")</f>
        <v>low</v>
      </c>
      <c r="S113" s="22" t="str">
        <f t="shared" si="5"/>
        <v>low</v>
      </c>
    </row>
    <row r="114" spans="1:19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>
        <f t="shared" si="3"/>
        <v>13546.619999999999</v>
      </c>
      <c r="Q114" s="22" t="str">
        <f t="shared" si="4"/>
        <v>low</v>
      </c>
      <c r="R114" s="22" t="str" cm="1">
        <f t="array" ref="R114">_xlfn.IFS(O114&gt;=20000,"high",O114&gt;=15000,"medium",O114&lt;15000,"low")</f>
        <v>low</v>
      </c>
      <c r="S114" s="22" t="str">
        <f t="shared" si="5"/>
        <v>low</v>
      </c>
    </row>
    <row r="115" spans="1:19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>
        <f t="shared" si="3"/>
        <v>10857.420000000002</v>
      </c>
      <c r="Q115" s="22" t="str">
        <f t="shared" si="4"/>
        <v>low</v>
      </c>
      <c r="R115" s="22" t="str" cm="1">
        <f t="array" ref="R115">_xlfn.IFS(O115&gt;=20000,"high",O115&gt;=15000,"medium",O115&lt;15000,"low")</f>
        <v>low</v>
      </c>
      <c r="S115" s="22" t="str">
        <f t="shared" si="5"/>
        <v>low</v>
      </c>
    </row>
    <row r="116" spans="1:19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>
        <f t="shared" si="3"/>
        <v>7242.18</v>
      </c>
      <c r="Q116" s="22" t="str">
        <f t="shared" si="4"/>
        <v>low</v>
      </c>
      <c r="R116" s="22" t="str" cm="1">
        <f t="array" ref="R116">_xlfn.IFS(O116&gt;=20000,"high",O116&gt;=15000,"medium",O116&lt;15000,"low")</f>
        <v>low</v>
      </c>
      <c r="S116" s="22" t="str">
        <f t="shared" si="5"/>
        <v>low</v>
      </c>
    </row>
    <row r="117" spans="1:19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>
        <f t="shared" si="3"/>
        <v>6849.78</v>
      </c>
      <c r="Q117" s="22" t="str">
        <f t="shared" si="4"/>
        <v>low</v>
      </c>
      <c r="R117" s="22" t="str" cm="1">
        <f t="array" ref="R117">_xlfn.IFS(O117&gt;=20000,"high",O117&gt;=15000,"medium",O117&lt;15000,"low")</f>
        <v>low</v>
      </c>
      <c r="S117" s="22" t="str">
        <f t="shared" si="5"/>
        <v>low</v>
      </c>
    </row>
    <row r="118" spans="1:19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>
        <f t="shared" si="3"/>
        <v>21328.62</v>
      </c>
      <c r="Q118" s="22" t="str">
        <f t="shared" si="4"/>
        <v>high</v>
      </c>
      <c r="R118" s="22" t="str" cm="1">
        <f t="array" ref="R118">_xlfn.IFS(O118&gt;=20000,"high",O118&gt;=15000,"medium",O118&lt;15000,"low")</f>
        <v>medium</v>
      </c>
      <c r="S118" s="22" t="str">
        <f t="shared" si="5"/>
        <v>mid</v>
      </c>
    </row>
    <row r="119" spans="1:19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>
        <f t="shared" si="3"/>
        <v>4607.42</v>
      </c>
      <c r="Q119" s="22" t="str">
        <f t="shared" si="4"/>
        <v>low</v>
      </c>
      <c r="R119" s="22" t="str" cm="1">
        <f t="array" ref="R119">_xlfn.IFS(O119&gt;=20000,"high",O119&gt;=15000,"medium",O119&lt;15000,"low")</f>
        <v>low</v>
      </c>
      <c r="S119" s="22" t="str">
        <f t="shared" si="5"/>
        <v>low</v>
      </c>
    </row>
    <row r="120" spans="1:19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>
        <f t="shared" si="3"/>
        <v>26717.439999999999</v>
      </c>
      <c r="Q120" s="22" t="str">
        <f t="shared" si="4"/>
        <v>high</v>
      </c>
      <c r="R120" s="22" t="str" cm="1">
        <f t="array" ref="R120">_xlfn.IFS(O120&gt;=20000,"high",O120&gt;=15000,"medium",O120&lt;15000,"low")</f>
        <v>high</v>
      </c>
      <c r="S120" s="22" t="str">
        <f t="shared" si="5"/>
        <v>high</v>
      </c>
    </row>
    <row r="121" spans="1:19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>
        <f t="shared" si="3"/>
        <v>20261.22</v>
      </c>
      <c r="Q121" s="22" t="str">
        <f t="shared" si="4"/>
        <v>high</v>
      </c>
      <c r="R121" s="22" t="str" cm="1">
        <f t="array" ref="R121">_xlfn.IFS(O121&gt;=20000,"high",O121&gt;=15000,"medium",O121&lt;15000,"low")</f>
        <v>medium</v>
      </c>
      <c r="S121" s="22" t="str">
        <f t="shared" si="5"/>
        <v>mid</v>
      </c>
    </row>
    <row r="122" spans="1:19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>
        <f t="shared" si="3"/>
        <v>14161.400000000001</v>
      </c>
      <c r="Q122" s="22" t="str">
        <f t="shared" si="4"/>
        <v>low</v>
      </c>
      <c r="R122" s="22" t="str" cm="1">
        <f t="array" ref="R122">_xlfn.IFS(O122&gt;=20000,"high",O122&gt;=15000,"medium",O122&lt;15000,"low")</f>
        <v>low</v>
      </c>
      <c r="S122" s="22" t="str">
        <f t="shared" si="5"/>
        <v>low</v>
      </c>
    </row>
    <row r="123" spans="1:19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>
        <f t="shared" si="3"/>
        <v>6993.65</v>
      </c>
      <c r="Q123" s="22" t="str">
        <f t="shared" si="4"/>
        <v>low</v>
      </c>
      <c r="R123" s="22" t="str" cm="1">
        <f t="array" ref="R123">_xlfn.IFS(O123&gt;=20000,"high",O123&gt;=15000,"medium",O123&lt;15000,"low")</f>
        <v>low</v>
      </c>
      <c r="S123" s="22" t="str">
        <f t="shared" si="5"/>
        <v>low</v>
      </c>
    </row>
    <row r="124" spans="1:19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>
        <f t="shared" si="3"/>
        <v>7353.5</v>
      </c>
      <c r="Q124" s="22" t="str">
        <f t="shared" si="4"/>
        <v>low</v>
      </c>
      <c r="R124" s="22" t="str" cm="1">
        <f t="array" ref="R124">_xlfn.IFS(O124&gt;=20000,"high",O124&gt;=15000,"medium",O124&lt;15000,"low")</f>
        <v>low</v>
      </c>
      <c r="S124" s="22" t="str">
        <f t="shared" si="5"/>
        <v>low</v>
      </c>
    </row>
    <row r="125" spans="1:19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>
        <f t="shared" si="3"/>
        <v>8657.19</v>
      </c>
      <c r="Q125" s="22" t="str">
        <f t="shared" si="4"/>
        <v>low</v>
      </c>
      <c r="R125" s="22" t="str" cm="1">
        <f t="array" ref="R125">_xlfn.IFS(O125&gt;=20000,"high",O125&gt;=15000,"medium",O125&lt;15000,"low")</f>
        <v>low</v>
      </c>
      <c r="S125" s="22" t="str">
        <f t="shared" si="5"/>
        <v>low</v>
      </c>
    </row>
    <row r="126" spans="1:19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>
        <f t="shared" si="3"/>
        <v>31051.71</v>
      </c>
      <c r="Q126" s="22" t="str">
        <f t="shared" si="4"/>
        <v>high</v>
      </c>
      <c r="R126" s="22" t="str" cm="1">
        <f t="array" ref="R126">_xlfn.IFS(O126&gt;=20000,"high",O126&gt;=15000,"medium",O126&lt;15000,"low")</f>
        <v>high</v>
      </c>
      <c r="S126" s="22" t="str">
        <f t="shared" si="5"/>
        <v>high</v>
      </c>
    </row>
    <row r="127" spans="1:19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>
        <f t="shared" si="3"/>
        <v>29777.759999999998</v>
      </c>
      <c r="Q127" s="22" t="str">
        <f t="shared" si="4"/>
        <v>high</v>
      </c>
      <c r="R127" s="22" t="str" cm="1">
        <f t="array" ref="R127">_xlfn.IFS(O127&gt;=20000,"high",O127&gt;=15000,"medium",O127&lt;15000,"low")</f>
        <v>high</v>
      </c>
      <c r="S127" s="22" t="str">
        <f t="shared" si="5"/>
        <v>high</v>
      </c>
    </row>
    <row r="128" spans="1:19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>
        <f t="shared" si="3"/>
        <v>11077.26</v>
      </c>
      <c r="Q128" s="22" t="str">
        <f t="shared" si="4"/>
        <v>low</v>
      </c>
      <c r="R128" s="22" t="str" cm="1">
        <f t="array" ref="R128">_xlfn.IFS(O128&gt;=20000,"high",O128&gt;=15000,"medium",O128&lt;15000,"low")</f>
        <v>low</v>
      </c>
      <c r="S128" s="22" t="str">
        <f t="shared" si="5"/>
        <v>low</v>
      </c>
    </row>
    <row r="129" spans="1:19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>
        <f t="shared" si="3"/>
        <v>3958.56</v>
      </c>
      <c r="Q129" s="22" t="str">
        <f t="shared" si="4"/>
        <v>low</v>
      </c>
      <c r="R129" s="22" t="str" cm="1">
        <f t="array" ref="R129">_xlfn.IFS(O129&gt;=20000,"high",O129&gt;=15000,"medium",O129&lt;15000,"low")</f>
        <v>low</v>
      </c>
      <c r="S129" s="22" t="str">
        <f t="shared" si="5"/>
        <v>low</v>
      </c>
    </row>
    <row r="130" spans="1:19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>
        <f t="shared" si="3"/>
        <v>4865.01</v>
      </c>
      <c r="Q130" s="22" t="str">
        <f t="shared" si="4"/>
        <v>low</v>
      </c>
      <c r="R130" s="22" t="str" cm="1">
        <f t="array" ref="R130">_xlfn.IFS(O130&gt;=20000,"high",O130&gt;=15000,"medium",O130&lt;15000,"low")</f>
        <v>low</v>
      </c>
      <c r="S130" s="22" t="str">
        <f t="shared" si="5"/>
        <v>low</v>
      </c>
    </row>
    <row r="131" spans="1:19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>
        <f t="shared" ref="P131:P194" si="6">L131*M131</f>
        <v>2534.4699999999998</v>
      </c>
      <c r="Q131" s="22" t="str">
        <f t="shared" ref="Q131:Q194" si="7">IF(O131&gt;=15000,"high","low")</f>
        <v>low</v>
      </c>
      <c r="R131" s="22" t="str" cm="1">
        <f t="array" ref="R131">_xlfn.IFS(O131&gt;=20000,"high",O131&gt;=15000,"medium",O131&lt;15000,"low")</f>
        <v>low</v>
      </c>
      <c r="S131" s="22" t="str">
        <f t="shared" ref="S131:S194" si="8">IF(O131&gt;=20000,"high",IF(O131&gt;=15000,"mid","low"))</f>
        <v>low</v>
      </c>
    </row>
    <row r="132" spans="1:19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>
        <f t="shared" si="6"/>
        <v>13296.15</v>
      </c>
      <c r="Q132" s="22" t="str">
        <f t="shared" si="7"/>
        <v>low</v>
      </c>
      <c r="R132" s="22" t="str" cm="1">
        <f t="array" ref="R132">_xlfn.IFS(O132&gt;=20000,"high",O132&gt;=15000,"medium",O132&lt;15000,"low")</f>
        <v>low</v>
      </c>
      <c r="S132" s="22" t="str">
        <f t="shared" si="8"/>
        <v>low</v>
      </c>
    </row>
    <row r="133" spans="1:19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>
        <f t="shared" si="6"/>
        <v>12614.92</v>
      </c>
      <c r="Q133" s="22" t="str">
        <f t="shared" si="7"/>
        <v>low</v>
      </c>
      <c r="R133" s="22" t="str" cm="1">
        <f t="array" ref="R133">_xlfn.IFS(O133&gt;=20000,"high",O133&gt;=15000,"medium",O133&lt;15000,"low")</f>
        <v>low</v>
      </c>
      <c r="S133" s="22" t="str">
        <f t="shared" si="8"/>
        <v>low</v>
      </c>
    </row>
    <row r="134" spans="1:19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>
        <f t="shared" si="6"/>
        <v>3990.85</v>
      </c>
      <c r="Q134" s="22" t="str">
        <f t="shared" si="7"/>
        <v>low</v>
      </c>
      <c r="R134" s="22" t="str" cm="1">
        <f t="array" ref="R134">_xlfn.IFS(O134&gt;=20000,"high",O134&gt;=15000,"medium",O134&lt;15000,"low")</f>
        <v>low</v>
      </c>
      <c r="S134" s="22" t="str">
        <f t="shared" si="8"/>
        <v>low</v>
      </c>
    </row>
    <row r="135" spans="1:19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>
        <f t="shared" si="6"/>
        <v>7086.88</v>
      </c>
      <c r="Q135" s="22" t="str">
        <f t="shared" si="7"/>
        <v>low</v>
      </c>
      <c r="R135" s="22" t="str" cm="1">
        <f t="array" ref="R135">_xlfn.IFS(O135&gt;=20000,"high",O135&gt;=15000,"medium",O135&lt;15000,"low")</f>
        <v>low</v>
      </c>
      <c r="S135" s="22" t="str">
        <f t="shared" si="8"/>
        <v>low</v>
      </c>
    </row>
    <row r="136" spans="1:19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>
        <f t="shared" si="6"/>
        <v>11517.960000000001</v>
      </c>
      <c r="Q136" s="22" t="str">
        <f t="shared" si="7"/>
        <v>low</v>
      </c>
      <c r="R136" s="22" t="str" cm="1">
        <f t="array" ref="R136">_xlfn.IFS(O136&gt;=20000,"high",O136&gt;=15000,"medium",O136&lt;15000,"low")</f>
        <v>low</v>
      </c>
      <c r="S136" s="22" t="str">
        <f t="shared" si="8"/>
        <v>low</v>
      </c>
    </row>
    <row r="137" spans="1:19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>
        <f t="shared" si="6"/>
        <v>10855.74</v>
      </c>
      <c r="Q137" s="22" t="str">
        <f t="shared" si="7"/>
        <v>low</v>
      </c>
      <c r="R137" s="22" t="str" cm="1">
        <f t="array" ref="R137">_xlfn.IFS(O137&gt;=20000,"high",O137&gt;=15000,"medium",O137&lt;15000,"low")</f>
        <v>low</v>
      </c>
      <c r="S137" s="22" t="str">
        <f t="shared" si="8"/>
        <v>low</v>
      </c>
    </row>
    <row r="138" spans="1:19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>
        <f t="shared" si="6"/>
        <v>2644.6</v>
      </c>
      <c r="Q138" s="22" t="str">
        <f t="shared" si="7"/>
        <v>low</v>
      </c>
      <c r="R138" s="22" t="str" cm="1">
        <f t="array" ref="R138">_xlfn.IFS(O138&gt;=20000,"high",O138&gt;=15000,"medium",O138&lt;15000,"low")</f>
        <v>low</v>
      </c>
      <c r="S138" s="22" t="str">
        <f t="shared" si="8"/>
        <v>low</v>
      </c>
    </row>
    <row r="139" spans="1:19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>
        <f t="shared" si="6"/>
        <v>912.67</v>
      </c>
      <c r="Q139" s="22" t="str">
        <f t="shared" si="7"/>
        <v>low</v>
      </c>
      <c r="R139" s="22" t="str" cm="1">
        <f t="array" ref="R139">_xlfn.IFS(O139&gt;=20000,"high",O139&gt;=15000,"medium",O139&lt;15000,"low")</f>
        <v>low</v>
      </c>
      <c r="S139" s="22" t="str">
        <f t="shared" si="8"/>
        <v>low</v>
      </c>
    </row>
    <row r="140" spans="1:19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>
        <f t="shared" si="6"/>
        <v>805.82</v>
      </c>
      <c r="Q140" s="22" t="str">
        <f t="shared" si="7"/>
        <v>low</v>
      </c>
      <c r="R140" s="22" t="str" cm="1">
        <f t="array" ref="R140">_xlfn.IFS(O140&gt;=20000,"high",O140&gt;=15000,"medium",O140&lt;15000,"low")</f>
        <v>low</v>
      </c>
      <c r="S140" s="22" t="str">
        <f t="shared" si="8"/>
        <v>low</v>
      </c>
    </row>
    <row r="141" spans="1:19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>
        <f t="shared" si="6"/>
        <v>14261.64</v>
      </c>
      <c r="Q141" s="22" t="str">
        <f t="shared" si="7"/>
        <v>low</v>
      </c>
      <c r="R141" s="22" t="str" cm="1">
        <f t="array" ref="R141">_xlfn.IFS(O141&gt;=20000,"high",O141&gt;=15000,"medium",O141&lt;15000,"low")</f>
        <v>low</v>
      </c>
      <c r="S141" s="22" t="str">
        <f t="shared" si="8"/>
        <v>low</v>
      </c>
    </row>
    <row r="142" spans="1:19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>
        <f t="shared" si="6"/>
        <v>3532.84</v>
      </c>
      <c r="Q142" s="22" t="str">
        <f t="shared" si="7"/>
        <v>low</v>
      </c>
      <c r="R142" s="22" t="str" cm="1">
        <f t="array" ref="R142">_xlfn.IFS(O142&gt;=20000,"high",O142&gt;=15000,"medium",O142&lt;15000,"low")</f>
        <v>low</v>
      </c>
      <c r="S142" s="22" t="str">
        <f t="shared" si="8"/>
        <v>low</v>
      </c>
    </row>
    <row r="143" spans="1:19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>
        <f t="shared" si="6"/>
        <v>2063.0500000000002</v>
      </c>
      <c r="Q143" s="22" t="str">
        <f t="shared" si="7"/>
        <v>low</v>
      </c>
      <c r="R143" s="22" t="str" cm="1">
        <f t="array" ref="R143">_xlfn.IFS(O143&gt;=20000,"high",O143&gt;=15000,"medium",O143&lt;15000,"low")</f>
        <v>low</v>
      </c>
      <c r="S143" s="22" t="str">
        <f t="shared" si="8"/>
        <v>low</v>
      </c>
    </row>
    <row r="144" spans="1:19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>
        <f t="shared" si="6"/>
        <v>25761.61</v>
      </c>
      <c r="Q144" s="22" t="str">
        <f t="shared" si="7"/>
        <v>high</v>
      </c>
      <c r="R144" s="22" t="str" cm="1">
        <f t="array" ref="R144">_xlfn.IFS(O144&gt;=20000,"high",O144&gt;=15000,"medium",O144&lt;15000,"low")</f>
        <v>high</v>
      </c>
      <c r="S144" s="22" t="str">
        <f t="shared" si="8"/>
        <v>high</v>
      </c>
    </row>
    <row r="145" spans="1:19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>
        <f t="shared" si="6"/>
        <v>25109.759999999998</v>
      </c>
      <c r="Q145" s="22" t="str">
        <f t="shared" si="7"/>
        <v>high</v>
      </c>
      <c r="R145" s="22" t="str" cm="1">
        <f t="array" ref="R145">_xlfn.IFS(O145&gt;=20000,"high",O145&gt;=15000,"medium",O145&lt;15000,"low")</f>
        <v>high</v>
      </c>
      <c r="S145" s="22" t="str">
        <f t="shared" si="8"/>
        <v>high</v>
      </c>
    </row>
    <row r="146" spans="1:19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>
        <f t="shared" si="6"/>
        <v>3914.58</v>
      </c>
      <c r="Q146" s="22" t="str">
        <f t="shared" si="7"/>
        <v>low</v>
      </c>
      <c r="R146" s="22" t="str" cm="1">
        <f t="array" ref="R146">_xlfn.IFS(O146&gt;=20000,"high",O146&gt;=15000,"medium",O146&lt;15000,"low")</f>
        <v>low</v>
      </c>
      <c r="S146" s="22" t="str">
        <f t="shared" si="8"/>
        <v>low</v>
      </c>
    </row>
    <row r="147" spans="1:19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>
        <f t="shared" si="6"/>
        <v>9307.48</v>
      </c>
      <c r="Q147" s="22" t="str">
        <f t="shared" si="7"/>
        <v>low</v>
      </c>
      <c r="R147" s="22" t="str" cm="1">
        <f t="array" ref="R147">_xlfn.IFS(O147&gt;=20000,"high",O147&gt;=15000,"medium",O147&lt;15000,"low")</f>
        <v>low</v>
      </c>
      <c r="S147" s="22" t="str">
        <f t="shared" si="8"/>
        <v>low</v>
      </c>
    </row>
    <row r="148" spans="1:19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>
        <f t="shared" si="6"/>
        <v>11116.02</v>
      </c>
      <c r="Q148" s="22" t="str">
        <f t="shared" si="7"/>
        <v>low</v>
      </c>
      <c r="R148" s="22" t="str" cm="1">
        <f t="array" ref="R148">_xlfn.IFS(O148&gt;=20000,"high",O148&gt;=15000,"medium",O148&lt;15000,"low")</f>
        <v>low</v>
      </c>
      <c r="S148" s="22" t="str">
        <f t="shared" si="8"/>
        <v>low</v>
      </c>
    </row>
    <row r="149" spans="1:19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>
        <f t="shared" si="6"/>
        <v>9657.7800000000007</v>
      </c>
      <c r="Q149" s="22" t="str">
        <f t="shared" si="7"/>
        <v>low</v>
      </c>
      <c r="R149" s="22" t="str" cm="1">
        <f t="array" ref="R149">_xlfn.IFS(O149&gt;=20000,"high",O149&gt;=15000,"medium",O149&lt;15000,"low")</f>
        <v>low</v>
      </c>
      <c r="S149" s="22" t="str">
        <f t="shared" si="8"/>
        <v>low</v>
      </c>
    </row>
    <row r="150" spans="1:19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>
        <f t="shared" si="6"/>
        <v>23506.400000000001</v>
      </c>
      <c r="Q150" s="22" t="str">
        <f t="shared" si="7"/>
        <v>high</v>
      </c>
      <c r="R150" s="22" t="str" cm="1">
        <f t="array" ref="R150">_xlfn.IFS(O150&gt;=20000,"high",O150&gt;=15000,"medium",O150&lt;15000,"low")</f>
        <v>medium</v>
      </c>
      <c r="S150" s="22" t="str">
        <f t="shared" si="8"/>
        <v>mid</v>
      </c>
    </row>
    <row r="151" spans="1:19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>
        <f t="shared" si="6"/>
        <v>5616.12</v>
      </c>
      <c r="Q151" s="22" t="str">
        <f t="shared" si="7"/>
        <v>low</v>
      </c>
      <c r="R151" s="22" t="str" cm="1">
        <f t="array" ref="R151">_xlfn.IFS(O151&gt;=20000,"high",O151&gt;=15000,"medium",O151&lt;15000,"low")</f>
        <v>low</v>
      </c>
      <c r="S151" s="22" t="str">
        <f t="shared" si="8"/>
        <v>low</v>
      </c>
    </row>
    <row r="152" spans="1:19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>
        <f t="shared" si="6"/>
        <v>7305.5</v>
      </c>
      <c r="Q152" s="22" t="str">
        <f t="shared" si="7"/>
        <v>low</v>
      </c>
      <c r="R152" s="22" t="str" cm="1">
        <f t="array" ref="R152">_xlfn.IFS(O152&gt;=20000,"high",O152&gt;=15000,"medium",O152&lt;15000,"low")</f>
        <v>low</v>
      </c>
      <c r="S152" s="22" t="str">
        <f t="shared" si="8"/>
        <v>low</v>
      </c>
    </row>
    <row r="153" spans="1:19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>
        <f t="shared" si="6"/>
        <v>3249.11</v>
      </c>
      <c r="Q153" s="22" t="str">
        <f t="shared" si="7"/>
        <v>low</v>
      </c>
      <c r="R153" s="22" t="str" cm="1">
        <f t="array" ref="R153">_xlfn.IFS(O153&gt;=20000,"high",O153&gt;=15000,"medium",O153&lt;15000,"low")</f>
        <v>low</v>
      </c>
      <c r="S153" s="22" t="str">
        <f t="shared" si="8"/>
        <v>low</v>
      </c>
    </row>
    <row r="154" spans="1:19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>
        <f t="shared" si="6"/>
        <v>2110.2599999999998</v>
      </c>
      <c r="Q154" s="22" t="str">
        <f t="shared" si="7"/>
        <v>low</v>
      </c>
      <c r="R154" s="22" t="str" cm="1">
        <f t="array" ref="R154">_xlfn.IFS(O154&gt;=20000,"high",O154&gt;=15000,"medium",O154&lt;15000,"low")</f>
        <v>low</v>
      </c>
      <c r="S154" s="22" t="str">
        <f t="shared" si="8"/>
        <v>low</v>
      </c>
    </row>
    <row r="155" spans="1:19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>
        <f t="shared" si="6"/>
        <v>1529.12</v>
      </c>
      <c r="Q155" s="22" t="str">
        <f t="shared" si="7"/>
        <v>low</v>
      </c>
      <c r="R155" s="22" t="str" cm="1">
        <f t="array" ref="R155">_xlfn.IFS(O155&gt;=20000,"high",O155&gt;=15000,"medium",O155&lt;15000,"low")</f>
        <v>low</v>
      </c>
      <c r="S155" s="22" t="str">
        <f t="shared" si="8"/>
        <v>low</v>
      </c>
    </row>
    <row r="156" spans="1:19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>
        <f t="shared" si="6"/>
        <v>5768.6</v>
      </c>
      <c r="Q156" s="22" t="str">
        <f t="shared" si="7"/>
        <v>low</v>
      </c>
      <c r="R156" s="22" t="str" cm="1">
        <f t="array" ref="R156">_xlfn.IFS(O156&gt;=20000,"high",O156&gt;=15000,"medium",O156&lt;15000,"low")</f>
        <v>low</v>
      </c>
      <c r="S156" s="22" t="str">
        <f t="shared" si="8"/>
        <v>low</v>
      </c>
    </row>
    <row r="157" spans="1:19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>
        <f t="shared" si="6"/>
        <v>2674.2599999999998</v>
      </c>
      <c r="Q157" s="22" t="str">
        <f t="shared" si="7"/>
        <v>low</v>
      </c>
      <c r="R157" s="22" t="str" cm="1">
        <f t="array" ref="R157">_xlfn.IFS(O157&gt;=20000,"high",O157&gt;=15000,"medium",O157&lt;15000,"low")</f>
        <v>low</v>
      </c>
      <c r="S157" s="22" t="str">
        <f t="shared" si="8"/>
        <v>low</v>
      </c>
    </row>
    <row r="158" spans="1:19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>
        <f t="shared" si="6"/>
        <v>8437.84</v>
      </c>
      <c r="Q158" s="22" t="str">
        <f t="shared" si="7"/>
        <v>low</v>
      </c>
      <c r="R158" s="22" t="str" cm="1">
        <f t="array" ref="R158">_xlfn.IFS(O158&gt;=20000,"high",O158&gt;=15000,"medium",O158&lt;15000,"low")</f>
        <v>low</v>
      </c>
      <c r="S158" s="22" t="str">
        <f t="shared" si="8"/>
        <v>low</v>
      </c>
    </row>
    <row r="159" spans="1:19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>
        <f t="shared" si="6"/>
        <v>26768.639999999999</v>
      </c>
      <c r="Q159" s="22" t="str">
        <f t="shared" si="7"/>
        <v>high</v>
      </c>
      <c r="R159" s="22" t="str" cm="1">
        <f t="array" ref="R159">_xlfn.IFS(O159&gt;=20000,"high",O159&gt;=15000,"medium",O159&lt;15000,"low")</f>
        <v>high</v>
      </c>
      <c r="S159" s="22" t="str">
        <f t="shared" si="8"/>
        <v>high</v>
      </c>
    </row>
    <row r="160" spans="1:19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>
        <f t="shared" si="6"/>
        <v>22804.62</v>
      </c>
      <c r="Q160" s="22" t="str">
        <f t="shared" si="7"/>
        <v>high</v>
      </c>
      <c r="R160" s="22" t="str" cm="1">
        <f t="array" ref="R160">_xlfn.IFS(O160&gt;=20000,"high",O160&gt;=15000,"medium",O160&lt;15000,"low")</f>
        <v>high</v>
      </c>
      <c r="S160" s="22" t="str">
        <f t="shared" si="8"/>
        <v>high</v>
      </c>
    </row>
    <row r="161" spans="1:19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>
        <f t="shared" si="6"/>
        <v>5290.88</v>
      </c>
      <c r="Q161" s="22" t="str">
        <f t="shared" si="7"/>
        <v>low</v>
      </c>
      <c r="R161" s="22" t="str" cm="1">
        <f t="array" ref="R161">_xlfn.IFS(O161&gt;=20000,"high",O161&gt;=15000,"medium",O161&lt;15000,"low")</f>
        <v>low</v>
      </c>
      <c r="S161" s="22" t="str">
        <f t="shared" si="8"/>
        <v>low</v>
      </c>
    </row>
    <row r="162" spans="1:19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>
        <f t="shared" si="6"/>
        <v>9347.1200000000008</v>
      </c>
      <c r="Q162" s="22" t="str">
        <f t="shared" si="7"/>
        <v>low</v>
      </c>
      <c r="R162" s="22" t="str" cm="1">
        <f t="array" ref="R162">_xlfn.IFS(O162&gt;=20000,"high",O162&gt;=15000,"medium",O162&lt;15000,"low")</f>
        <v>low</v>
      </c>
      <c r="S162" s="22" t="str">
        <f t="shared" si="8"/>
        <v>low</v>
      </c>
    </row>
    <row r="163" spans="1:19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>
        <f t="shared" si="6"/>
        <v>9820.7199999999993</v>
      </c>
      <c r="Q163" s="22" t="str">
        <f t="shared" si="7"/>
        <v>low</v>
      </c>
      <c r="R163" s="22" t="str" cm="1">
        <f t="array" ref="R163">_xlfn.IFS(O163&gt;=20000,"high",O163&gt;=15000,"medium",O163&lt;15000,"low")</f>
        <v>low</v>
      </c>
      <c r="S163" s="22" t="str">
        <f t="shared" si="8"/>
        <v>low</v>
      </c>
    </row>
    <row r="164" spans="1:19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>
        <f t="shared" si="6"/>
        <v>1219.22</v>
      </c>
      <c r="Q164" s="22" t="str">
        <f t="shared" si="7"/>
        <v>low</v>
      </c>
      <c r="R164" s="22" t="str" cm="1">
        <f t="array" ref="R164">_xlfn.IFS(O164&gt;=20000,"high",O164&gt;=15000,"medium",O164&lt;15000,"low")</f>
        <v>low</v>
      </c>
      <c r="S164" s="22" t="str">
        <f t="shared" si="8"/>
        <v>low</v>
      </c>
    </row>
    <row r="165" spans="1:19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>
        <f t="shared" si="6"/>
        <v>1153.32</v>
      </c>
      <c r="Q165" s="22" t="str">
        <f t="shared" si="7"/>
        <v>low</v>
      </c>
      <c r="R165" s="22" t="str" cm="1">
        <f t="array" ref="R165">_xlfn.IFS(O165&gt;=20000,"high",O165&gt;=15000,"medium",O165&lt;15000,"low")</f>
        <v>low</v>
      </c>
      <c r="S165" s="22" t="str">
        <f t="shared" si="8"/>
        <v>low</v>
      </c>
    </row>
    <row r="166" spans="1:19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>
        <f t="shared" si="6"/>
        <v>14874.52</v>
      </c>
      <c r="Q166" s="22" t="str">
        <f t="shared" si="7"/>
        <v>low</v>
      </c>
      <c r="R166" s="22" t="str" cm="1">
        <f t="array" ref="R166">_xlfn.IFS(O166&gt;=20000,"high",O166&gt;=15000,"medium",O166&lt;15000,"low")</f>
        <v>low</v>
      </c>
      <c r="S166" s="22" t="str">
        <f t="shared" si="8"/>
        <v>low</v>
      </c>
    </row>
    <row r="167" spans="1:19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>
        <f t="shared" si="6"/>
        <v>6809.18</v>
      </c>
      <c r="Q167" s="22" t="str">
        <f t="shared" si="7"/>
        <v>low</v>
      </c>
      <c r="R167" s="22" t="str" cm="1">
        <f t="array" ref="R167">_xlfn.IFS(O167&gt;=20000,"high",O167&gt;=15000,"medium",O167&lt;15000,"low")</f>
        <v>low</v>
      </c>
      <c r="S167" s="22" t="str">
        <f t="shared" si="8"/>
        <v>low</v>
      </c>
    </row>
    <row r="168" spans="1:19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>
        <f t="shared" si="6"/>
        <v>12369.14</v>
      </c>
      <c r="Q168" s="22" t="str">
        <f t="shared" si="7"/>
        <v>low</v>
      </c>
      <c r="R168" s="22" t="str" cm="1">
        <f t="array" ref="R168">_xlfn.IFS(O168&gt;=20000,"high",O168&gt;=15000,"medium",O168&lt;15000,"low")</f>
        <v>low</v>
      </c>
      <c r="S168" s="22" t="str">
        <f t="shared" si="8"/>
        <v>low</v>
      </c>
    </row>
    <row r="169" spans="1:19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>
        <f t="shared" si="6"/>
        <v>1498.32</v>
      </c>
      <c r="Q169" s="22" t="str">
        <f t="shared" si="7"/>
        <v>low</v>
      </c>
      <c r="R169" s="22" t="str" cm="1">
        <f t="array" ref="R169">_xlfn.IFS(O169&gt;=20000,"high",O169&gt;=15000,"medium",O169&lt;15000,"low")</f>
        <v>low</v>
      </c>
      <c r="S169" s="22" t="str">
        <f t="shared" si="8"/>
        <v>low</v>
      </c>
    </row>
    <row r="170" spans="1:19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>
        <f t="shared" si="6"/>
        <v>17265.650000000001</v>
      </c>
      <c r="Q170" s="22" t="str">
        <f t="shared" si="7"/>
        <v>high</v>
      </c>
      <c r="R170" s="22" t="str" cm="1">
        <f t="array" ref="R170">_xlfn.IFS(O170&gt;=20000,"high",O170&gt;=15000,"medium",O170&lt;15000,"low")</f>
        <v>medium</v>
      </c>
      <c r="S170" s="22" t="str">
        <f t="shared" si="8"/>
        <v>mid</v>
      </c>
    </row>
    <row r="171" spans="1:19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>
        <f t="shared" si="6"/>
        <v>20754.72</v>
      </c>
      <c r="Q171" s="22" t="str">
        <f t="shared" si="7"/>
        <v>high</v>
      </c>
      <c r="R171" s="22" t="str" cm="1">
        <f t="array" ref="R171">_xlfn.IFS(O171&gt;=20000,"high",O171&gt;=15000,"medium",O171&lt;15000,"low")</f>
        <v>medium</v>
      </c>
      <c r="S171" s="22" t="str">
        <f t="shared" si="8"/>
        <v>mid</v>
      </c>
    </row>
    <row r="172" spans="1:19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>
        <f t="shared" si="6"/>
        <v>30360.080000000002</v>
      </c>
      <c r="Q172" s="22" t="str">
        <f t="shared" si="7"/>
        <v>high</v>
      </c>
      <c r="R172" s="22" t="str" cm="1">
        <f t="array" ref="R172">_xlfn.IFS(O172&gt;=20000,"high",O172&gt;=15000,"medium",O172&lt;15000,"low")</f>
        <v>high</v>
      </c>
      <c r="S172" s="22" t="str">
        <f t="shared" si="8"/>
        <v>high</v>
      </c>
    </row>
    <row r="173" spans="1:19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>
        <f t="shared" si="6"/>
        <v>28432.98</v>
      </c>
      <c r="Q173" s="22" t="str">
        <f t="shared" si="7"/>
        <v>high</v>
      </c>
      <c r="R173" s="22" t="str" cm="1">
        <f t="array" ref="R173">_xlfn.IFS(O173&gt;=20000,"high",O173&gt;=15000,"medium",O173&lt;15000,"low")</f>
        <v>high</v>
      </c>
      <c r="S173" s="22" t="str">
        <f t="shared" si="8"/>
        <v>high</v>
      </c>
    </row>
    <row r="174" spans="1:19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>
        <f t="shared" si="6"/>
        <v>4073.31</v>
      </c>
      <c r="Q174" s="22" t="str">
        <f t="shared" si="7"/>
        <v>low</v>
      </c>
      <c r="R174" s="22" t="str" cm="1">
        <f t="array" ref="R174">_xlfn.IFS(O174&gt;=20000,"high",O174&gt;=15000,"medium",O174&lt;15000,"low")</f>
        <v>low</v>
      </c>
      <c r="S174" s="22" t="str">
        <f t="shared" si="8"/>
        <v>low</v>
      </c>
    </row>
    <row r="175" spans="1:19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>
        <f t="shared" si="6"/>
        <v>3312.93</v>
      </c>
      <c r="Q175" s="22" t="str">
        <f t="shared" si="7"/>
        <v>low</v>
      </c>
      <c r="R175" s="22" t="str" cm="1">
        <f t="array" ref="R175">_xlfn.IFS(O175&gt;=20000,"high",O175&gt;=15000,"medium",O175&lt;15000,"low")</f>
        <v>low</v>
      </c>
      <c r="S175" s="22" t="str">
        <f t="shared" si="8"/>
        <v>low</v>
      </c>
    </row>
    <row r="176" spans="1:19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>
        <f t="shared" si="6"/>
        <v>11344.84</v>
      </c>
      <c r="Q176" s="22" t="str">
        <f t="shared" si="7"/>
        <v>low</v>
      </c>
      <c r="R176" s="22" t="str" cm="1">
        <f t="array" ref="R176">_xlfn.IFS(O176&gt;=20000,"high",O176&gt;=15000,"medium",O176&lt;15000,"low")</f>
        <v>low</v>
      </c>
      <c r="S176" s="22" t="str">
        <f t="shared" si="8"/>
        <v>low</v>
      </c>
    </row>
    <row r="177" spans="1:19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>
        <f t="shared" si="6"/>
        <v>7759.15</v>
      </c>
      <c r="Q177" s="22" t="str">
        <f t="shared" si="7"/>
        <v>low</v>
      </c>
      <c r="R177" s="22" t="str" cm="1">
        <f t="array" ref="R177">_xlfn.IFS(O177&gt;=20000,"high",O177&gt;=15000,"medium",O177&lt;15000,"low")</f>
        <v>low</v>
      </c>
      <c r="S177" s="22" t="str">
        <f t="shared" si="8"/>
        <v>low</v>
      </c>
    </row>
    <row r="178" spans="1:19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>
        <f t="shared" si="6"/>
        <v>2329.9299999999998</v>
      </c>
      <c r="Q178" s="22" t="str">
        <f t="shared" si="7"/>
        <v>low</v>
      </c>
      <c r="R178" s="22" t="str" cm="1">
        <f t="array" ref="R178">_xlfn.IFS(O178&gt;=20000,"high",O178&gt;=15000,"medium",O178&lt;15000,"low")</f>
        <v>low</v>
      </c>
      <c r="S178" s="22" t="str">
        <f t="shared" si="8"/>
        <v>low</v>
      </c>
    </row>
    <row r="179" spans="1:19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>
        <f t="shared" si="6"/>
        <v>1218.6300000000001</v>
      </c>
      <c r="Q179" s="22" t="str">
        <f t="shared" si="7"/>
        <v>low</v>
      </c>
      <c r="R179" s="22" t="str" cm="1">
        <f t="array" ref="R179">_xlfn.IFS(O179&gt;=20000,"high",O179&gt;=15000,"medium",O179&lt;15000,"low")</f>
        <v>low</v>
      </c>
      <c r="S179" s="22" t="str">
        <f t="shared" si="8"/>
        <v>low</v>
      </c>
    </row>
    <row r="180" spans="1:19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>
        <f t="shared" si="6"/>
        <v>3494.34</v>
      </c>
      <c r="Q180" s="22" t="str">
        <f t="shared" si="7"/>
        <v>low</v>
      </c>
      <c r="R180" s="22" t="str" cm="1">
        <f t="array" ref="R180">_xlfn.IFS(O180&gt;=20000,"high",O180&gt;=15000,"medium",O180&lt;15000,"low")</f>
        <v>low</v>
      </c>
      <c r="S180" s="22" t="str">
        <f t="shared" si="8"/>
        <v>low</v>
      </c>
    </row>
    <row r="181" spans="1:19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>
        <f t="shared" si="6"/>
        <v>17689.36</v>
      </c>
      <c r="Q181" s="22" t="str">
        <f t="shared" si="7"/>
        <v>high</v>
      </c>
      <c r="R181" s="22" t="str" cm="1">
        <f t="array" ref="R181">_xlfn.IFS(O181&gt;=20000,"high",O181&gt;=15000,"medium",O181&lt;15000,"low")</f>
        <v>medium</v>
      </c>
      <c r="S181" s="22" t="str">
        <f t="shared" si="8"/>
        <v>mid</v>
      </c>
    </row>
    <row r="182" spans="1:19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>
        <f t="shared" si="6"/>
        <v>11646.900000000001</v>
      </c>
      <c r="Q182" s="22" t="str">
        <f t="shared" si="7"/>
        <v>low</v>
      </c>
      <c r="R182" s="22" t="str" cm="1">
        <f t="array" ref="R182">_xlfn.IFS(O182&gt;=20000,"high",O182&gt;=15000,"medium",O182&lt;15000,"low")</f>
        <v>low</v>
      </c>
      <c r="S182" s="22" t="str">
        <f t="shared" si="8"/>
        <v>low</v>
      </c>
    </row>
    <row r="183" spans="1:19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>
        <f t="shared" si="6"/>
        <v>12172.36</v>
      </c>
      <c r="Q183" s="22" t="str">
        <f t="shared" si="7"/>
        <v>low</v>
      </c>
      <c r="R183" s="22" t="str" cm="1">
        <f t="array" ref="R183">_xlfn.IFS(O183&gt;=20000,"high",O183&gt;=15000,"medium",O183&lt;15000,"low")</f>
        <v>low</v>
      </c>
      <c r="S183" s="22" t="str">
        <f t="shared" si="8"/>
        <v>low</v>
      </c>
    </row>
    <row r="184" spans="1:19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>
        <f t="shared" si="6"/>
        <v>4606.4900000000007</v>
      </c>
      <c r="Q184" s="22" t="str">
        <f t="shared" si="7"/>
        <v>low</v>
      </c>
      <c r="R184" s="22" t="str" cm="1">
        <f t="array" ref="R184">_xlfn.IFS(O184&gt;=20000,"high",O184&gt;=15000,"medium",O184&lt;15000,"low")</f>
        <v>low</v>
      </c>
      <c r="S184" s="22" t="str">
        <f t="shared" si="8"/>
        <v>low</v>
      </c>
    </row>
    <row r="185" spans="1:19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>
        <f t="shared" si="6"/>
        <v>10628.75</v>
      </c>
      <c r="Q185" s="22" t="str">
        <f t="shared" si="7"/>
        <v>low</v>
      </c>
      <c r="R185" s="22" t="str" cm="1">
        <f t="array" ref="R185">_xlfn.IFS(O185&gt;=20000,"high",O185&gt;=15000,"medium",O185&lt;15000,"low")</f>
        <v>low</v>
      </c>
      <c r="S185" s="22" t="str">
        <f t="shared" si="8"/>
        <v>low</v>
      </c>
    </row>
    <row r="186" spans="1:19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>
        <f t="shared" si="6"/>
        <v>6290.34</v>
      </c>
      <c r="Q186" s="22" t="str">
        <f t="shared" si="7"/>
        <v>low</v>
      </c>
      <c r="R186" s="22" t="str" cm="1">
        <f t="array" ref="R186">_xlfn.IFS(O186&gt;=20000,"high",O186&gt;=15000,"medium",O186&lt;15000,"low")</f>
        <v>low</v>
      </c>
      <c r="S186" s="22" t="str">
        <f t="shared" si="8"/>
        <v>low</v>
      </c>
    </row>
    <row r="187" spans="1:19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>
        <f t="shared" si="6"/>
        <v>508.81</v>
      </c>
      <c r="Q187" s="22" t="str">
        <f t="shared" si="7"/>
        <v>low</v>
      </c>
      <c r="R187" s="22" t="str" cm="1">
        <f t="array" ref="R187">_xlfn.IFS(O187&gt;=20000,"high",O187&gt;=15000,"medium",O187&lt;15000,"low")</f>
        <v>low</v>
      </c>
      <c r="S187" s="22" t="str">
        <f t="shared" si="8"/>
        <v>low</v>
      </c>
    </row>
    <row r="188" spans="1:19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>
        <f t="shared" si="6"/>
        <v>1730.41</v>
      </c>
      <c r="Q188" s="22" t="str">
        <f t="shared" si="7"/>
        <v>low</v>
      </c>
      <c r="R188" s="22" t="str" cm="1">
        <f t="array" ref="R188">_xlfn.IFS(O188&gt;=20000,"high",O188&gt;=15000,"medium",O188&lt;15000,"low")</f>
        <v>low</v>
      </c>
      <c r="S188" s="22" t="str">
        <f t="shared" si="8"/>
        <v>low</v>
      </c>
    </row>
    <row r="189" spans="1:19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>
        <f t="shared" si="6"/>
        <v>2336.5500000000002</v>
      </c>
      <c r="Q189" s="22" t="str">
        <f t="shared" si="7"/>
        <v>low</v>
      </c>
      <c r="R189" s="22" t="str" cm="1">
        <f t="array" ref="R189">_xlfn.IFS(O189&gt;=20000,"high",O189&gt;=15000,"medium",O189&lt;15000,"low")</f>
        <v>low</v>
      </c>
      <c r="S189" s="22" t="str">
        <f t="shared" si="8"/>
        <v>low</v>
      </c>
    </row>
    <row r="190" spans="1:19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>
        <f t="shared" si="6"/>
        <v>2007.72</v>
      </c>
      <c r="Q190" s="22" t="str">
        <f t="shared" si="7"/>
        <v>low</v>
      </c>
      <c r="R190" s="22" t="str" cm="1">
        <f t="array" ref="R190">_xlfn.IFS(O190&gt;=20000,"high",O190&gt;=15000,"medium",O190&lt;15000,"low")</f>
        <v>low</v>
      </c>
      <c r="S190" s="22" t="str">
        <f t="shared" si="8"/>
        <v>low</v>
      </c>
    </row>
    <row r="191" spans="1:19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>
        <f t="shared" si="6"/>
        <v>2745.18</v>
      </c>
      <c r="Q191" s="22" t="str">
        <f t="shared" si="7"/>
        <v>low</v>
      </c>
      <c r="R191" s="22" t="str" cm="1">
        <f t="array" ref="R191">_xlfn.IFS(O191&gt;=20000,"high",O191&gt;=15000,"medium",O191&lt;15000,"low")</f>
        <v>low</v>
      </c>
      <c r="S191" s="22" t="str">
        <f t="shared" si="8"/>
        <v>low</v>
      </c>
    </row>
    <row r="192" spans="1:19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>
        <f t="shared" si="6"/>
        <v>8040.5500000000011</v>
      </c>
      <c r="Q192" s="22" t="str">
        <f t="shared" si="7"/>
        <v>low</v>
      </c>
      <c r="R192" s="22" t="str" cm="1">
        <f t="array" ref="R192">_xlfn.IFS(O192&gt;=20000,"high",O192&gt;=15000,"medium",O192&lt;15000,"low")</f>
        <v>low</v>
      </c>
      <c r="S192" s="22" t="str">
        <f t="shared" si="8"/>
        <v>low</v>
      </c>
    </row>
    <row r="193" spans="1:19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>
        <f t="shared" si="6"/>
        <v>974.46</v>
      </c>
      <c r="Q193" s="22" t="str">
        <f t="shared" si="7"/>
        <v>low</v>
      </c>
      <c r="R193" s="22" t="str" cm="1">
        <f t="array" ref="R193">_xlfn.IFS(O193&gt;=20000,"high",O193&gt;=15000,"medium",O193&lt;15000,"low")</f>
        <v>low</v>
      </c>
      <c r="S193" s="22" t="str">
        <f t="shared" si="8"/>
        <v>low</v>
      </c>
    </row>
    <row r="194" spans="1:19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>
        <f t="shared" si="6"/>
        <v>1984.72</v>
      </c>
      <c r="Q194" s="22" t="str">
        <f t="shared" si="7"/>
        <v>low</v>
      </c>
      <c r="R194" s="22" t="str" cm="1">
        <f t="array" ref="R194">_xlfn.IFS(O194&gt;=20000,"high",O194&gt;=15000,"medium",O194&lt;15000,"low")</f>
        <v>low</v>
      </c>
      <c r="S194" s="22" t="str">
        <f t="shared" si="8"/>
        <v>low</v>
      </c>
    </row>
    <row r="195" spans="1:19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>
        <f t="shared" ref="P195:P258" si="9">L195*M195</f>
        <v>1788.02</v>
      </c>
      <c r="Q195" s="22" t="str">
        <f t="shared" ref="Q195:Q258" si="10">IF(O195&gt;=15000,"high","low")</f>
        <v>low</v>
      </c>
      <c r="R195" s="22" t="str" cm="1">
        <f t="array" ref="R195">_xlfn.IFS(O195&gt;=20000,"high",O195&gt;=15000,"medium",O195&lt;15000,"low")</f>
        <v>low</v>
      </c>
      <c r="S195" s="22" t="str">
        <f t="shared" ref="S195:S258" si="11">IF(O195&gt;=20000,"high",IF(O195&gt;=15000,"mid","low"))</f>
        <v>low</v>
      </c>
    </row>
    <row r="196" spans="1:19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>
        <f t="shared" si="9"/>
        <v>2067.8999999999996</v>
      </c>
      <c r="Q196" s="22" t="str">
        <f t="shared" si="10"/>
        <v>low</v>
      </c>
      <c r="R196" s="22" t="str" cm="1">
        <f t="array" ref="R196">_xlfn.IFS(O196&gt;=20000,"high",O196&gt;=15000,"medium",O196&lt;15000,"low")</f>
        <v>low</v>
      </c>
      <c r="S196" s="22" t="str">
        <f t="shared" si="11"/>
        <v>low</v>
      </c>
    </row>
    <row r="197" spans="1:19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>
        <f t="shared" si="9"/>
        <v>20494.88</v>
      </c>
      <c r="Q197" s="22" t="str">
        <f t="shared" si="10"/>
        <v>high</v>
      </c>
      <c r="R197" s="22" t="str" cm="1">
        <f t="array" ref="R197">_xlfn.IFS(O197&gt;=20000,"high",O197&gt;=15000,"medium",O197&lt;15000,"low")</f>
        <v>high</v>
      </c>
      <c r="S197" s="22" t="str">
        <f t="shared" si="11"/>
        <v>high</v>
      </c>
    </row>
    <row r="198" spans="1:19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>
        <f t="shared" si="9"/>
        <v>5024.84</v>
      </c>
      <c r="Q198" s="22" t="str">
        <f t="shared" si="10"/>
        <v>low</v>
      </c>
      <c r="R198" s="22" t="str" cm="1">
        <f t="array" ref="R198">_xlfn.IFS(O198&gt;=20000,"high",O198&gt;=15000,"medium",O198&lt;15000,"low")</f>
        <v>low</v>
      </c>
      <c r="S198" s="22" t="str">
        <f t="shared" si="11"/>
        <v>low</v>
      </c>
    </row>
    <row r="199" spans="1:19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>
        <f t="shared" si="9"/>
        <v>6135.1</v>
      </c>
      <c r="Q199" s="22" t="str">
        <f t="shared" si="10"/>
        <v>low</v>
      </c>
      <c r="R199" s="22" t="str" cm="1">
        <f t="array" ref="R199">_xlfn.IFS(O199&gt;=20000,"high",O199&gt;=15000,"medium",O199&lt;15000,"low")</f>
        <v>low</v>
      </c>
      <c r="S199" s="22" t="str">
        <f t="shared" si="11"/>
        <v>low</v>
      </c>
    </row>
    <row r="200" spans="1:19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>
        <f t="shared" si="9"/>
        <v>5712.76</v>
      </c>
      <c r="Q200" s="22" t="str">
        <f t="shared" si="10"/>
        <v>low</v>
      </c>
      <c r="R200" s="22" t="str" cm="1">
        <f t="array" ref="R200">_xlfn.IFS(O200&gt;=20000,"high",O200&gt;=15000,"medium",O200&lt;15000,"low")</f>
        <v>low</v>
      </c>
      <c r="S200" s="22" t="str">
        <f t="shared" si="11"/>
        <v>low</v>
      </c>
    </row>
    <row r="201" spans="1:19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>
        <f t="shared" si="9"/>
        <v>8105.3099999999995</v>
      </c>
      <c r="Q201" s="22" t="str">
        <f t="shared" si="10"/>
        <v>low</v>
      </c>
      <c r="R201" s="22" t="str" cm="1">
        <f t="array" ref="R201">_xlfn.IFS(O201&gt;=20000,"high",O201&gt;=15000,"medium",O201&lt;15000,"low")</f>
        <v>low</v>
      </c>
      <c r="S201" s="22" t="str">
        <f t="shared" si="11"/>
        <v>low</v>
      </c>
    </row>
    <row r="202" spans="1:19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>
        <f t="shared" si="9"/>
        <v>17509.7</v>
      </c>
      <c r="Q202" s="22" t="str">
        <f t="shared" si="10"/>
        <v>low</v>
      </c>
      <c r="R202" s="22" t="str" cm="1">
        <f t="array" ref="R202">_xlfn.IFS(O202&gt;=20000,"high",O202&gt;=15000,"medium",O202&lt;15000,"low")</f>
        <v>low</v>
      </c>
      <c r="S202" s="22" t="str">
        <f t="shared" si="11"/>
        <v>low</v>
      </c>
    </row>
    <row r="203" spans="1:19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>
        <f t="shared" si="9"/>
        <v>27652.32</v>
      </c>
      <c r="Q203" s="22" t="str">
        <f t="shared" si="10"/>
        <v>high</v>
      </c>
      <c r="R203" s="22" t="str" cm="1">
        <f t="array" ref="R203">_xlfn.IFS(O203&gt;=20000,"high",O203&gt;=15000,"medium",O203&lt;15000,"low")</f>
        <v>high</v>
      </c>
      <c r="S203" s="22" t="str">
        <f t="shared" si="11"/>
        <v>high</v>
      </c>
    </row>
    <row r="204" spans="1:19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>
        <f t="shared" si="9"/>
        <v>23607.919999999998</v>
      </c>
      <c r="Q204" s="22" t="str">
        <f t="shared" si="10"/>
        <v>high</v>
      </c>
      <c r="R204" s="22" t="str" cm="1">
        <f t="array" ref="R204">_xlfn.IFS(O204&gt;=20000,"high",O204&gt;=15000,"medium",O204&lt;15000,"low")</f>
        <v>medium</v>
      </c>
      <c r="S204" s="22" t="str">
        <f t="shared" si="11"/>
        <v>mid</v>
      </c>
    </row>
    <row r="205" spans="1:19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>
        <f t="shared" si="9"/>
        <v>16119.28</v>
      </c>
      <c r="Q205" s="22" t="str">
        <f t="shared" si="10"/>
        <v>high</v>
      </c>
      <c r="R205" s="22" t="str" cm="1">
        <f t="array" ref="R205">_xlfn.IFS(O205&gt;=20000,"high",O205&gt;=15000,"medium",O205&lt;15000,"low")</f>
        <v>medium</v>
      </c>
      <c r="S205" s="22" t="str">
        <f t="shared" si="11"/>
        <v>mid</v>
      </c>
    </row>
    <row r="206" spans="1:19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>
        <f t="shared" si="9"/>
        <v>22569.200000000001</v>
      </c>
      <c r="Q206" s="22" t="str">
        <f t="shared" si="10"/>
        <v>high</v>
      </c>
      <c r="R206" s="22" t="str" cm="1">
        <f t="array" ref="R206">_xlfn.IFS(O206&gt;=20000,"high",O206&gt;=15000,"medium",O206&lt;15000,"low")</f>
        <v>high</v>
      </c>
      <c r="S206" s="22" t="str">
        <f t="shared" si="11"/>
        <v>high</v>
      </c>
    </row>
    <row r="207" spans="1:19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>
        <f t="shared" si="9"/>
        <v>18225.12</v>
      </c>
      <c r="Q207" s="22" t="str">
        <f t="shared" si="10"/>
        <v>high</v>
      </c>
      <c r="R207" s="22" t="str" cm="1">
        <f t="array" ref="R207">_xlfn.IFS(O207&gt;=20000,"high",O207&gt;=15000,"medium",O207&lt;15000,"low")</f>
        <v>medium</v>
      </c>
      <c r="S207" s="22" t="str">
        <f t="shared" si="11"/>
        <v>mid</v>
      </c>
    </row>
    <row r="208" spans="1:19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>
        <f t="shared" si="9"/>
        <v>6877.92</v>
      </c>
      <c r="Q208" s="22" t="str">
        <f t="shared" si="10"/>
        <v>low</v>
      </c>
      <c r="R208" s="22" t="str" cm="1">
        <f t="array" ref="R208">_xlfn.IFS(O208&gt;=20000,"high",O208&gt;=15000,"medium",O208&lt;15000,"low")</f>
        <v>low</v>
      </c>
      <c r="S208" s="22" t="str">
        <f t="shared" si="11"/>
        <v>low</v>
      </c>
    </row>
    <row r="209" spans="1:19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>
        <f t="shared" si="9"/>
        <v>7624.56</v>
      </c>
      <c r="Q209" s="22" t="str">
        <f t="shared" si="10"/>
        <v>low</v>
      </c>
      <c r="R209" s="22" t="str" cm="1">
        <f t="array" ref="R209">_xlfn.IFS(O209&gt;=20000,"high",O209&gt;=15000,"medium",O209&lt;15000,"low")</f>
        <v>low</v>
      </c>
      <c r="S209" s="22" t="str">
        <f t="shared" si="11"/>
        <v>low</v>
      </c>
    </row>
    <row r="210" spans="1:19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>
        <f t="shared" si="9"/>
        <v>10328.879999999999</v>
      </c>
      <c r="Q210" s="22" t="str">
        <f t="shared" si="10"/>
        <v>low</v>
      </c>
      <c r="R210" s="22" t="str" cm="1">
        <f t="array" ref="R210">_xlfn.IFS(O210&gt;=20000,"high",O210&gt;=15000,"medium",O210&lt;15000,"low")</f>
        <v>low</v>
      </c>
      <c r="S210" s="22" t="str">
        <f t="shared" si="11"/>
        <v>low</v>
      </c>
    </row>
    <row r="211" spans="1:19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>
        <f t="shared" si="9"/>
        <v>29252.720000000001</v>
      </c>
      <c r="Q211" s="22" t="str">
        <f t="shared" si="10"/>
        <v>high</v>
      </c>
      <c r="R211" s="22" t="str" cm="1">
        <f t="array" ref="R211">_xlfn.IFS(O211&gt;=20000,"high",O211&gt;=15000,"medium",O211&lt;15000,"low")</f>
        <v>high</v>
      </c>
      <c r="S211" s="22" t="str">
        <f t="shared" si="11"/>
        <v>high</v>
      </c>
    </row>
    <row r="212" spans="1:19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>
        <f t="shared" si="9"/>
        <v>15802.850000000002</v>
      </c>
      <c r="Q212" s="22" t="str">
        <f t="shared" si="10"/>
        <v>low</v>
      </c>
      <c r="R212" s="22" t="str" cm="1">
        <f t="array" ref="R212">_xlfn.IFS(O212&gt;=20000,"high",O212&gt;=15000,"medium",O212&lt;15000,"low")</f>
        <v>low</v>
      </c>
      <c r="S212" s="22" t="str">
        <f t="shared" si="11"/>
        <v>low</v>
      </c>
    </row>
    <row r="213" spans="1:19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>
        <f t="shared" si="9"/>
        <v>2975.54</v>
      </c>
      <c r="Q213" s="22" t="str">
        <f t="shared" si="10"/>
        <v>low</v>
      </c>
      <c r="R213" s="22" t="str" cm="1">
        <f t="array" ref="R213">_xlfn.IFS(O213&gt;=20000,"high",O213&gt;=15000,"medium",O213&lt;15000,"low")</f>
        <v>low</v>
      </c>
      <c r="S213" s="22" t="str">
        <f t="shared" si="11"/>
        <v>low</v>
      </c>
    </row>
    <row r="214" spans="1:19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>
        <f t="shared" si="9"/>
        <v>5937</v>
      </c>
      <c r="Q214" s="22" t="str">
        <f t="shared" si="10"/>
        <v>low</v>
      </c>
      <c r="R214" s="22" t="str" cm="1">
        <f t="array" ref="R214">_xlfn.IFS(O214&gt;=20000,"high",O214&gt;=15000,"medium",O214&lt;15000,"low")</f>
        <v>low</v>
      </c>
      <c r="S214" s="22" t="str">
        <f t="shared" si="11"/>
        <v>low</v>
      </c>
    </row>
    <row r="215" spans="1:19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>
        <f t="shared" si="9"/>
        <v>6878.84</v>
      </c>
      <c r="Q215" s="22" t="str">
        <f t="shared" si="10"/>
        <v>low</v>
      </c>
      <c r="R215" s="22" t="str" cm="1">
        <f t="array" ref="R215">_xlfn.IFS(O215&gt;=20000,"high",O215&gt;=15000,"medium",O215&lt;15000,"low")</f>
        <v>low</v>
      </c>
      <c r="S215" s="22" t="str">
        <f t="shared" si="11"/>
        <v>low</v>
      </c>
    </row>
    <row r="216" spans="1:19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>
        <f t="shared" si="9"/>
        <v>3167.1499999999996</v>
      </c>
      <c r="Q216" s="22" t="str">
        <f t="shared" si="10"/>
        <v>low</v>
      </c>
      <c r="R216" s="22" t="str" cm="1">
        <f t="array" ref="R216">_xlfn.IFS(O216&gt;=20000,"high",O216&gt;=15000,"medium",O216&lt;15000,"low")</f>
        <v>low</v>
      </c>
      <c r="S216" s="22" t="str">
        <f t="shared" si="11"/>
        <v>low</v>
      </c>
    </row>
    <row r="217" spans="1:19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>
        <f t="shared" si="9"/>
        <v>4856.9400000000005</v>
      </c>
      <c r="Q217" s="22" t="str">
        <f t="shared" si="10"/>
        <v>low</v>
      </c>
      <c r="R217" s="22" t="str" cm="1">
        <f t="array" ref="R217">_xlfn.IFS(O217&gt;=20000,"high",O217&gt;=15000,"medium",O217&lt;15000,"low")</f>
        <v>low</v>
      </c>
      <c r="S217" s="22" t="str">
        <f t="shared" si="11"/>
        <v>low</v>
      </c>
    </row>
    <row r="218" spans="1:19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>
        <f t="shared" si="9"/>
        <v>13341.28</v>
      </c>
      <c r="Q218" s="22" t="str">
        <f t="shared" si="10"/>
        <v>low</v>
      </c>
      <c r="R218" s="22" t="str" cm="1">
        <f t="array" ref="R218">_xlfn.IFS(O218&gt;=20000,"high",O218&gt;=15000,"medium",O218&lt;15000,"low")</f>
        <v>low</v>
      </c>
      <c r="S218" s="22" t="str">
        <f t="shared" si="11"/>
        <v>low</v>
      </c>
    </row>
    <row r="219" spans="1:19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>
        <f t="shared" si="9"/>
        <v>4803.26</v>
      </c>
      <c r="Q219" s="22" t="str">
        <f t="shared" si="10"/>
        <v>low</v>
      </c>
      <c r="R219" s="22" t="str" cm="1">
        <f t="array" ref="R219">_xlfn.IFS(O219&gt;=20000,"high",O219&gt;=15000,"medium",O219&lt;15000,"low")</f>
        <v>low</v>
      </c>
      <c r="S219" s="22" t="str">
        <f t="shared" si="11"/>
        <v>low</v>
      </c>
    </row>
    <row r="220" spans="1:19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>
        <f t="shared" si="9"/>
        <v>8697</v>
      </c>
      <c r="Q220" s="22" t="str">
        <f t="shared" si="10"/>
        <v>low</v>
      </c>
      <c r="R220" s="22" t="str" cm="1">
        <f t="array" ref="R220">_xlfn.IFS(O220&gt;=20000,"high",O220&gt;=15000,"medium",O220&lt;15000,"low")</f>
        <v>low</v>
      </c>
      <c r="S220" s="22" t="str">
        <f t="shared" si="11"/>
        <v>low</v>
      </c>
    </row>
    <row r="221" spans="1:19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>
        <f t="shared" si="9"/>
        <v>25927.84</v>
      </c>
      <c r="Q221" s="22" t="str">
        <f t="shared" si="10"/>
        <v>high</v>
      </c>
      <c r="R221" s="22" t="str" cm="1">
        <f t="array" ref="R221">_xlfn.IFS(O221&gt;=20000,"high",O221&gt;=15000,"medium",O221&lt;15000,"low")</f>
        <v>high</v>
      </c>
      <c r="S221" s="22" t="str">
        <f t="shared" si="11"/>
        <v>high</v>
      </c>
    </row>
    <row r="222" spans="1:19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>
        <f t="shared" si="9"/>
        <v>8792.7999999999993</v>
      </c>
      <c r="Q222" s="22" t="str">
        <f t="shared" si="10"/>
        <v>low</v>
      </c>
      <c r="R222" s="22" t="str" cm="1">
        <f t="array" ref="R222">_xlfn.IFS(O222&gt;=20000,"high",O222&gt;=15000,"medium",O222&lt;15000,"low")</f>
        <v>low</v>
      </c>
      <c r="S222" s="22" t="str">
        <f t="shared" si="11"/>
        <v>low</v>
      </c>
    </row>
    <row r="223" spans="1:19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>
        <f t="shared" si="9"/>
        <v>27354.11</v>
      </c>
      <c r="Q223" s="22" t="str">
        <f t="shared" si="10"/>
        <v>high</v>
      </c>
      <c r="R223" s="22" t="str" cm="1">
        <f t="array" ref="R223">_xlfn.IFS(O223&gt;=20000,"high",O223&gt;=15000,"medium",O223&lt;15000,"low")</f>
        <v>high</v>
      </c>
      <c r="S223" s="22" t="str">
        <f t="shared" si="11"/>
        <v>high</v>
      </c>
    </row>
    <row r="224" spans="1:19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>
        <f t="shared" si="9"/>
        <v>8865.2999999999993</v>
      </c>
      <c r="Q224" s="22" t="str">
        <f t="shared" si="10"/>
        <v>low</v>
      </c>
      <c r="R224" s="22" t="str" cm="1">
        <f t="array" ref="R224">_xlfn.IFS(O224&gt;=20000,"high",O224&gt;=15000,"medium",O224&lt;15000,"low")</f>
        <v>low</v>
      </c>
      <c r="S224" s="22" t="str">
        <f t="shared" si="11"/>
        <v>low</v>
      </c>
    </row>
    <row r="225" spans="1:19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>
        <f t="shared" si="9"/>
        <v>2897.3</v>
      </c>
      <c r="Q225" s="22" t="str">
        <f t="shared" si="10"/>
        <v>low</v>
      </c>
      <c r="R225" s="22" t="str" cm="1">
        <f t="array" ref="R225">_xlfn.IFS(O225&gt;=20000,"high",O225&gt;=15000,"medium",O225&lt;15000,"low")</f>
        <v>low</v>
      </c>
      <c r="S225" s="22" t="str">
        <f t="shared" si="11"/>
        <v>low</v>
      </c>
    </row>
    <row r="226" spans="1:19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>
        <f t="shared" si="9"/>
        <v>9456.0199999999986</v>
      </c>
      <c r="Q226" s="22" t="str">
        <f t="shared" si="10"/>
        <v>low</v>
      </c>
      <c r="R226" s="22" t="str" cm="1">
        <f t="array" ref="R226">_xlfn.IFS(O226&gt;=20000,"high",O226&gt;=15000,"medium",O226&lt;15000,"low")</f>
        <v>low</v>
      </c>
      <c r="S226" s="22" t="str">
        <f t="shared" si="11"/>
        <v>low</v>
      </c>
    </row>
    <row r="227" spans="1:19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>
        <f t="shared" si="9"/>
        <v>3100.65</v>
      </c>
      <c r="Q227" s="22" t="str">
        <f t="shared" si="10"/>
        <v>low</v>
      </c>
      <c r="R227" s="22" t="str" cm="1">
        <f t="array" ref="R227">_xlfn.IFS(O227&gt;=20000,"high",O227&gt;=15000,"medium",O227&lt;15000,"low")</f>
        <v>low</v>
      </c>
      <c r="S227" s="22" t="str">
        <f t="shared" si="11"/>
        <v>low</v>
      </c>
    </row>
    <row r="228" spans="1:19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>
        <f t="shared" si="9"/>
        <v>3467.2799999999997</v>
      </c>
      <c r="Q228" s="22" t="str">
        <f t="shared" si="10"/>
        <v>low</v>
      </c>
      <c r="R228" s="22" t="str" cm="1">
        <f t="array" ref="R228">_xlfn.IFS(O228&gt;=20000,"high",O228&gt;=15000,"medium",O228&lt;15000,"low")</f>
        <v>low</v>
      </c>
      <c r="S228" s="22" t="str">
        <f t="shared" si="11"/>
        <v>low</v>
      </c>
    </row>
    <row r="229" spans="1:19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>
        <f t="shared" si="9"/>
        <v>21161.599999999999</v>
      </c>
      <c r="Q229" s="22" t="str">
        <f t="shared" si="10"/>
        <v>high</v>
      </c>
      <c r="R229" s="22" t="str" cm="1">
        <f t="array" ref="R229">_xlfn.IFS(O229&gt;=20000,"high",O229&gt;=15000,"medium",O229&lt;15000,"low")</f>
        <v>medium</v>
      </c>
      <c r="S229" s="22" t="str">
        <f t="shared" si="11"/>
        <v>mid</v>
      </c>
    </row>
    <row r="230" spans="1:19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>
        <f t="shared" si="9"/>
        <v>28153.599999999999</v>
      </c>
      <c r="Q230" s="22" t="str">
        <f t="shared" si="10"/>
        <v>high</v>
      </c>
      <c r="R230" s="22" t="str" cm="1">
        <f t="array" ref="R230">_xlfn.IFS(O230&gt;=20000,"high",O230&gt;=15000,"medium",O230&lt;15000,"low")</f>
        <v>high</v>
      </c>
      <c r="S230" s="22" t="str">
        <f t="shared" si="11"/>
        <v>high</v>
      </c>
    </row>
    <row r="231" spans="1:19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>
        <f t="shared" si="9"/>
        <v>9580.5</v>
      </c>
      <c r="Q231" s="22" t="str">
        <f t="shared" si="10"/>
        <v>low</v>
      </c>
      <c r="R231" s="22" t="str" cm="1">
        <f t="array" ref="R231">_xlfn.IFS(O231&gt;=20000,"high",O231&gt;=15000,"medium",O231&lt;15000,"low")</f>
        <v>low</v>
      </c>
      <c r="S231" s="22" t="str">
        <f t="shared" si="11"/>
        <v>low</v>
      </c>
    </row>
    <row r="232" spans="1:19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>
        <f t="shared" si="9"/>
        <v>4852.82</v>
      </c>
      <c r="Q232" s="22" t="str">
        <f t="shared" si="10"/>
        <v>low</v>
      </c>
      <c r="R232" s="22" t="str" cm="1">
        <f t="array" ref="R232">_xlfn.IFS(O232&gt;=20000,"high",O232&gt;=15000,"medium",O232&lt;15000,"low")</f>
        <v>low</v>
      </c>
      <c r="S232" s="22" t="str">
        <f t="shared" si="11"/>
        <v>low</v>
      </c>
    </row>
    <row r="233" spans="1:19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>
        <f t="shared" si="9"/>
        <v>2250.4899999999998</v>
      </c>
      <c r="Q233" s="22" t="str">
        <f t="shared" si="10"/>
        <v>low</v>
      </c>
      <c r="R233" s="22" t="str" cm="1">
        <f t="array" ref="R233">_xlfn.IFS(O233&gt;=20000,"high",O233&gt;=15000,"medium",O233&lt;15000,"low")</f>
        <v>low</v>
      </c>
      <c r="S233" s="22" t="str">
        <f t="shared" si="11"/>
        <v>low</v>
      </c>
    </row>
    <row r="234" spans="1:19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>
        <f t="shared" si="9"/>
        <v>556.53</v>
      </c>
      <c r="Q234" s="22" t="str">
        <f t="shared" si="10"/>
        <v>low</v>
      </c>
      <c r="R234" s="22" t="str" cm="1">
        <f t="array" ref="R234">_xlfn.IFS(O234&gt;=20000,"high",O234&gt;=15000,"medium",O234&lt;15000,"low")</f>
        <v>low</v>
      </c>
      <c r="S234" s="22" t="str">
        <f t="shared" si="11"/>
        <v>low</v>
      </c>
    </row>
    <row r="235" spans="1:19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>
        <f t="shared" si="9"/>
        <v>2270.66</v>
      </c>
      <c r="Q235" s="22" t="str">
        <f t="shared" si="10"/>
        <v>low</v>
      </c>
      <c r="R235" s="22" t="str" cm="1">
        <f t="array" ref="R235">_xlfn.IFS(O235&gt;=20000,"high",O235&gt;=15000,"medium",O235&lt;15000,"low")</f>
        <v>low</v>
      </c>
      <c r="S235" s="22" t="str">
        <f t="shared" si="11"/>
        <v>low</v>
      </c>
    </row>
    <row r="236" spans="1:19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>
        <f t="shared" si="9"/>
        <v>24093.81</v>
      </c>
      <c r="Q236" s="22" t="str">
        <f t="shared" si="10"/>
        <v>high</v>
      </c>
      <c r="R236" s="22" t="str" cm="1">
        <f t="array" ref="R236">_xlfn.IFS(O236&gt;=20000,"high",O236&gt;=15000,"medium",O236&lt;15000,"low")</f>
        <v>high</v>
      </c>
      <c r="S236" s="22" t="str">
        <f t="shared" si="11"/>
        <v>high</v>
      </c>
    </row>
    <row r="237" spans="1:19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>
        <f t="shared" si="9"/>
        <v>15472.380000000001</v>
      </c>
      <c r="Q237" s="22" t="str">
        <f t="shared" si="10"/>
        <v>low</v>
      </c>
      <c r="R237" s="22" t="str" cm="1">
        <f t="array" ref="R237">_xlfn.IFS(O237&gt;=20000,"high",O237&gt;=15000,"medium",O237&lt;15000,"low")</f>
        <v>low</v>
      </c>
      <c r="S237" s="22" t="str">
        <f t="shared" si="11"/>
        <v>low</v>
      </c>
    </row>
    <row r="238" spans="1:19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>
        <f t="shared" si="9"/>
        <v>2328.9500000000003</v>
      </c>
      <c r="Q238" s="22" t="str">
        <f t="shared" si="10"/>
        <v>low</v>
      </c>
      <c r="R238" s="22" t="str" cm="1">
        <f t="array" ref="R238">_xlfn.IFS(O238&gt;=20000,"high",O238&gt;=15000,"medium",O238&lt;15000,"low")</f>
        <v>low</v>
      </c>
      <c r="S238" s="22" t="str">
        <f t="shared" si="11"/>
        <v>low</v>
      </c>
    </row>
    <row r="239" spans="1:19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>
        <f t="shared" si="9"/>
        <v>2276.16</v>
      </c>
      <c r="Q239" s="22" t="str">
        <f t="shared" si="10"/>
        <v>low</v>
      </c>
      <c r="R239" s="22" t="str" cm="1">
        <f t="array" ref="R239">_xlfn.IFS(O239&gt;=20000,"high",O239&gt;=15000,"medium",O239&lt;15000,"low")</f>
        <v>low</v>
      </c>
      <c r="S239" s="22" t="str">
        <f t="shared" si="11"/>
        <v>low</v>
      </c>
    </row>
    <row r="240" spans="1:19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>
        <f t="shared" si="9"/>
        <v>7921.12</v>
      </c>
      <c r="Q240" s="22" t="str">
        <f t="shared" si="10"/>
        <v>low</v>
      </c>
      <c r="R240" s="22" t="str" cm="1">
        <f t="array" ref="R240">_xlfn.IFS(O240&gt;=20000,"high",O240&gt;=15000,"medium",O240&lt;15000,"low")</f>
        <v>low</v>
      </c>
      <c r="S240" s="22" t="str">
        <f t="shared" si="11"/>
        <v>low</v>
      </c>
    </row>
    <row r="241" spans="1:19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>
        <f t="shared" si="9"/>
        <v>2390.2199999999998</v>
      </c>
      <c r="Q241" s="22" t="str">
        <f t="shared" si="10"/>
        <v>low</v>
      </c>
      <c r="R241" s="22" t="str" cm="1">
        <f t="array" ref="R241">_xlfn.IFS(O241&gt;=20000,"high",O241&gt;=15000,"medium",O241&lt;15000,"low")</f>
        <v>low</v>
      </c>
      <c r="S241" s="22" t="str">
        <f t="shared" si="11"/>
        <v>low</v>
      </c>
    </row>
    <row r="242" spans="1:19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>
        <f t="shared" si="9"/>
        <v>11168.58</v>
      </c>
      <c r="Q242" s="22" t="str">
        <f t="shared" si="10"/>
        <v>low</v>
      </c>
      <c r="R242" s="22" t="str" cm="1">
        <f t="array" ref="R242">_xlfn.IFS(O242&gt;=20000,"high",O242&gt;=15000,"medium",O242&lt;15000,"low")</f>
        <v>low</v>
      </c>
      <c r="S242" s="22" t="str">
        <f t="shared" si="11"/>
        <v>low</v>
      </c>
    </row>
    <row r="243" spans="1:19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>
        <f t="shared" si="9"/>
        <v>18835.02</v>
      </c>
      <c r="Q243" s="22" t="str">
        <f t="shared" si="10"/>
        <v>high</v>
      </c>
      <c r="R243" s="22" t="str" cm="1">
        <f t="array" ref="R243">_xlfn.IFS(O243&gt;=20000,"high",O243&gt;=15000,"medium",O243&lt;15000,"low")</f>
        <v>medium</v>
      </c>
      <c r="S243" s="22" t="str">
        <f t="shared" si="11"/>
        <v>mid</v>
      </c>
    </row>
    <row r="244" spans="1:19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>
        <f t="shared" si="9"/>
        <v>1203.06</v>
      </c>
      <c r="Q244" s="22" t="str">
        <f t="shared" si="10"/>
        <v>low</v>
      </c>
      <c r="R244" s="22" t="str" cm="1">
        <f t="array" ref="R244">_xlfn.IFS(O244&gt;=20000,"high",O244&gt;=15000,"medium",O244&lt;15000,"low")</f>
        <v>low</v>
      </c>
      <c r="S244" s="22" t="str">
        <f t="shared" si="11"/>
        <v>low</v>
      </c>
    </row>
    <row r="245" spans="1:19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>
        <f t="shared" si="9"/>
        <v>2402.67</v>
      </c>
      <c r="Q245" s="22" t="str">
        <f t="shared" si="10"/>
        <v>low</v>
      </c>
      <c r="R245" s="22" t="str" cm="1">
        <f t="array" ref="R245">_xlfn.IFS(O245&gt;=20000,"high",O245&gt;=15000,"medium",O245&lt;15000,"low")</f>
        <v>low</v>
      </c>
      <c r="S245" s="22" t="str">
        <f t="shared" si="11"/>
        <v>low</v>
      </c>
    </row>
    <row r="246" spans="1:19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>
        <f t="shared" si="9"/>
        <v>12035.6</v>
      </c>
      <c r="Q246" s="22" t="str">
        <f t="shared" si="10"/>
        <v>low</v>
      </c>
      <c r="R246" s="22" t="str" cm="1">
        <f t="array" ref="R246">_xlfn.IFS(O246&gt;=20000,"high",O246&gt;=15000,"medium",O246&lt;15000,"low")</f>
        <v>low</v>
      </c>
      <c r="S246" s="22" t="str">
        <f t="shared" si="11"/>
        <v>low</v>
      </c>
    </row>
    <row r="247" spans="1:19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>
        <f t="shared" si="9"/>
        <v>3082.45</v>
      </c>
      <c r="Q247" s="22" t="str">
        <f t="shared" si="10"/>
        <v>low</v>
      </c>
      <c r="R247" s="22" t="str" cm="1">
        <f t="array" ref="R247">_xlfn.IFS(O247&gt;=20000,"high",O247&gt;=15000,"medium",O247&lt;15000,"low")</f>
        <v>low</v>
      </c>
      <c r="S247" s="22" t="str">
        <f t="shared" si="11"/>
        <v>low</v>
      </c>
    </row>
    <row r="248" spans="1:19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>
        <f t="shared" si="9"/>
        <v>14715.89</v>
      </c>
      <c r="Q248" s="22" t="str">
        <f t="shared" si="10"/>
        <v>low</v>
      </c>
      <c r="R248" s="22" t="str" cm="1">
        <f t="array" ref="R248">_xlfn.IFS(O248&gt;=20000,"high",O248&gt;=15000,"medium",O248&lt;15000,"low")</f>
        <v>low</v>
      </c>
      <c r="S248" s="22" t="str">
        <f t="shared" si="11"/>
        <v>low</v>
      </c>
    </row>
    <row r="249" spans="1:19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>
        <f t="shared" si="9"/>
        <v>18241.440000000002</v>
      </c>
      <c r="Q249" s="22" t="str">
        <f t="shared" si="10"/>
        <v>low</v>
      </c>
      <c r="R249" s="22" t="str" cm="1">
        <f t="array" ref="R249">_xlfn.IFS(O249&gt;=20000,"high",O249&gt;=15000,"medium",O249&lt;15000,"low")</f>
        <v>low</v>
      </c>
      <c r="S249" s="22" t="str">
        <f t="shared" si="11"/>
        <v>low</v>
      </c>
    </row>
    <row r="250" spans="1:19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>
        <f t="shared" si="9"/>
        <v>3942.92</v>
      </c>
      <c r="Q250" s="22" t="str">
        <f t="shared" si="10"/>
        <v>low</v>
      </c>
      <c r="R250" s="22" t="str" cm="1">
        <f t="array" ref="R250">_xlfn.IFS(O250&gt;=20000,"high",O250&gt;=15000,"medium",O250&lt;15000,"low")</f>
        <v>low</v>
      </c>
      <c r="S250" s="22" t="str">
        <f t="shared" si="11"/>
        <v>low</v>
      </c>
    </row>
    <row r="251" spans="1:19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>
        <f t="shared" si="9"/>
        <v>27961.38</v>
      </c>
      <c r="Q251" s="22" t="str">
        <f t="shared" si="10"/>
        <v>high</v>
      </c>
      <c r="R251" s="22" t="str" cm="1">
        <f t="array" ref="R251">_xlfn.IFS(O251&gt;=20000,"high",O251&gt;=15000,"medium",O251&lt;15000,"low")</f>
        <v>high</v>
      </c>
      <c r="S251" s="22" t="str">
        <f t="shared" si="11"/>
        <v>high</v>
      </c>
    </row>
    <row r="252" spans="1:19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>
        <f t="shared" si="9"/>
        <v>14578.32</v>
      </c>
      <c r="Q252" s="22" t="str">
        <f t="shared" si="10"/>
        <v>low</v>
      </c>
      <c r="R252" s="22" t="str" cm="1">
        <f t="array" ref="R252">_xlfn.IFS(O252&gt;=20000,"high",O252&gt;=15000,"medium",O252&lt;15000,"low")</f>
        <v>low</v>
      </c>
      <c r="S252" s="22" t="str">
        <f t="shared" si="11"/>
        <v>low</v>
      </c>
    </row>
    <row r="253" spans="1:19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>
        <f t="shared" si="9"/>
        <v>7475.2</v>
      </c>
      <c r="Q253" s="22" t="str">
        <f t="shared" si="10"/>
        <v>low</v>
      </c>
      <c r="R253" s="22" t="str" cm="1">
        <f t="array" ref="R253">_xlfn.IFS(O253&gt;=20000,"high",O253&gt;=15000,"medium",O253&lt;15000,"low")</f>
        <v>low</v>
      </c>
      <c r="S253" s="22" t="str">
        <f t="shared" si="11"/>
        <v>low</v>
      </c>
    </row>
    <row r="254" spans="1:19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>
        <f t="shared" si="9"/>
        <v>12661.35</v>
      </c>
      <c r="Q254" s="22" t="str">
        <f t="shared" si="10"/>
        <v>low</v>
      </c>
      <c r="R254" s="22" t="str" cm="1">
        <f t="array" ref="R254">_xlfn.IFS(O254&gt;=20000,"high",O254&gt;=15000,"medium",O254&lt;15000,"low")</f>
        <v>low</v>
      </c>
      <c r="S254" s="22" t="str">
        <f t="shared" si="11"/>
        <v>low</v>
      </c>
    </row>
    <row r="255" spans="1:19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>
        <f t="shared" si="9"/>
        <v>5423.32</v>
      </c>
      <c r="Q255" s="22" t="str">
        <f t="shared" si="10"/>
        <v>low</v>
      </c>
      <c r="R255" s="22" t="str" cm="1">
        <f t="array" ref="R255">_xlfn.IFS(O255&gt;=20000,"high",O255&gt;=15000,"medium",O255&lt;15000,"low")</f>
        <v>low</v>
      </c>
      <c r="S255" s="22" t="str">
        <f t="shared" si="11"/>
        <v>low</v>
      </c>
    </row>
    <row r="256" spans="1:19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>
        <f t="shared" si="9"/>
        <v>18699.659999999996</v>
      </c>
      <c r="Q256" s="22" t="str">
        <f t="shared" si="10"/>
        <v>high</v>
      </c>
      <c r="R256" s="22" t="str" cm="1">
        <f t="array" ref="R256">_xlfn.IFS(O256&gt;=20000,"high",O256&gt;=15000,"medium",O256&lt;15000,"low")</f>
        <v>medium</v>
      </c>
      <c r="S256" s="22" t="str">
        <f t="shared" si="11"/>
        <v>mid</v>
      </c>
    </row>
    <row r="257" spans="1:19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>
        <f t="shared" si="9"/>
        <v>15796.32</v>
      </c>
      <c r="Q257" s="22" t="str">
        <f t="shared" si="10"/>
        <v>high</v>
      </c>
      <c r="R257" s="22" t="str" cm="1">
        <f t="array" ref="R257">_xlfn.IFS(O257&gt;=20000,"high",O257&gt;=15000,"medium",O257&lt;15000,"low")</f>
        <v>medium</v>
      </c>
      <c r="S257" s="22" t="str">
        <f t="shared" si="11"/>
        <v>mid</v>
      </c>
    </row>
    <row r="258" spans="1:19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>
        <f t="shared" si="9"/>
        <v>721.8</v>
      </c>
      <c r="Q258" s="22" t="str">
        <f t="shared" si="10"/>
        <v>low</v>
      </c>
      <c r="R258" s="22" t="str" cm="1">
        <f t="array" ref="R258">_xlfn.IFS(O258&gt;=20000,"high",O258&gt;=15000,"medium",O258&lt;15000,"low")</f>
        <v>low</v>
      </c>
      <c r="S258" s="22" t="str">
        <f t="shared" si="11"/>
        <v>low</v>
      </c>
    </row>
    <row r="259" spans="1:19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>
        <f t="shared" ref="P259:P322" si="12">L259*M259</f>
        <v>12628.35</v>
      </c>
      <c r="Q259" s="22" t="str">
        <f t="shared" ref="Q259:Q322" si="13">IF(O259&gt;=15000,"high","low")</f>
        <v>low</v>
      </c>
      <c r="R259" s="22" t="str" cm="1">
        <f t="array" ref="R259">_xlfn.IFS(O259&gt;=20000,"high",O259&gt;=15000,"medium",O259&lt;15000,"low")</f>
        <v>low</v>
      </c>
      <c r="S259" s="22" t="str">
        <f t="shared" ref="S259:S322" si="14">IF(O259&gt;=20000,"high",IF(O259&gt;=15000,"mid","low"))</f>
        <v>low</v>
      </c>
    </row>
    <row r="260" spans="1:19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>
        <f t="shared" si="12"/>
        <v>11015.19</v>
      </c>
      <c r="Q260" s="22" t="str">
        <f t="shared" si="13"/>
        <v>low</v>
      </c>
      <c r="R260" s="22" t="str" cm="1">
        <f t="array" ref="R260">_xlfn.IFS(O260&gt;=20000,"high",O260&gt;=15000,"medium",O260&lt;15000,"low")</f>
        <v>low</v>
      </c>
      <c r="S260" s="22" t="str">
        <f t="shared" si="14"/>
        <v>low</v>
      </c>
    </row>
    <row r="261" spans="1:19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>
        <f t="shared" si="12"/>
        <v>1941.96</v>
      </c>
      <c r="Q261" s="22" t="str">
        <f t="shared" si="13"/>
        <v>low</v>
      </c>
      <c r="R261" s="22" t="str" cm="1">
        <f t="array" ref="R261">_xlfn.IFS(O261&gt;=20000,"high",O261&gt;=15000,"medium",O261&lt;15000,"low")</f>
        <v>low</v>
      </c>
      <c r="S261" s="22" t="str">
        <f t="shared" si="14"/>
        <v>low</v>
      </c>
    </row>
    <row r="262" spans="1:19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>
        <f t="shared" si="12"/>
        <v>1066.5</v>
      </c>
      <c r="Q262" s="22" t="str">
        <f t="shared" si="13"/>
        <v>low</v>
      </c>
      <c r="R262" s="22" t="str" cm="1">
        <f t="array" ref="R262">_xlfn.IFS(O262&gt;=20000,"high",O262&gt;=15000,"medium",O262&lt;15000,"low")</f>
        <v>low</v>
      </c>
      <c r="S262" s="22" t="str">
        <f t="shared" si="14"/>
        <v>low</v>
      </c>
    </row>
    <row r="263" spans="1:19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>
        <f t="shared" si="12"/>
        <v>17306.03</v>
      </c>
      <c r="Q263" s="22" t="str">
        <f t="shared" si="13"/>
        <v>high</v>
      </c>
      <c r="R263" s="22" t="str" cm="1">
        <f t="array" ref="R263">_xlfn.IFS(O263&gt;=20000,"high",O263&gt;=15000,"medium",O263&lt;15000,"low")</f>
        <v>medium</v>
      </c>
      <c r="S263" s="22" t="str">
        <f t="shared" si="14"/>
        <v>mid</v>
      </c>
    </row>
    <row r="264" spans="1:19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>
        <f t="shared" si="12"/>
        <v>15161.02</v>
      </c>
      <c r="Q264" s="22" t="str">
        <f t="shared" si="13"/>
        <v>high</v>
      </c>
      <c r="R264" s="22" t="str" cm="1">
        <f t="array" ref="R264">_xlfn.IFS(O264&gt;=20000,"high",O264&gt;=15000,"medium",O264&lt;15000,"low")</f>
        <v>medium</v>
      </c>
      <c r="S264" s="22" t="str">
        <f t="shared" si="14"/>
        <v>mid</v>
      </c>
    </row>
    <row r="265" spans="1:19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>
        <f t="shared" si="12"/>
        <v>4505.2</v>
      </c>
      <c r="Q265" s="22" t="str">
        <f t="shared" si="13"/>
        <v>low</v>
      </c>
      <c r="R265" s="22" t="str" cm="1">
        <f t="array" ref="R265">_xlfn.IFS(O265&gt;=20000,"high",O265&gt;=15000,"medium",O265&lt;15000,"low")</f>
        <v>low</v>
      </c>
      <c r="S265" s="22" t="str">
        <f t="shared" si="14"/>
        <v>low</v>
      </c>
    </row>
    <row r="266" spans="1:19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>
        <f t="shared" si="12"/>
        <v>17668.440000000002</v>
      </c>
      <c r="Q266" s="22" t="str">
        <f t="shared" si="13"/>
        <v>low</v>
      </c>
      <c r="R266" s="22" t="str" cm="1">
        <f t="array" ref="R266">_xlfn.IFS(O266&gt;=20000,"high",O266&gt;=15000,"medium",O266&lt;15000,"low")</f>
        <v>low</v>
      </c>
      <c r="S266" s="22" t="str">
        <f t="shared" si="14"/>
        <v>low</v>
      </c>
    </row>
    <row r="267" spans="1:19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>
        <f t="shared" si="12"/>
        <v>16360.72</v>
      </c>
      <c r="Q267" s="22" t="str">
        <f t="shared" si="13"/>
        <v>low</v>
      </c>
      <c r="R267" s="22" t="str" cm="1">
        <f t="array" ref="R267">_xlfn.IFS(O267&gt;=20000,"high",O267&gt;=15000,"medium",O267&lt;15000,"low")</f>
        <v>low</v>
      </c>
      <c r="S267" s="22" t="str">
        <f t="shared" si="14"/>
        <v>low</v>
      </c>
    </row>
    <row r="268" spans="1:19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>
        <f t="shared" si="12"/>
        <v>900.78</v>
      </c>
      <c r="Q268" s="22" t="str">
        <f t="shared" si="13"/>
        <v>low</v>
      </c>
      <c r="R268" s="22" t="str" cm="1">
        <f t="array" ref="R268">_xlfn.IFS(O268&gt;=20000,"high",O268&gt;=15000,"medium",O268&lt;15000,"low")</f>
        <v>low</v>
      </c>
      <c r="S268" s="22" t="str">
        <f t="shared" si="14"/>
        <v>low</v>
      </c>
    </row>
    <row r="269" spans="1:19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>
        <f t="shared" si="12"/>
        <v>2660.56</v>
      </c>
      <c r="Q269" s="22" t="str">
        <f t="shared" si="13"/>
        <v>low</v>
      </c>
      <c r="R269" s="22" t="str" cm="1">
        <f t="array" ref="R269">_xlfn.IFS(O269&gt;=20000,"high",O269&gt;=15000,"medium",O269&lt;15000,"low")</f>
        <v>low</v>
      </c>
      <c r="S269" s="22" t="str">
        <f t="shared" si="14"/>
        <v>low</v>
      </c>
    </row>
    <row r="270" spans="1:19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>
        <f t="shared" si="12"/>
        <v>15782.7</v>
      </c>
      <c r="Q270" s="22" t="str">
        <f t="shared" si="13"/>
        <v>low</v>
      </c>
      <c r="R270" s="22" t="str" cm="1">
        <f t="array" ref="R270">_xlfn.IFS(O270&gt;=20000,"high",O270&gt;=15000,"medium",O270&lt;15000,"low")</f>
        <v>low</v>
      </c>
      <c r="S270" s="22" t="str">
        <f t="shared" si="14"/>
        <v>low</v>
      </c>
    </row>
    <row r="271" spans="1:19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>
        <f t="shared" si="12"/>
        <v>19182.78</v>
      </c>
      <c r="Q271" s="22" t="str">
        <f t="shared" si="13"/>
        <v>high</v>
      </c>
      <c r="R271" s="22" t="str" cm="1">
        <f t="array" ref="R271">_xlfn.IFS(O271&gt;=20000,"high",O271&gt;=15000,"medium",O271&lt;15000,"low")</f>
        <v>medium</v>
      </c>
      <c r="S271" s="22" t="str">
        <f t="shared" si="14"/>
        <v>mid</v>
      </c>
    </row>
    <row r="272" spans="1:19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>
        <f t="shared" si="12"/>
        <v>7408.5300000000007</v>
      </c>
      <c r="Q272" s="22" t="str">
        <f t="shared" si="13"/>
        <v>low</v>
      </c>
      <c r="R272" s="22" t="str" cm="1">
        <f t="array" ref="R272">_xlfn.IFS(O272&gt;=20000,"high",O272&gt;=15000,"medium",O272&lt;15000,"low")</f>
        <v>low</v>
      </c>
      <c r="S272" s="22" t="str">
        <f t="shared" si="14"/>
        <v>low</v>
      </c>
    </row>
    <row r="273" spans="1:19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>
        <f t="shared" si="12"/>
        <v>19078.29</v>
      </c>
      <c r="Q273" s="22" t="str">
        <f t="shared" si="13"/>
        <v>high</v>
      </c>
      <c r="R273" s="22" t="str" cm="1">
        <f t="array" ref="R273">_xlfn.IFS(O273&gt;=20000,"high",O273&gt;=15000,"medium",O273&lt;15000,"low")</f>
        <v>medium</v>
      </c>
      <c r="S273" s="22" t="str">
        <f t="shared" si="14"/>
        <v>mid</v>
      </c>
    </row>
    <row r="274" spans="1:19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>
        <f t="shared" si="12"/>
        <v>2309.2799999999997</v>
      </c>
      <c r="Q274" s="22" t="str">
        <f t="shared" si="13"/>
        <v>low</v>
      </c>
      <c r="R274" s="22" t="str" cm="1">
        <f t="array" ref="R274">_xlfn.IFS(O274&gt;=20000,"high",O274&gt;=15000,"medium",O274&lt;15000,"low")</f>
        <v>low</v>
      </c>
      <c r="S274" s="22" t="str">
        <f t="shared" si="14"/>
        <v>low</v>
      </c>
    </row>
    <row r="275" spans="1:19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>
        <f t="shared" si="12"/>
        <v>5032.6000000000004</v>
      </c>
      <c r="Q275" s="22" t="str">
        <f t="shared" si="13"/>
        <v>low</v>
      </c>
      <c r="R275" s="22" t="str" cm="1">
        <f t="array" ref="R275">_xlfn.IFS(O275&gt;=20000,"high",O275&gt;=15000,"medium",O275&lt;15000,"low")</f>
        <v>low</v>
      </c>
      <c r="S275" s="22" t="str">
        <f t="shared" si="14"/>
        <v>low</v>
      </c>
    </row>
    <row r="276" spans="1:19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>
        <f t="shared" si="12"/>
        <v>3563.7000000000003</v>
      </c>
      <c r="Q276" s="22" t="str">
        <f t="shared" si="13"/>
        <v>low</v>
      </c>
      <c r="R276" s="22" t="str" cm="1">
        <f t="array" ref="R276">_xlfn.IFS(O276&gt;=20000,"high",O276&gt;=15000,"medium",O276&lt;15000,"low")</f>
        <v>low</v>
      </c>
      <c r="S276" s="22" t="str">
        <f t="shared" si="14"/>
        <v>low</v>
      </c>
    </row>
    <row r="277" spans="1:19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>
        <f t="shared" si="12"/>
        <v>30885.759999999998</v>
      </c>
      <c r="Q277" s="22" t="str">
        <f t="shared" si="13"/>
        <v>high</v>
      </c>
      <c r="R277" s="22" t="str" cm="1">
        <f t="array" ref="R277">_xlfn.IFS(O277&gt;=20000,"high",O277&gt;=15000,"medium",O277&lt;15000,"low")</f>
        <v>high</v>
      </c>
      <c r="S277" s="22" t="str">
        <f t="shared" si="14"/>
        <v>high</v>
      </c>
    </row>
    <row r="278" spans="1:19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>
        <f t="shared" si="12"/>
        <v>6030.5399999999991</v>
      </c>
      <c r="Q278" s="22" t="str">
        <f t="shared" si="13"/>
        <v>low</v>
      </c>
      <c r="R278" s="22" t="str" cm="1">
        <f t="array" ref="R278">_xlfn.IFS(O278&gt;=20000,"high",O278&gt;=15000,"medium",O278&lt;15000,"low")</f>
        <v>low</v>
      </c>
      <c r="S278" s="22" t="str">
        <f t="shared" si="14"/>
        <v>low</v>
      </c>
    </row>
    <row r="279" spans="1:19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>
        <f t="shared" si="12"/>
        <v>4406.04</v>
      </c>
      <c r="Q279" s="22" t="str">
        <f t="shared" si="13"/>
        <v>low</v>
      </c>
      <c r="R279" s="22" t="str" cm="1">
        <f t="array" ref="R279">_xlfn.IFS(O279&gt;=20000,"high",O279&gt;=15000,"medium",O279&lt;15000,"low")</f>
        <v>low</v>
      </c>
      <c r="S279" s="22" t="str">
        <f t="shared" si="14"/>
        <v>low</v>
      </c>
    </row>
    <row r="280" spans="1:19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>
        <f t="shared" si="12"/>
        <v>21449.22</v>
      </c>
      <c r="Q280" s="22" t="str">
        <f t="shared" si="13"/>
        <v>high</v>
      </c>
      <c r="R280" s="22" t="str" cm="1">
        <f t="array" ref="R280">_xlfn.IFS(O280&gt;=20000,"high",O280&gt;=15000,"medium",O280&lt;15000,"low")</f>
        <v>high</v>
      </c>
      <c r="S280" s="22" t="str">
        <f t="shared" si="14"/>
        <v>high</v>
      </c>
    </row>
    <row r="281" spans="1:19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>
        <f t="shared" si="12"/>
        <v>30272.959999999999</v>
      </c>
      <c r="Q281" s="22" t="str">
        <f t="shared" si="13"/>
        <v>high</v>
      </c>
      <c r="R281" s="22" t="str" cm="1">
        <f t="array" ref="R281">_xlfn.IFS(O281&gt;=20000,"high",O281&gt;=15000,"medium",O281&lt;15000,"low")</f>
        <v>high</v>
      </c>
      <c r="S281" s="22" t="str">
        <f t="shared" si="14"/>
        <v>high</v>
      </c>
    </row>
    <row r="282" spans="1:19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>
        <f t="shared" si="12"/>
        <v>15492.2</v>
      </c>
      <c r="Q282" s="22" t="str">
        <f t="shared" si="13"/>
        <v>high</v>
      </c>
      <c r="R282" s="22" t="str" cm="1">
        <f t="array" ref="R282">_xlfn.IFS(O282&gt;=20000,"high",O282&gt;=15000,"medium",O282&lt;15000,"low")</f>
        <v>medium</v>
      </c>
      <c r="S282" s="22" t="str">
        <f t="shared" si="14"/>
        <v>mid</v>
      </c>
    </row>
    <row r="283" spans="1:19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>
        <f t="shared" si="12"/>
        <v>512.43000000000006</v>
      </c>
      <c r="Q283" s="22" t="str">
        <f t="shared" si="13"/>
        <v>low</v>
      </c>
      <c r="R283" s="22" t="str" cm="1">
        <f t="array" ref="R283">_xlfn.IFS(O283&gt;=20000,"high",O283&gt;=15000,"medium",O283&lt;15000,"low")</f>
        <v>low</v>
      </c>
      <c r="S283" s="22" t="str">
        <f t="shared" si="14"/>
        <v>low</v>
      </c>
    </row>
    <row r="284" spans="1:19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>
        <f t="shared" si="12"/>
        <v>465.54</v>
      </c>
      <c r="Q284" s="22" t="str">
        <f t="shared" si="13"/>
        <v>low</v>
      </c>
      <c r="R284" s="22" t="str" cm="1">
        <f t="array" ref="R284">_xlfn.IFS(O284&gt;=20000,"high",O284&gt;=15000,"medium",O284&lt;15000,"low")</f>
        <v>low</v>
      </c>
      <c r="S284" s="22" t="str">
        <f t="shared" si="14"/>
        <v>low</v>
      </c>
    </row>
    <row r="285" spans="1:19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>
        <f t="shared" si="12"/>
        <v>9634.14</v>
      </c>
      <c r="Q285" s="22" t="str">
        <f t="shared" si="13"/>
        <v>low</v>
      </c>
      <c r="R285" s="22" t="str" cm="1">
        <f t="array" ref="R285">_xlfn.IFS(O285&gt;=20000,"high",O285&gt;=15000,"medium",O285&lt;15000,"low")</f>
        <v>low</v>
      </c>
      <c r="S285" s="22" t="str">
        <f t="shared" si="14"/>
        <v>low</v>
      </c>
    </row>
    <row r="286" spans="1:19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>
        <f t="shared" si="12"/>
        <v>1404.14</v>
      </c>
      <c r="Q286" s="22" t="str">
        <f t="shared" si="13"/>
        <v>low</v>
      </c>
      <c r="R286" s="22" t="str" cm="1">
        <f t="array" ref="R286">_xlfn.IFS(O286&gt;=20000,"high",O286&gt;=15000,"medium",O286&lt;15000,"low")</f>
        <v>low</v>
      </c>
      <c r="S286" s="22" t="str">
        <f t="shared" si="14"/>
        <v>low</v>
      </c>
    </row>
    <row r="287" spans="1:19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>
        <f t="shared" si="12"/>
        <v>1324.74</v>
      </c>
      <c r="Q287" s="22" t="str">
        <f t="shared" si="13"/>
        <v>low</v>
      </c>
      <c r="R287" s="22" t="str" cm="1">
        <f t="array" ref="R287">_xlfn.IFS(O287&gt;=20000,"high",O287&gt;=15000,"medium",O287&lt;15000,"low")</f>
        <v>low</v>
      </c>
      <c r="S287" s="22" t="str">
        <f t="shared" si="14"/>
        <v>low</v>
      </c>
    </row>
    <row r="288" spans="1:19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>
        <f t="shared" si="12"/>
        <v>11619.960000000001</v>
      </c>
      <c r="Q288" s="22" t="str">
        <f t="shared" si="13"/>
        <v>low</v>
      </c>
      <c r="R288" s="22" t="str" cm="1">
        <f t="array" ref="R288">_xlfn.IFS(O288&gt;=20000,"high",O288&gt;=15000,"medium",O288&lt;15000,"low")</f>
        <v>low</v>
      </c>
      <c r="S288" s="22" t="str">
        <f t="shared" si="14"/>
        <v>low</v>
      </c>
    </row>
    <row r="289" spans="1:19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>
        <f t="shared" si="12"/>
        <v>30246.32</v>
      </c>
      <c r="Q289" s="22" t="str">
        <f t="shared" si="13"/>
        <v>high</v>
      </c>
      <c r="R289" s="22" t="str" cm="1">
        <f t="array" ref="R289">_xlfn.IFS(O289&gt;=20000,"high",O289&gt;=15000,"medium",O289&lt;15000,"low")</f>
        <v>high</v>
      </c>
      <c r="S289" s="22" t="str">
        <f t="shared" si="14"/>
        <v>high</v>
      </c>
    </row>
    <row r="290" spans="1:19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>
        <f t="shared" si="12"/>
        <v>9776.9700000000012</v>
      </c>
      <c r="Q290" s="22" t="str">
        <f t="shared" si="13"/>
        <v>low</v>
      </c>
      <c r="R290" s="22" t="str" cm="1">
        <f t="array" ref="R290">_xlfn.IFS(O290&gt;=20000,"high",O290&gt;=15000,"medium",O290&lt;15000,"low")</f>
        <v>low</v>
      </c>
      <c r="S290" s="22" t="str">
        <f t="shared" si="14"/>
        <v>low</v>
      </c>
    </row>
    <row r="291" spans="1:19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>
        <f t="shared" si="12"/>
        <v>21563.119999999999</v>
      </c>
      <c r="Q291" s="22" t="str">
        <f t="shared" si="13"/>
        <v>high</v>
      </c>
      <c r="R291" s="22" t="str" cm="1">
        <f t="array" ref="R291">_xlfn.IFS(O291&gt;=20000,"high",O291&gt;=15000,"medium",O291&lt;15000,"low")</f>
        <v>medium</v>
      </c>
      <c r="S291" s="22" t="str">
        <f t="shared" si="14"/>
        <v>mid</v>
      </c>
    </row>
    <row r="292" spans="1:19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>
        <f t="shared" si="12"/>
        <v>23949.99</v>
      </c>
      <c r="Q292" s="22" t="str">
        <f t="shared" si="13"/>
        <v>high</v>
      </c>
      <c r="R292" s="22" t="str" cm="1">
        <f t="array" ref="R292">_xlfn.IFS(O292&gt;=20000,"high",O292&gt;=15000,"medium",O292&lt;15000,"low")</f>
        <v>high</v>
      </c>
      <c r="S292" s="22" t="str">
        <f t="shared" si="14"/>
        <v>high</v>
      </c>
    </row>
    <row r="293" spans="1:19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>
        <f t="shared" si="12"/>
        <v>6699.9600000000009</v>
      </c>
      <c r="Q293" s="22" t="str">
        <f t="shared" si="13"/>
        <v>low</v>
      </c>
      <c r="R293" s="22" t="str" cm="1">
        <f t="array" ref="R293">_xlfn.IFS(O293&gt;=20000,"high",O293&gt;=15000,"medium",O293&lt;15000,"low")</f>
        <v>low</v>
      </c>
      <c r="S293" s="22" t="str">
        <f t="shared" si="14"/>
        <v>low</v>
      </c>
    </row>
    <row r="294" spans="1:19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>
        <f t="shared" si="12"/>
        <v>7962.42</v>
      </c>
      <c r="Q294" s="22" t="str">
        <f t="shared" si="13"/>
        <v>low</v>
      </c>
      <c r="R294" s="22" t="str" cm="1">
        <f t="array" ref="R294">_xlfn.IFS(O294&gt;=20000,"high",O294&gt;=15000,"medium",O294&lt;15000,"low")</f>
        <v>low</v>
      </c>
      <c r="S294" s="22" t="str">
        <f t="shared" si="14"/>
        <v>low</v>
      </c>
    </row>
    <row r="295" spans="1:19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>
        <f t="shared" si="12"/>
        <v>2902.4700000000003</v>
      </c>
      <c r="Q295" s="22" t="str">
        <f t="shared" si="13"/>
        <v>low</v>
      </c>
      <c r="R295" s="22" t="str" cm="1">
        <f t="array" ref="R295">_xlfn.IFS(O295&gt;=20000,"high",O295&gt;=15000,"medium",O295&lt;15000,"low")</f>
        <v>low</v>
      </c>
      <c r="S295" s="22" t="str">
        <f t="shared" si="14"/>
        <v>low</v>
      </c>
    </row>
    <row r="296" spans="1:19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>
        <f t="shared" si="12"/>
        <v>619.73</v>
      </c>
      <c r="Q296" s="22" t="str">
        <f t="shared" si="13"/>
        <v>low</v>
      </c>
      <c r="R296" s="22" t="str" cm="1">
        <f t="array" ref="R296">_xlfn.IFS(O296&gt;=20000,"high",O296&gt;=15000,"medium",O296&lt;15000,"low")</f>
        <v>low</v>
      </c>
      <c r="S296" s="22" t="str">
        <f t="shared" si="14"/>
        <v>low</v>
      </c>
    </row>
    <row r="297" spans="1:19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>
        <f t="shared" si="12"/>
        <v>14251.65</v>
      </c>
      <c r="Q297" s="22" t="str">
        <f t="shared" si="13"/>
        <v>low</v>
      </c>
      <c r="R297" s="22" t="str" cm="1">
        <f t="array" ref="R297">_xlfn.IFS(O297&gt;=20000,"high",O297&gt;=15000,"medium",O297&lt;15000,"low")</f>
        <v>low</v>
      </c>
      <c r="S297" s="22" t="str">
        <f t="shared" si="14"/>
        <v>low</v>
      </c>
    </row>
    <row r="298" spans="1:19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>
        <f t="shared" si="12"/>
        <v>2347</v>
      </c>
      <c r="Q298" s="22" t="str">
        <f t="shared" si="13"/>
        <v>low</v>
      </c>
      <c r="R298" s="22" t="str" cm="1">
        <f t="array" ref="R298">_xlfn.IFS(O298&gt;=20000,"high",O298&gt;=15000,"medium",O298&lt;15000,"low")</f>
        <v>low</v>
      </c>
      <c r="S298" s="22" t="str">
        <f t="shared" si="14"/>
        <v>low</v>
      </c>
    </row>
    <row r="299" spans="1:19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>
        <f t="shared" si="12"/>
        <v>35892.9</v>
      </c>
      <c r="Q299" s="22" t="str">
        <f t="shared" si="13"/>
        <v>high</v>
      </c>
      <c r="R299" s="22" t="str" cm="1">
        <f t="array" ref="R299">_xlfn.IFS(O299&gt;=20000,"high",O299&gt;=15000,"medium",O299&lt;15000,"low")</f>
        <v>high</v>
      </c>
      <c r="S299" s="22" t="str">
        <f t="shared" si="14"/>
        <v>high</v>
      </c>
    </row>
    <row r="300" spans="1:19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>
        <f t="shared" si="12"/>
        <v>7706.61</v>
      </c>
      <c r="Q300" s="22" t="str">
        <f t="shared" si="13"/>
        <v>low</v>
      </c>
      <c r="R300" s="22" t="str" cm="1">
        <f t="array" ref="R300">_xlfn.IFS(O300&gt;=20000,"high",O300&gt;=15000,"medium",O300&lt;15000,"low")</f>
        <v>low</v>
      </c>
      <c r="S300" s="22" t="str">
        <f t="shared" si="14"/>
        <v>low</v>
      </c>
    </row>
    <row r="301" spans="1:19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>
        <f t="shared" si="12"/>
        <v>12187.25</v>
      </c>
      <c r="Q301" s="22" t="str">
        <f t="shared" si="13"/>
        <v>low</v>
      </c>
      <c r="R301" s="22" t="str" cm="1">
        <f t="array" ref="R301">_xlfn.IFS(O301&gt;=20000,"high",O301&gt;=15000,"medium",O301&lt;15000,"low")</f>
        <v>low</v>
      </c>
      <c r="S301" s="22" t="str">
        <f t="shared" si="14"/>
        <v>low</v>
      </c>
    </row>
    <row r="302" spans="1:19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>
        <f t="shared" si="12"/>
        <v>6935.16</v>
      </c>
      <c r="Q302" s="22" t="str">
        <f t="shared" si="13"/>
        <v>low</v>
      </c>
      <c r="R302" s="22" t="str" cm="1">
        <f t="array" ref="R302">_xlfn.IFS(O302&gt;=20000,"high",O302&gt;=15000,"medium",O302&lt;15000,"low")</f>
        <v>low</v>
      </c>
      <c r="S302" s="22" t="str">
        <f t="shared" si="14"/>
        <v>low</v>
      </c>
    </row>
    <row r="303" spans="1:19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>
        <f t="shared" si="12"/>
        <v>4456.13</v>
      </c>
      <c r="Q303" s="22" t="str">
        <f t="shared" si="13"/>
        <v>low</v>
      </c>
      <c r="R303" s="22" t="str" cm="1">
        <f t="array" ref="R303">_xlfn.IFS(O303&gt;=20000,"high",O303&gt;=15000,"medium",O303&lt;15000,"low")</f>
        <v>low</v>
      </c>
      <c r="S303" s="22" t="str">
        <f t="shared" si="14"/>
        <v>low</v>
      </c>
    </row>
    <row r="304" spans="1:19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>
        <f t="shared" si="12"/>
        <v>1543.1999999999998</v>
      </c>
      <c r="Q304" s="22" t="str">
        <f t="shared" si="13"/>
        <v>low</v>
      </c>
      <c r="R304" s="22" t="str" cm="1">
        <f t="array" ref="R304">_xlfn.IFS(O304&gt;=20000,"high",O304&gt;=15000,"medium",O304&lt;15000,"low")</f>
        <v>low</v>
      </c>
      <c r="S304" s="22" t="str">
        <f t="shared" si="14"/>
        <v>low</v>
      </c>
    </row>
    <row r="305" spans="1:19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>
        <f t="shared" si="12"/>
        <v>10190.08</v>
      </c>
      <c r="Q305" s="22" t="str">
        <f t="shared" si="13"/>
        <v>low</v>
      </c>
      <c r="R305" s="22" t="str" cm="1">
        <f t="array" ref="R305">_xlfn.IFS(O305&gt;=20000,"high",O305&gt;=15000,"medium",O305&lt;15000,"low")</f>
        <v>low</v>
      </c>
      <c r="S305" s="22" t="str">
        <f t="shared" si="14"/>
        <v>low</v>
      </c>
    </row>
    <row r="306" spans="1:19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>
        <f t="shared" si="12"/>
        <v>6512.04</v>
      </c>
      <c r="Q306" s="22" t="str">
        <f t="shared" si="13"/>
        <v>low</v>
      </c>
      <c r="R306" s="22" t="str" cm="1">
        <f t="array" ref="R306">_xlfn.IFS(O306&gt;=20000,"high",O306&gt;=15000,"medium",O306&lt;15000,"low")</f>
        <v>low</v>
      </c>
      <c r="S306" s="22" t="str">
        <f t="shared" si="14"/>
        <v>low</v>
      </c>
    </row>
    <row r="307" spans="1:19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>
        <f t="shared" si="12"/>
        <v>3391.76</v>
      </c>
      <c r="Q307" s="22" t="str">
        <f t="shared" si="13"/>
        <v>low</v>
      </c>
      <c r="R307" s="22" t="str" cm="1">
        <f t="array" ref="R307">_xlfn.IFS(O307&gt;=20000,"high",O307&gt;=15000,"medium",O307&lt;15000,"low")</f>
        <v>low</v>
      </c>
      <c r="S307" s="22" t="str">
        <f t="shared" si="14"/>
        <v>low</v>
      </c>
    </row>
    <row r="308" spans="1:19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>
        <f t="shared" si="12"/>
        <v>8033.8</v>
      </c>
      <c r="Q308" s="22" t="str">
        <f t="shared" si="13"/>
        <v>low</v>
      </c>
      <c r="R308" s="22" t="str" cm="1">
        <f t="array" ref="R308">_xlfn.IFS(O308&gt;=20000,"high",O308&gt;=15000,"medium",O308&lt;15000,"low")</f>
        <v>low</v>
      </c>
      <c r="S308" s="22" t="str">
        <f t="shared" si="14"/>
        <v>low</v>
      </c>
    </row>
    <row r="309" spans="1:19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>
        <f t="shared" si="12"/>
        <v>12572.8</v>
      </c>
      <c r="Q309" s="22" t="str">
        <f t="shared" si="13"/>
        <v>low</v>
      </c>
      <c r="R309" s="22" t="str" cm="1">
        <f t="array" ref="R309">_xlfn.IFS(O309&gt;=20000,"high",O309&gt;=15000,"medium",O309&lt;15000,"low")</f>
        <v>low</v>
      </c>
      <c r="S309" s="22" t="str">
        <f t="shared" si="14"/>
        <v>low</v>
      </c>
    </row>
    <row r="310" spans="1:19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>
        <f t="shared" si="12"/>
        <v>2740.46</v>
      </c>
      <c r="Q310" s="22" t="str">
        <f t="shared" si="13"/>
        <v>low</v>
      </c>
      <c r="R310" s="22" t="str" cm="1">
        <f t="array" ref="R310">_xlfn.IFS(O310&gt;=20000,"high",O310&gt;=15000,"medium",O310&lt;15000,"low")</f>
        <v>low</v>
      </c>
      <c r="S310" s="22" t="str">
        <f t="shared" si="14"/>
        <v>low</v>
      </c>
    </row>
    <row r="311" spans="1:19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>
        <f t="shared" si="12"/>
        <v>17630.28</v>
      </c>
      <c r="Q311" s="22" t="str">
        <f t="shared" si="13"/>
        <v>high</v>
      </c>
      <c r="R311" s="22" t="str" cm="1">
        <f t="array" ref="R311">_xlfn.IFS(O311&gt;=20000,"high",O311&gt;=15000,"medium",O311&lt;15000,"low")</f>
        <v>medium</v>
      </c>
      <c r="S311" s="22" t="str">
        <f t="shared" si="14"/>
        <v>mid</v>
      </c>
    </row>
    <row r="312" spans="1:19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>
        <f t="shared" si="12"/>
        <v>8186.04</v>
      </c>
      <c r="Q312" s="22" t="str">
        <f t="shared" si="13"/>
        <v>low</v>
      </c>
      <c r="R312" s="22" t="str" cm="1">
        <f t="array" ref="R312">_xlfn.IFS(O312&gt;=20000,"high",O312&gt;=15000,"medium",O312&lt;15000,"low")</f>
        <v>low</v>
      </c>
      <c r="S312" s="22" t="str">
        <f t="shared" si="14"/>
        <v>low</v>
      </c>
    </row>
    <row r="313" spans="1:19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>
        <f t="shared" si="12"/>
        <v>2588.64</v>
      </c>
      <c r="Q313" s="22" t="str">
        <f t="shared" si="13"/>
        <v>low</v>
      </c>
      <c r="R313" s="22" t="str" cm="1">
        <f t="array" ref="R313">_xlfn.IFS(O313&gt;=20000,"high",O313&gt;=15000,"medium",O313&lt;15000,"low")</f>
        <v>low</v>
      </c>
      <c r="S313" s="22" t="str">
        <f t="shared" si="14"/>
        <v>low</v>
      </c>
    </row>
    <row r="314" spans="1:19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>
        <f t="shared" si="12"/>
        <v>3251.27</v>
      </c>
      <c r="Q314" s="22" t="str">
        <f t="shared" si="13"/>
        <v>low</v>
      </c>
      <c r="R314" s="22" t="str" cm="1">
        <f t="array" ref="R314">_xlfn.IFS(O314&gt;=20000,"high",O314&gt;=15000,"medium",O314&lt;15000,"low")</f>
        <v>low</v>
      </c>
      <c r="S314" s="22" t="str">
        <f t="shared" si="14"/>
        <v>low</v>
      </c>
    </row>
    <row r="315" spans="1:19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>
        <f t="shared" si="12"/>
        <v>1681.85</v>
      </c>
      <c r="Q315" s="22" t="str">
        <f t="shared" si="13"/>
        <v>low</v>
      </c>
      <c r="R315" s="22" t="str" cm="1">
        <f t="array" ref="R315">_xlfn.IFS(O315&gt;=20000,"high",O315&gt;=15000,"medium",O315&lt;15000,"low")</f>
        <v>low</v>
      </c>
      <c r="S315" s="22" t="str">
        <f t="shared" si="14"/>
        <v>low</v>
      </c>
    </row>
    <row r="316" spans="1:19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>
        <f t="shared" si="12"/>
        <v>26024.16</v>
      </c>
      <c r="Q316" s="22" t="str">
        <f t="shared" si="13"/>
        <v>high</v>
      </c>
      <c r="R316" s="22" t="str" cm="1">
        <f t="array" ref="R316">_xlfn.IFS(O316&gt;=20000,"high",O316&gt;=15000,"medium",O316&lt;15000,"low")</f>
        <v>high</v>
      </c>
      <c r="S316" s="22" t="str">
        <f t="shared" si="14"/>
        <v>high</v>
      </c>
    </row>
    <row r="317" spans="1:19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>
        <f t="shared" si="12"/>
        <v>19434.080000000002</v>
      </c>
      <c r="Q317" s="22" t="str">
        <f t="shared" si="13"/>
        <v>high</v>
      </c>
      <c r="R317" s="22" t="str" cm="1">
        <f t="array" ref="R317">_xlfn.IFS(O317&gt;=20000,"high",O317&gt;=15000,"medium",O317&lt;15000,"low")</f>
        <v>medium</v>
      </c>
      <c r="S317" s="22" t="str">
        <f t="shared" si="14"/>
        <v>mid</v>
      </c>
    </row>
    <row r="318" spans="1:19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>
        <f t="shared" si="12"/>
        <v>1577.44</v>
      </c>
      <c r="Q318" s="22" t="str">
        <f t="shared" si="13"/>
        <v>low</v>
      </c>
      <c r="R318" s="22" t="str" cm="1">
        <f t="array" ref="R318">_xlfn.IFS(O318&gt;=20000,"high",O318&gt;=15000,"medium",O318&lt;15000,"low")</f>
        <v>low</v>
      </c>
      <c r="S318" s="22" t="str">
        <f t="shared" si="14"/>
        <v>low</v>
      </c>
    </row>
    <row r="319" spans="1:19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>
        <f t="shared" si="12"/>
        <v>1715.21</v>
      </c>
      <c r="Q319" s="22" t="str">
        <f t="shared" si="13"/>
        <v>low</v>
      </c>
      <c r="R319" s="22" t="str" cm="1">
        <f t="array" ref="R319">_xlfn.IFS(O319&gt;=20000,"high",O319&gt;=15000,"medium",O319&lt;15000,"low")</f>
        <v>low</v>
      </c>
      <c r="S319" s="22" t="str">
        <f t="shared" si="14"/>
        <v>low</v>
      </c>
    </row>
    <row r="320" spans="1:19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>
        <f t="shared" si="12"/>
        <v>12372.8</v>
      </c>
      <c r="Q320" s="22" t="str">
        <f t="shared" si="13"/>
        <v>low</v>
      </c>
      <c r="R320" s="22" t="str" cm="1">
        <f t="array" ref="R320">_xlfn.IFS(O320&gt;=20000,"high",O320&gt;=15000,"medium",O320&lt;15000,"low")</f>
        <v>low</v>
      </c>
      <c r="S320" s="22" t="str">
        <f t="shared" si="14"/>
        <v>low</v>
      </c>
    </row>
    <row r="321" spans="1:19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>
        <f t="shared" si="12"/>
        <v>18038.240000000002</v>
      </c>
      <c r="Q321" s="22" t="str">
        <f t="shared" si="13"/>
        <v>high</v>
      </c>
      <c r="R321" s="22" t="str" cm="1">
        <f t="array" ref="R321">_xlfn.IFS(O321&gt;=20000,"high",O321&gt;=15000,"medium",O321&lt;15000,"low")</f>
        <v>medium</v>
      </c>
      <c r="S321" s="22" t="str">
        <f t="shared" si="14"/>
        <v>mid</v>
      </c>
    </row>
    <row r="322" spans="1:19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>
        <f t="shared" si="12"/>
        <v>23683.17</v>
      </c>
      <c r="Q322" s="22" t="str">
        <f t="shared" si="13"/>
        <v>high</v>
      </c>
      <c r="R322" s="22" t="str" cm="1">
        <f t="array" ref="R322">_xlfn.IFS(O322&gt;=20000,"high",O322&gt;=15000,"medium",O322&lt;15000,"low")</f>
        <v>medium</v>
      </c>
      <c r="S322" s="22" t="str">
        <f t="shared" si="14"/>
        <v>mid</v>
      </c>
    </row>
    <row r="323" spans="1:19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>
        <f t="shared" ref="P323:P386" si="15">L323*M323</f>
        <v>3204.1000000000004</v>
      </c>
      <c r="Q323" s="22" t="str">
        <f t="shared" ref="Q323:Q386" si="16">IF(O323&gt;=15000,"high","low")</f>
        <v>low</v>
      </c>
      <c r="R323" s="22" t="str" cm="1">
        <f t="array" ref="R323">_xlfn.IFS(O323&gt;=20000,"high",O323&gt;=15000,"medium",O323&lt;15000,"low")</f>
        <v>low</v>
      </c>
      <c r="S323" s="22" t="str">
        <f t="shared" ref="S323:S386" si="17">IF(O323&gt;=20000,"high",IF(O323&gt;=15000,"mid","low"))</f>
        <v>low</v>
      </c>
    </row>
    <row r="324" spans="1:19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>
        <f t="shared" si="15"/>
        <v>3230.79</v>
      </c>
      <c r="Q324" s="22" t="str">
        <f t="shared" si="16"/>
        <v>low</v>
      </c>
      <c r="R324" s="22" t="str" cm="1">
        <f t="array" ref="R324">_xlfn.IFS(O324&gt;=20000,"high",O324&gt;=15000,"medium",O324&lt;15000,"low")</f>
        <v>low</v>
      </c>
      <c r="S324" s="22" t="str">
        <f t="shared" si="17"/>
        <v>low</v>
      </c>
    </row>
    <row r="325" spans="1:19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>
        <f t="shared" si="15"/>
        <v>31253.22</v>
      </c>
      <c r="Q325" s="22" t="str">
        <f t="shared" si="16"/>
        <v>high</v>
      </c>
      <c r="R325" s="22" t="str" cm="1">
        <f t="array" ref="R325">_xlfn.IFS(O325&gt;=20000,"high",O325&gt;=15000,"medium",O325&lt;15000,"low")</f>
        <v>high</v>
      </c>
      <c r="S325" s="22" t="str">
        <f t="shared" si="17"/>
        <v>high</v>
      </c>
    </row>
    <row r="326" spans="1:19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>
        <f t="shared" si="15"/>
        <v>5111.05</v>
      </c>
      <c r="Q326" s="22" t="str">
        <f t="shared" si="16"/>
        <v>low</v>
      </c>
      <c r="R326" s="22" t="str" cm="1">
        <f t="array" ref="R326">_xlfn.IFS(O326&gt;=20000,"high",O326&gt;=15000,"medium",O326&lt;15000,"low")</f>
        <v>low</v>
      </c>
      <c r="S326" s="22" t="str">
        <f t="shared" si="17"/>
        <v>low</v>
      </c>
    </row>
    <row r="327" spans="1:19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>
        <f t="shared" si="15"/>
        <v>6857.28</v>
      </c>
      <c r="Q327" s="22" t="str">
        <f t="shared" si="16"/>
        <v>low</v>
      </c>
      <c r="R327" s="22" t="str" cm="1">
        <f t="array" ref="R327">_xlfn.IFS(O327&gt;=20000,"high",O327&gt;=15000,"medium",O327&lt;15000,"low")</f>
        <v>low</v>
      </c>
      <c r="S327" s="22" t="str">
        <f t="shared" si="17"/>
        <v>low</v>
      </c>
    </row>
    <row r="328" spans="1:19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>
        <f t="shared" si="15"/>
        <v>23802.6</v>
      </c>
      <c r="Q328" s="22" t="str">
        <f t="shared" si="16"/>
        <v>high</v>
      </c>
      <c r="R328" s="22" t="str" cm="1">
        <f t="array" ref="R328">_xlfn.IFS(O328&gt;=20000,"high",O328&gt;=15000,"medium",O328&lt;15000,"low")</f>
        <v>high</v>
      </c>
      <c r="S328" s="22" t="str">
        <f t="shared" si="17"/>
        <v>high</v>
      </c>
    </row>
    <row r="329" spans="1:19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>
        <f t="shared" si="15"/>
        <v>5896.66</v>
      </c>
      <c r="Q329" s="22" t="str">
        <f t="shared" si="16"/>
        <v>low</v>
      </c>
      <c r="R329" s="22" t="str" cm="1">
        <f t="array" ref="R329">_xlfn.IFS(O329&gt;=20000,"high",O329&gt;=15000,"medium",O329&lt;15000,"low")</f>
        <v>low</v>
      </c>
      <c r="S329" s="22" t="str">
        <f t="shared" si="17"/>
        <v>low</v>
      </c>
    </row>
    <row r="330" spans="1:19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>
        <f t="shared" si="15"/>
        <v>3171.36</v>
      </c>
      <c r="Q330" s="22" t="str">
        <f t="shared" si="16"/>
        <v>low</v>
      </c>
      <c r="R330" s="22" t="str" cm="1">
        <f t="array" ref="R330">_xlfn.IFS(O330&gt;=20000,"high",O330&gt;=15000,"medium",O330&lt;15000,"low")</f>
        <v>low</v>
      </c>
      <c r="S330" s="22" t="str">
        <f t="shared" si="17"/>
        <v>low</v>
      </c>
    </row>
    <row r="331" spans="1:19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>
        <f t="shared" si="15"/>
        <v>27849.5</v>
      </c>
      <c r="Q331" s="22" t="str">
        <f t="shared" si="16"/>
        <v>high</v>
      </c>
      <c r="R331" s="22" t="str" cm="1">
        <f t="array" ref="R331">_xlfn.IFS(O331&gt;=20000,"high",O331&gt;=15000,"medium",O331&lt;15000,"low")</f>
        <v>high</v>
      </c>
      <c r="S331" s="22" t="str">
        <f t="shared" si="17"/>
        <v>high</v>
      </c>
    </row>
    <row r="332" spans="1:19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>
        <f t="shared" si="15"/>
        <v>4962.2</v>
      </c>
      <c r="Q332" s="22" t="str">
        <f t="shared" si="16"/>
        <v>low</v>
      </c>
      <c r="R332" s="22" t="str" cm="1">
        <f t="array" ref="R332">_xlfn.IFS(O332&gt;=20000,"high",O332&gt;=15000,"medium",O332&lt;15000,"low")</f>
        <v>low</v>
      </c>
      <c r="S332" s="22" t="str">
        <f t="shared" si="17"/>
        <v>low</v>
      </c>
    </row>
    <row r="333" spans="1:19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>
        <f t="shared" si="15"/>
        <v>2670.72</v>
      </c>
      <c r="Q333" s="22" t="str">
        <f t="shared" si="16"/>
        <v>low</v>
      </c>
      <c r="R333" s="22" t="str" cm="1">
        <f t="array" ref="R333">_xlfn.IFS(O333&gt;=20000,"high",O333&gt;=15000,"medium",O333&lt;15000,"low")</f>
        <v>low</v>
      </c>
      <c r="S333" s="22" t="str">
        <f t="shared" si="17"/>
        <v>low</v>
      </c>
    </row>
    <row r="334" spans="1:19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>
        <f t="shared" si="15"/>
        <v>16872.449999999997</v>
      </c>
      <c r="Q334" s="22" t="str">
        <f t="shared" si="16"/>
        <v>high</v>
      </c>
      <c r="R334" s="22" t="str" cm="1">
        <f t="array" ref="R334">_xlfn.IFS(O334&gt;=20000,"high",O334&gt;=15000,"medium",O334&lt;15000,"low")</f>
        <v>medium</v>
      </c>
      <c r="S334" s="22" t="str">
        <f t="shared" si="17"/>
        <v>mid</v>
      </c>
    </row>
    <row r="335" spans="1:19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>
        <f t="shared" si="15"/>
        <v>12578.85</v>
      </c>
      <c r="Q335" s="22" t="str">
        <f t="shared" si="16"/>
        <v>low</v>
      </c>
      <c r="R335" s="22" t="str" cm="1">
        <f t="array" ref="R335">_xlfn.IFS(O335&gt;=20000,"high",O335&gt;=15000,"medium",O335&lt;15000,"low")</f>
        <v>low</v>
      </c>
      <c r="S335" s="22" t="str">
        <f t="shared" si="17"/>
        <v>low</v>
      </c>
    </row>
    <row r="336" spans="1:19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>
        <f t="shared" si="15"/>
        <v>16713.2</v>
      </c>
      <c r="Q336" s="22" t="str">
        <f t="shared" si="16"/>
        <v>low</v>
      </c>
      <c r="R336" s="22" t="str" cm="1">
        <f t="array" ref="R336">_xlfn.IFS(O336&gt;=20000,"high",O336&gt;=15000,"medium",O336&lt;15000,"low")</f>
        <v>low</v>
      </c>
      <c r="S336" s="22" t="str">
        <f t="shared" si="17"/>
        <v>low</v>
      </c>
    </row>
    <row r="337" spans="1:19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>
        <f t="shared" si="15"/>
        <v>1126.5</v>
      </c>
      <c r="Q337" s="22" t="str">
        <f t="shared" si="16"/>
        <v>low</v>
      </c>
      <c r="R337" s="22" t="str" cm="1">
        <f t="array" ref="R337">_xlfn.IFS(O337&gt;=20000,"high",O337&gt;=15000,"medium",O337&lt;15000,"low")</f>
        <v>low</v>
      </c>
      <c r="S337" s="22" t="str">
        <f t="shared" si="17"/>
        <v>low</v>
      </c>
    </row>
    <row r="338" spans="1:19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>
        <f t="shared" si="15"/>
        <v>24495.119999999999</v>
      </c>
      <c r="Q338" s="22" t="str">
        <f t="shared" si="16"/>
        <v>high</v>
      </c>
      <c r="R338" s="22" t="str" cm="1">
        <f t="array" ref="R338">_xlfn.IFS(O338&gt;=20000,"high",O338&gt;=15000,"medium",O338&lt;15000,"low")</f>
        <v>high</v>
      </c>
      <c r="S338" s="22" t="str">
        <f t="shared" si="17"/>
        <v>high</v>
      </c>
    </row>
    <row r="339" spans="1:19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>
        <f t="shared" si="15"/>
        <v>1393.26</v>
      </c>
      <c r="Q339" s="22" t="str">
        <f t="shared" si="16"/>
        <v>low</v>
      </c>
      <c r="R339" s="22" t="str" cm="1">
        <f t="array" ref="R339">_xlfn.IFS(O339&gt;=20000,"high",O339&gt;=15000,"medium",O339&lt;15000,"low")</f>
        <v>low</v>
      </c>
      <c r="S339" s="22" t="str">
        <f t="shared" si="17"/>
        <v>low</v>
      </c>
    </row>
    <row r="340" spans="1:19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>
        <f t="shared" si="15"/>
        <v>14834.04</v>
      </c>
      <c r="Q340" s="22" t="str">
        <f t="shared" si="16"/>
        <v>low</v>
      </c>
      <c r="R340" s="22" t="str" cm="1">
        <f t="array" ref="R340">_xlfn.IFS(O340&gt;=20000,"high",O340&gt;=15000,"medium",O340&lt;15000,"low")</f>
        <v>low</v>
      </c>
      <c r="S340" s="22" t="str">
        <f t="shared" si="17"/>
        <v>low</v>
      </c>
    </row>
    <row r="341" spans="1:19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>
        <f t="shared" si="15"/>
        <v>12639.78</v>
      </c>
      <c r="Q341" s="22" t="str">
        <f t="shared" si="16"/>
        <v>low</v>
      </c>
      <c r="R341" s="22" t="str" cm="1">
        <f t="array" ref="R341">_xlfn.IFS(O341&gt;=20000,"high",O341&gt;=15000,"medium",O341&lt;15000,"low")</f>
        <v>low</v>
      </c>
      <c r="S341" s="22" t="str">
        <f t="shared" si="17"/>
        <v>low</v>
      </c>
    </row>
    <row r="342" spans="1:19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>
        <f t="shared" si="15"/>
        <v>2567.7199999999998</v>
      </c>
      <c r="Q342" s="22" t="str">
        <f t="shared" si="16"/>
        <v>low</v>
      </c>
      <c r="R342" s="22" t="str" cm="1">
        <f t="array" ref="R342">_xlfn.IFS(O342&gt;=20000,"high",O342&gt;=15000,"medium",O342&lt;15000,"low")</f>
        <v>low</v>
      </c>
      <c r="S342" s="22" t="str">
        <f t="shared" si="17"/>
        <v>low</v>
      </c>
    </row>
    <row r="343" spans="1:19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>
        <f t="shared" si="15"/>
        <v>9265.5499999999993</v>
      </c>
      <c r="Q343" s="22" t="str">
        <f t="shared" si="16"/>
        <v>low</v>
      </c>
      <c r="R343" s="22" t="str" cm="1">
        <f t="array" ref="R343">_xlfn.IFS(O343&gt;=20000,"high",O343&gt;=15000,"medium",O343&lt;15000,"low")</f>
        <v>low</v>
      </c>
      <c r="S343" s="22" t="str">
        <f t="shared" si="17"/>
        <v>low</v>
      </c>
    </row>
    <row r="344" spans="1:19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>
        <f t="shared" si="15"/>
        <v>2194.5699999999997</v>
      </c>
      <c r="Q344" s="22" t="str">
        <f t="shared" si="16"/>
        <v>low</v>
      </c>
      <c r="R344" s="22" t="str" cm="1">
        <f t="array" ref="R344">_xlfn.IFS(O344&gt;=20000,"high",O344&gt;=15000,"medium",O344&lt;15000,"low")</f>
        <v>low</v>
      </c>
      <c r="S344" s="22" t="str">
        <f t="shared" si="17"/>
        <v>low</v>
      </c>
    </row>
    <row r="345" spans="1:19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>
        <f t="shared" si="15"/>
        <v>11143.24</v>
      </c>
      <c r="Q345" s="22" t="str">
        <f t="shared" si="16"/>
        <v>low</v>
      </c>
      <c r="R345" s="22" t="str" cm="1">
        <f t="array" ref="R345">_xlfn.IFS(O345&gt;=20000,"high",O345&gt;=15000,"medium",O345&lt;15000,"low")</f>
        <v>low</v>
      </c>
      <c r="S345" s="22" t="str">
        <f t="shared" si="17"/>
        <v>low</v>
      </c>
    </row>
    <row r="346" spans="1:19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>
        <f t="shared" si="15"/>
        <v>3625.42</v>
      </c>
      <c r="Q346" s="22" t="str">
        <f t="shared" si="16"/>
        <v>low</v>
      </c>
      <c r="R346" s="22" t="str" cm="1">
        <f t="array" ref="R346">_xlfn.IFS(O346&gt;=20000,"high",O346&gt;=15000,"medium",O346&lt;15000,"low")</f>
        <v>low</v>
      </c>
      <c r="S346" s="22" t="str">
        <f t="shared" si="17"/>
        <v>low</v>
      </c>
    </row>
    <row r="347" spans="1:19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>
        <f t="shared" si="15"/>
        <v>30361.14</v>
      </c>
      <c r="Q347" s="22" t="str">
        <f t="shared" si="16"/>
        <v>high</v>
      </c>
      <c r="R347" s="22" t="str" cm="1">
        <f t="array" ref="R347">_xlfn.IFS(O347&gt;=20000,"high",O347&gt;=15000,"medium",O347&lt;15000,"low")</f>
        <v>high</v>
      </c>
      <c r="S347" s="22" t="str">
        <f t="shared" si="17"/>
        <v>high</v>
      </c>
    </row>
    <row r="348" spans="1:19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>
        <f t="shared" si="15"/>
        <v>2561.48</v>
      </c>
      <c r="Q348" s="22" t="str">
        <f t="shared" si="16"/>
        <v>low</v>
      </c>
      <c r="R348" s="22" t="str" cm="1">
        <f t="array" ref="R348">_xlfn.IFS(O348&gt;=20000,"high",O348&gt;=15000,"medium",O348&lt;15000,"low")</f>
        <v>low</v>
      </c>
      <c r="S348" s="22" t="str">
        <f t="shared" si="17"/>
        <v>low</v>
      </c>
    </row>
    <row r="349" spans="1:19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>
        <f t="shared" si="15"/>
        <v>5725.26</v>
      </c>
      <c r="Q349" s="22" t="str">
        <f t="shared" si="16"/>
        <v>low</v>
      </c>
      <c r="R349" s="22" t="str" cm="1">
        <f t="array" ref="R349">_xlfn.IFS(O349&gt;=20000,"high",O349&gt;=15000,"medium",O349&lt;15000,"low")</f>
        <v>low</v>
      </c>
      <c r="S349" s="22" t="str">
        <f t="shared" si="17"/>
        <v>low</v>
      </c>
    </row>
    <row r="350" spans="1:19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>
        <f t="shared" si="15"/>
        <v>19690.32</v>
      </c>
      <c r="Q350" s="22" t="str">
        <f t="shared" si="16"/>
        <v>high</v>
      </c>
      <c r="R350" s="22" t="str" cm="1">
        <f t="array" ref="R350">_xlfn.IFS(O350&gt;=20000,"high",O350&gt;=15000,"medium",O350&lt;15000,"low")</f>
        <v>medium</v>
      </c>
      <c r="S350" s="22" t="str">
        <f t="shared" si="17"/>
        <v>mid</v>
      </c>
    </row>
    <row r="351" spans="1:19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>
        <f t="shared" si="15"/>
        <v>3708.38</v>
      </c>
      <c r="Q351" s="22" t="str">
        <f t="shared" si="16"/>
        <v>low</v>
      </c>
      <c r="R351" s="22" t="str" cm="1">
        <f t="array" ref="R351">_xlfn.IFS(O351&gt;=20000,"high",O351&gt;=15000,"medium",O351&lt;15000,"low")</f>
        <v>low</v>
      </c>
      <c r="S351" s="22" t="str">
        <f t="shared" si="17"/>
        <v>low</v>
      </c>
    </row>
    <row r="352" spans="1:19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>
        <f t="shared" si="15"/>
        <v>5770.74</v>
      </c>
      <c r="Q352" s="22" t="str">
        <f t="shared" si="16"/>
        <v>low</v>
      </c>
      <c r="R352" s="22" t="str" cm="1">
        <f t="array" ref="R352">_xlfn.IFS(O352&gt;=20000,"high",O352&gt;=15000,"medium",O352&lt;15000,"low")</f>
        <v>low</v>
      </c>
      <c r="S352" s="22" t="str">
        <f t="shared" si="17"/>
        <v>low</v>
      </c>
    </row>
    <row r="353" spans="1:19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>
        <f t="shared" si="15"/>
        <v>4142.08</v>
      </c>
      <c r="Q353" s="22" t="str">
        <f t="shared" si="16"/>
        <v>low</v>
      </c>
      <c r="R353" s="22" t="str" cm="1">
        <f t="array" ref="R353">_xlfn.IFS(O353&gt;=20000,"high",O353&gt;=15000,"medium",O353&lt;15000,"low")</f>
        <v>low</v>
      </c>
      <c r="S353" s="22" t="str">
        <f t="shared" si="17"/>
        <v>low</v>
      </c>
    </row>
    <row r="354" spans="1:19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>
        <f t="shared" si="15"/>
        <v>12377.789999999999</v>
      </c>
      <c r="Q354" s="22" t="str">
        <f t="shared" si="16"/>
        <v>low</v>
      </c>
      <c r="R354" s="22" t="str" cm="1">
        <f t="array" ref="R354">_xlfn.IFS(O354&gt;=20000,"high",O354&gt;=15000,"medium",O354&lt;15000,"low")</f>
        <v>low</v>
      </c>
      <c r="S354" s="22" t="str">
        <f t="shared" si="17"/>
        <v>low</v>
      </c>
    </row>
    <row r="355" spans="1:19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>
        <f t="shared" si="15"/>
        <v>3592.92</v>
      </c>
      <c r="Q355" s="22" t="str">
        <f t="shared" si="16"/>
        <v>low</v>
      </c>
      <c r="R355" s="22" t="str" cm="1">
        <f t="array" ref="R355">_xlfn.IFS(O355&gt;=20000,"high",O355&gt;=15000,"medium",O355&lt;15000,"low")</f>
        <v>low</v>
      </c>
      <c r="S355" s="22" t="str">
        <f t="shared" si="17"/>
        <v>low</v>
      </c>
    </row>
    <row r="356" spans="1:19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>
        <f t="shared" si="15"/>
        <v>23695.920000000002</v>
      </c>
      <c r="Q356" s="22" t="str">
        <f t="shared" si="16"/>
        <v>high</v>
      </c>
      <c r="R356" s="22" t="str" cm="1">
        <f t="array" ref="R356">_xlfn.IFS(O356&gt;=20000,"high",O356&gt;=15000,"medium",O356&lt;15000,"low")</f>
        <v>high</v>
      </c>
      <c r="S356" s="22" t="str">
        <f t="shared" si="17"/>
        <v>high</v>
      </c>
    </row>
    <row r="357" spans="1:19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>
        <f t="shared" si="15"/>
        <v>11337.93</v>
      </c>
      <c r="Q357" s="22" t="str">
        <f t="shared" si="16"/>
        <v>low</v>
      </c>
      <c r="R357" s="22" t="str" cm="1">
        <f t="array" ref="R357">_xlfn.IFS(O357&gt;=20000,"high",O357&gt;=15000,"medium",O357&lt;15000,"low")</f>
        <v>low</v>
      </c>
      <c r="S357" s="22" t="str">
        <f t="shared" si="17"/>
        <v>low</v>
      </c>
    </row>
    <row r="358" spans="1:19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>
        <f t="shared" si="15"/>
        <v>10402.48</v>
      </c>
      <c r="Q358" s="22" t="str">
        <f t="shared" si="16"/>
        <v>low</v>
      </c>
      <c r="R358" s="22" t="str" cm="1">
        <f t="array" ref="R358">_xlfn.IFS(O358&gt;=20000,"high",O358&gt;=15000,"medium",O358&lt;15000,"low")</f>
        <v>low</v>
      </c>
      <c r="S358" s="22" t="str">
        <f t="shared" si="17"/>
        <v>low</v>
      </c>
    </row>
    <row r="359" spans="1:19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>
        <f t="shared" si="15"/>
        <v>28648.959999999999</v>
      </c>
      <c r="Q359" s="22" t="str">
        <f t="shared" si="16"/>
        <v>high</v>
      </c>
      <c r="R359" s="22" t="str" cm="1">
        <f t="array" ref="R359">_xlfn.IFS(O359&gt;=20000,"high",O359&gt;=15000,"medium",O359&lt;15000,"low")</f>
        <v>high</v>
      </c>
      <c r="S359" s="22" t="str">
        <f t="shared" si="17"/>
        <v>high</v>
      </c>
    </row>
    <row r="360" spans="1:19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>
        <f t="shared" si="15"/>
        <v>202.49</v>
      </c>
      <c r="Q360" s="22" t="str">
        <f t="shared" si="16"/>
        <v>low</v>
      </c>
      <c r="R360" s="22" t="str" cm="1">
        <f t="array" ref="R360">_xlfn.IFS(O360&gt;=20000,"high",O360&gt;=15000,"medium",O360&lt;15000,"low")</f>
        <v>low</v>
      </c>
      <c r="S360" s="22" t="str">
        <f t="shared" si="17"/>
        <v>low</v>
      </c>
    </row>
    <row r="361" spans="1:19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>
        <f t="shared" si="15"/>
        <v>11140</v>
      </c>
      <c r="Q361" s="22" t="str">
        <f t="shared" si="16"/>
        <v>low</v>
      </c>
      <c r="R361" s="22" t="str" cm="1">
        <f t="array" ref="R361">_xlfn.IFS(O361&gt;=20000,"high",O361&gt;=15000,"medium",O361&lt;15000,"low")</f>
        <v>low</v>
      </c>
      <c r="S361" s="22" t="str">
        <f t="shared" si="17"/>
        <v>low</v>
      </c>
    </row>
    <row r="362" spans="1:19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>
        <f t="shared" si="15"/>
        <v>6852.8099999999995</v>
      </c>
      <c r="Q362" s="22" t="str">
        <f t="shared" si="16"/>
        <v>low</v>
      </c>
      <c r="R362" s="22" t="str" cm="1">
        <f t="array" ref="R362">_xlfn.IFS(O362&gt;=20000,"high",O362&gt;=15000,"medium",O362&lt;15000,"low")</f>
        <v>low</v>
      </c>
      <c r="S362" s="22" t="str">
        <f t="shared" si="17"/>
        <v>low</v>
      </c>
    </row>
    <row r="363" spans="1:19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>
        <f t="shared" si="15"/>
        <v>5044.4799999999996</v>
      </c>
      <c r="Q363" s="22" t="str">
        <f t="shared" si="16"/>
        <v>low</v>
      </c>
      <c r="R363" s="22" t="str" cm="1">
        <f t="array" ref="R363">_xlfn.IFS(O363&gt;=20000,"high",O363&gt;=15000,"medium",O363&lt;15000,"low")</f>
        <v>low</v>
      </c>
      <c r="S363" s="22" t="str">
        <f t="shared" si="17"/>
        <v>low</v>
      </c>
    </row>
    <row r="364" spans="1:19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>
        <f t="shared" si="15"/>
        <v>504.58</v>
      </c>
      <c r="Q364" s="22" t="str">
        <f t="shared" si="16"/>
        <v>low</v>
      </c>
      <c r="R364" s="22" t="str" cm="1">
        <f t="array" ref="R364">_xlfn.IFS(O364&gt;=20000,"high",O364&gt;=15000,"medium",O364&lt;15000,"low")</f>
        <v>low</v>
      </c>
      <c r="S364" s="22" t="str">
        <f t="shared" si="17"/>
        <v>low</v>
      </c>
    </row>
    <row r="365" spans="1:19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>
        <f t="shared" si="15"/>
        <v>3288.81</v>
      </c>
      <c r="Q365" s="22" t="str">
        <f t="shared" si="16"/>
        <v>low</v>
      </c>
      <c r="R365" s="22" t="str" cm="1">
        <f t="array" ref="R365">_xlfn.IFS(O365&gt;=20000,"high",O365&gt;=15000,"medium",O365&lt;15000,"low")</f>
        <v>low</v>
      </c>
      <c r="S365" s="22" t="str">
        <f t="shared" si="17"/>
        <v>low</v>
      </c>
    </row>
    <row r="366" spans="1:19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>
        <f t="shared" si="15"/>
        <v>17967.3</v>
      </c>
      <c r="Q366" s="22" t="str">
        <f t="shared" si="16"/>
        <v>low</v>
      </c>
      <c r="R366" s="22" t="str" cm="1">
        <f t="array" ref="R366">_xlfn.IFS(O366&gt;=20000,"high",O366&gt;=15000,"medium",O366&lt;15000,"low")</f>
        <v>low</v>
      </c>
      <c r="S366" s="22" t="str">
        <f t="shared" si="17"/>
        <v>low</v>
      </c>
    </row>
    <row r="367" spans="1:19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>
        <f t="shared" si="15"/>
        <v>16604.400000000001</v>
      </c>
      <c r="Q367" s="22" t="str">
        <f t="shared" si="16"/>
        <v>high</v>
      </c>
      <c r="R367" s="22" t="str" cm="1">
        <f t="array" ref="R367">_xlfn.IFS(O367&gt;=20000,"high",O367&gt;=15000,"medium",O367&lt;15000,"low")</f>
        <v>medium</v>
      </c>
      <c r="S367" s="22" t="str">
        <f t="shared" si="17"/>
        <v>mid</v>
      </c>
    </row>
    <row r="368" spans="1:19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>
        <f t="shared" si="15"/>
        <v>28882.639999999999</v>
      </c>
      <c r="Q368" s="22" t="str">
        <f t="shared" si="16"/>
        <v>high</v>
      </c>
      <c r="R368" s="22" t="str" cm="1">
        <f t="array" ref="R368">_xlfn.IFS(O368&gt;=20000,"high",O368&gt;=15000,"medium",O368&lt;15000,"low")</f>
        <v>high</v>
      </c>
      <c r="S368" s="22" t="str">
        <f t="shared" si="17"/>
        <v>high</v>
      </c>
    </row>
    <row r="369" spans="1:19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>
        <f t="shared" si="15"/>
        <v>15956.36</v>
      </c>
      <c r="Q369" s="22" t="str">
        <f t="shared" si="16"/>
        <v>low</v>
      </c>
      <c r="R369" s="22" t="str" cm="1">
        <f t="array" ref="R369">_xlfn.IFS(O369&gt;=20000,"high",O369&gt;=15000,"medium",O369&lt;15000,"low")</f>
        <v>low</v>
      </c>
      <c r="S369" s="22" t="str">
        <f t="shared" si="17"/>
        <v>low</v>
      </c>
    </row>
    <row r="370" spans="1:19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>
        <f t="shared" si="15"/>
        <v>26217.52</v>
      </c>
      <c r="Q370" s="22" t="str">
        <f t="shared" si="16"/>
        <v>high</v>
      </c>
      <c r="R370" s="22" t="str" cm="1">
        <f t="array" ref="R370">_xlfn.IFS(O370&gt;=20000,"high",O370&gt;=15000,"medium",O370&lt;15000,"low")</f>
        <v>high</v>
      </c>
      <c r="S370" s="22" t="str">
        <f t="shared" si="17"/>
        <v>high</v>
      </c>
    </row>
    <row r="371" spans="1:19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>
        <f t="shared" si="15"/>
        <v>9771.36</v>
      </c>
      <c r="Q371" s="22" t="str">
        <f t="shared" si="16"/>
        <v>low</v>
      </c>
      <c r="R371" s="22" t="str" cm="1">
        <f t="array" ref="R371">_xlfn.IFS(O371&gt;=20000,"high",O371&gt;=15000,"medium",O371&lt;15000,"low")</f>
        <v>low</v>
      </c>
      <c r="S371" s="22" t="str">
        <f t="shared" si="17"/>
        <v>low</v>
      </c>
    </row>
    <row r="372" spans="1:19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>
        <f t="shared" si="15"/>
        <v>16290.78</v>
      </c>
      <c r="Q372" s="22" t="str">
        <f t="shared" si="16"/>
        <v>low</v>
      </c>
      <c r="R372" s="22" t="str" cm="1">
        <f t="array" ref="R372">_xlfn.IFS(O372&gt;=20000,"high",O372&gt;=15000,"medium",O372&lt;15000,"low")</f>
        <v>low</v>
      </c>
      <c r="S372" s="22" t="str">
        <f t="shared" si="17"/>
        <v>low</v>
      </c>
    </row>
    <row r="373" spans="1:19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>
        <f t="shared" si="15"/>
        <v>7914.04</v>
      </c>
      <c r="Q373" s="22" t="str">
        <f t="shared" si="16"/>
        <v>low</v>
      </c>
      <c r="R373" s="22" t="str" cm="1">
        <f t="array" ref="R373">_xlfn.IFS(O373&gt;=20000,"high",O373&gt;=15000,"medium",O373&lt;15000,"low")</f>
        <v>low</v>
      </c>
      <c r="S373" s="22" t="str">
        <f t="shared" si="17"/>
        <v>low</v>
      </c>
    </row>
    <row r="374" spans="1:19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>
        <f t="shared" si="15"/>
        <v>6114.2999999999993</v>
      </c>
      <c r="Q374" s="22" t="str">
        <f t="shared" si="16"/>
        <v>low</v>
      </c>
      <c r="R374" s="22" t="str" cm="1">
        <f t="array" ref="R374">_xlfn.IFS(O374&gt;=20000,"high",O374&gt;=15000,"medium",O374&lt;15000,"low")</f>
        <v>low</v>
      </c>
      <c r="S374" s="22" t="str">
        <f t="shared" si="17"/>
        <v>low</v>
      </c>
    </row>
    <row r="375" spans="1:19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>
        <f t="shared" si="15"/>
        <v>8255.5499999999993</v>
      </c>
      <c r="Q375" s="22" t="str">
        <f t="shared" si="16"/>
        <v>low</v>
      </c>
      <c r="R375" s="22" t="str" cm="1">
        <f t="array" ref="R375">_xlfn.IFS(O375&gt;=20000,"high",O375&gt;=15000,"medium",O375&lt;15000,"low")</f>
        <v>low</v>
      </c>
      <c r="S375" s="22" t="str">
        <f t="shared" si="17"/>
        <v>low</v>
      </c>
    </row>
    <row r="376" spans="1:19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>
        <f t="shared" si="15"/>
        <v>5994.54</v>
      </c>
      <c r="Q376" s="22" t="str">
        <f t="shared" si="16"/>
        <v>low</v>
      </c>
      <c r="R376" s="22" t="str" cm="1">
        <f t="array" ref="R376">_xlfn.IFS(O376&gt;=20000,"high",O376&gt;=15000,"medium",O376&lt;15000,"low")</f>
        <v>low</v>
      </c>
      <c r="S376" s="22" t="str">
        <f t="shared" si="17"/>
        <v>low</v>
      </c>
    </row>
    <row r="377" spans="1:19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>
        <f t="shared" si="15"/>
        <v>4088.16</v>
      </c>
      <c r="Q377" s="22" t="str">
        <f t="shared" si="16"/>
        <v>low</v>
      </c>
      <c r="R377" s="22" t="str" cm="1">
        <f t="array" ref="R377">_xlfn.IFS(O377&gt;=20000,"high",O377&gt;=15000,"medium",O377&lt;15000,"low")</f>
        <v>low</v>
      </c>
      <c r="S377" s="22" t="str">
        <f t="shared" si="17"/>
        <v>low</v>
      </c>
    </row>
    <row r="378" spans="1:19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>
        <f t="shared" si="15"/>
        <v>3696</v>
      </c>
      <c r="Q378" s="22" t="str">
        <f t="shared" si="16"/>
        <v>low</v>
      </c>
      <c r="R378" s="22" t="str" cm="1">
        <f t="array" ref="R378">_xlfn.IFS(O378&gt;=20000,"high",O378&gt;=15000,"medium",O378&lt;15000,"low")</f>
        <v>low</v>
      </c>
      <c r="S378" s="22" t="str">
        <f t="shared" si="17"/>
        <v>low</v>
      </c>
    </row>
    <row r="379" spans="1:19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>
        <f t="shared" si="15"/>
        <v>30099.87</v>
      </c>
      <c r="Q379" s="22" t="str">
        <f t="shared" si="16"/>
        <v>high</v>
      </c>
      <c r="R379" s="22" t="str" cm="1">
        <f t="array" ref="R379">_xlfn.IFS(O379&gt;=20000,"high",O379&gt;=15000,"medium",O379&lt;15000,"low")</f>
        <v>high</v>
      </c>
      <c r="S379" s="22" t="str">
        <f t="shared" si="17"/>
        <v>high</v>
      </c>
    </row>
    <row r="380" spans="1:19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>
        <f t="shared" si="15"/>
        <v>3910.66</v>
      </c>
      <c r="Q380" s="22" t="str">
        <f t="shared" si="16"/>
        <v>low</v>
      </c>
      <c r="R380" s="22" t="str" cm="1">
        <f t="array" ref="R380">_xlfn.IFS(O380&gt;=20000,"high",O380&gt;=15000,"medium",O380&lt;15000,"low")</f>
        <v>low</v>
      </c>
      <c r="S380" s="22" t="str">
        <f t="shared" si="17"/>
        <v>low</v>
      </c>
    </row>
    <row r="381" spans="1:19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>
        <f t="shared" si="15"/>
        <v>5124.57</v>
      </c>
      <c r="Q381" s="22" t="str">
        <f t="shared" si="16"/>
        <v>low</v>
      </c>
      <c r="R381" s="22" t="str" cm="1">
        <f t="array" ref="R381">_xlfn.IFS(O381&gt;=20000,"high",O381&gt;=15000,"medium",O381&lt;15000,"low")</f>
        <v>low</v>
      </c>
      <c r="S381" s="22" t="str">
        <f t="shared" si="17"/>
        <v>low</v>
      </c>
    </row>
    <row r="382" spans="1:19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>
        <f t="shared" si="15"/>
        <v>1462.35</v>
      </c>
      <c r="Q382" s="22" t="str">
        <f t="shared" si="16"/>
        <v>low</v>
      </c>
      <c r="R382" s="22" t="str" cm="1">
        <f t="array" ref="R382">_xlfn.IFS(O382&gt;=20000,"high",O382&gt;=15000,"medium",O382&lt;15000,"low")</f>
        <v>low</v>
      </c>
      <c r="S382" s="22" t="str">
        <f t="shared" si="17"/>
        <v>low</v>
      </c>
    </row>
    <row r="383" spans="1:19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>
        <f t="shared" si="15"/>
        <v>3227.04</v>
      </c>
      <c r="Q383" s="22" t="str">
        <f t="shared" si="16"/>
        <v>low</v>
      </c>
      <c r="R383" s="22" t="str" cm="1">
        <f t="array" ref="R383">_xlfn.IFS(O383&gt;=20000,"high",O383&gt;=15000,"medium",O383&lt;15000,"low")</f>
        <v>low</v>
      </c>
      <c r="S383" s="22" t="str">
        <f t="shared" si="17"/>
        <v>low</v>
      </c>
    </row>
    <row r="384" spans="1:19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>
        <f t="shared" si="15"/>
        <v>3581.58</v>
      </c>
      <c r="Q384" s="22" t="str">
        <f t="shared" si="16"/>
        <v>low</v>
      </c>
      <c r="R384" s="22" t="str" cm="1">
        <f t="array" ref="R384">_xlfn.IFS(O384&gt;=20000,"high",O384&gt;=15000,"medium",O384&lt;15000,"low")</f>
        <v>low</v>
      </c>
      <c r="S384" s="22" t="str">
        <f t="shared" si="17"/>
        <v>low</v>
      </c>
    </row>
    <row r="385" spans="1:19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>
        <f t="shared" si="15"/>
        <v>9678.4</v>
      </c>
      <c r="Q385" s="22" t="str">
        <f t="shared" si="16"/>
        <v>low</v>
      </c>
      <c r="R385" s="22" t="str" cm="1">
        <f t="array" ref="R385">_xlfn.IFS(O385&gt;=20000,"high",O385&gt;=15000,"medium",O385&lt;15000,"low")</f>
        <v>low</v>
      </c>
      <c r="S385" s="22" t="str">
        <f t="shared" si="17"/>
        <v>low</v>
      </c>
    </row>
    <row r="386" spans="1:19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>
        <f t="shared" si="15"/>
        <v>4146.33</v>
      </c>
      <c r="Q386" s="22" t="str">
        <f t="shared" si="16"/>
        <v>low</v>
      </c>
      <c r="R386" s="22" t="str" cm="1">
        <f t="array" ref="R386">_xlfn.IFS(O386&gt;=20000,"high",O386&gt;=15000,"medium",O386&lt;15000,"low")</f>
        <v>low</v>
      </c>
      <c r="S386" s="22" t="str">
        <f t="shared" si="17"/>
        <v>low</v>
      </c>
    </row>
    <row r="387" spans="1:19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>
        <f t="shared" ref="P387:P450" si="18">L387*M387</f>
        <v>3968.76</v>
      </c>
      <c r="Q387" s="22" t="str">
        <f t="shared" ref="Q387:Q450" si="19">IF(O387&gt;=15000,"high","low")</f>
        <v>low</v>
      </c>
      <c r="R387" s="22" t="str" cm="1">
        <f t="array" ref="R387">_xlfn.IFS(O387&gt;=20000,"high",O387&gt;=15000,"medium",O387&lt;15000,"low")</f>
        <v>low</v>
      </c>
      <c r="S387" s="22" t="str">
        <f t="shared" ref="S387:S450" si="20">IF(O387&gt;=20000,"high",IF(O387&gt;=15000,"mid","low"))</f>
        <v>low</v>
      </c>
    </row>
    <row r="388" spans="1:19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>
        <f t="shared" si="18"/>
        <v>11003.76</v>
      </c>
      <c r="Q388" s="22" t="str">
        <f t="shared" si="19"/>
        <v>low</v>
      </c>
      <c r="R388" s="22" t="str" cm="1">
        <f t="array" ref="R388">_xlfn.IFS(O388&gt;=20000,"high",O388&gt;=15000,"medium",O388&lt;15000,"low")</f>
        <v>low</v>
      </c>
      <c r="S388" s="22" t="str">
        <f t="shared" si="20"/>
        <v>low</v>
      </c>
    </row>
    <row r="389" spans="1:19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>
        <f t="shared" si="18"/>
        <v>6098.37</v>
      </c>
      <c r="Q389" s="22" t="str">
        <f t="shared" si="19"/>
        <v>low</v>
      </c>
      <c r="R389" s="22" t="str" cm="1">
        <f t="array" ref="R389">_xlfn.IFS(O389&gt;=20000,"high",O389&gt;=15000,"medium",O389&lt;15000,"low")</f>
        <v>low</v>
      </c>
      <c r="S389" s="22" t="str">
        <f t="shared" si="20"/>
        <v>low</v>
      </c>
    </row>
    <row r="390" spans="1:19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>
        <f t="shared" si="18"/>
        <v>24215.03</v>
      </c>
      <c r="Q390" s="22" t="str">
        <f t="shared" si="19"/>
        <v>high</v>
      </c>
      <c r="R390" s="22" t="str" cm="1">
        <f t="array" ref="R390">_xlfn.IFS(O390&gt;=20000,"high",O390&gt;=15000,"medium",O390&lt;15000,"low")</f>
        <v>high</v>
      </c>
      <c r="S390" s="22" t="str">
        <f t="shared" si="20"/>
        <v>high</v>
      </c>
    </row>
    <row r="391" spans="1:19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>
        <f t="shared" si="18"/>
        <v>2430.36</v>
      </c>
      <c r="Q391" s="22" t="str">
        <f t="shared" si="19"/>
        <v>low</v>
      </c>
      <c r="R391" s="22" t="str" cm="1">
        <f t="array" ref="R391">_xlfn.IFS(O391&gt;=20000,"high",O391&gt;=15000,"medium",O391&lt;15000,"low")</f>
        <v>low</v>
      </c>
      <c r="S391" s="22" t="str">
        <f t="shared" si="20"/>
        <v>low</v>
      </c>
    </row>
    <row r="392" spans="1:19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>
        <f t="shared" si="18"/>
        <v>16946.52</v>
      </c>
      <c r="Q392" s="22" t="str">
        <f t="shared" si="19"/>
        <v>high</v>
      </c>
      <c r="R392" s="22" t="str" cm="1">
        <f t="array" ref="R392">_xlfn.IFS(O392&gt;=20000,"high",O392&gt;=15000,"medium",O392&lt;15000,"low")</f>
        <v>medium</v>
      </c>
      <c r="S392" s="22" t="str">
        <f t="shared" si="20"/>
        <v>mid</v>
      </c>
    </row>
    <row r="393" spans="1:19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>
        <f t="shared" si="18"/>
        <v>4661.9400000000005</v>
      </c>
      <c r="Q393" s="22" t="str">
        <f t="shared" si="19"/>
        <v>low</v>
      </c>
      <c r="R393" s="22" t="str" cm="1">
        <f t="array" ref="R393">_xlfn.IFS(O393&gt;=20000,"high",O393&gt;=15000,"medium",O393&lt;15000,"low")</f>
        <v>low</v>
      </c>
      <c r="S393" s="22" t="str">
        <f t="shared" si="20"/>
        <v>low</v>
      </c>
    </row>
    <row r="394" spans="1:19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>
        <f t="shared" si="18"/>
        <v>23946</v>
      </c>
      <c r="Q394" s="22" t="str">
        <f t="shared" si="19"/>
        <v>high</v>
      </c>
      <c r="R394" s="22" t="str" cm="1">
        <f t="array" ref="R394">_xlfn.IFS(O394&gt;=20000,"high",O394&gt;=15000,"medium",O394&lt;15000,"low")</f>
        <v>high</v>
      </c>
      <c r="S394" s="22" t="str">
        <f t="shared" si="20"/>
        <v>high</v>
      </c>
    </row>
    <row r="395" spans="1:19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>
        <f t="shared" si="18"/>
        <v>16298.880000000001</v>
      </c>
      <c r="Q395" s="22" t="str">
        <f t="shared" si="19"/>
        <v>high</v>
      </c>
      <c r="R395" s="22" t="str" cm="1">
        <f t="array" ref="R395">_xlfn.IFS(O395&gt;=20000,"high",O395&gt;=15000,"medium",O395&lt;15000,"low")</f>
        <v>medium</v>
      </c>
      <c r="S395" s="22" t="str">
        <f t="shared" si="20"/>
        <v>mid</v>
      </c>
    </row>
    <row r="396" spans="1:19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>
        <f t="shared" si="18"/>
        <v>1220.6199999999999</v>
      </c>
      <c r="Q396" s="22" t="str">
        <f t="shared" si="19"/>
        <v>low</v>
      </c>
      <c r="R396" s="22" t="str" cm="1">
        <f t="array" ref="R396">_xlfn.IFS(O396&gt;=20000,"high",O396&gt;=15000,"medium",O396&lt;15000,"low")</f>
        <v>low</v>
      </c>
      <c r="S396" s="22" t="str">
        <f t="shared" si="20"/>
        <v>low</v>
      </c>
    </row>
    <row r="397" spans="1:19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>
        <f t="shared" si="18"/>
        <v>14128.02</v>
      </c>
      <c r="Q397" s="22" t="str">
        <f t="shared" si="19"/>
        <v>low</v>
      </c>
      <c r="R397" s="22" t="str" cm="1">
        <f t="array" ref="R397">_xlfn.IFS(O397&gt;=20000,"high",O397&gt;=15000,"medium",O397&lt;15000,"low")</f>
        <v>low</v>
      </c>
      <c r="S397" s="22" t="str">
        <f t="shared" si="20"/>
        <v>low</v>
      </c>
    </row>
    <row r="398" spans="1:19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>
        <f t="shared" si="18"/>
        <v>7969.22</v>
      </c>
      <c r="Q398" s="22" t="str">
        <f t="shared" si="19"/>
        <v>low</v>
      </c>
      <c r="R398" s="22" t="str" cm="1">
        <f t="array" ref="R398">_xlfn.IFS(O398&gt;=20000,"high",O398&gt;=15000,"medium",O398&lt;15000,"low")</f>
        <v>low</v>
      </c>
      <c r="S398" s="22" t="str">
        <f t="shared" si="20"/>
        <v>low</v>
      </c>
    </row>
    <row r="399" spans="1:19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>
        <f t="shared" si="18"/>
        <v>16228.85</v>
      </c>
      <c r="Q399" s="22" t="str">
        <f t="shared" si="19"/>
        <v>high</v>
      </c>
      <c r="R399" s="22" t="str" cm="1">
        <f t="array" ref="R399">_xlfn.IFS(O399&gt;=20000,"high",O399&gt;=15000,"medium",O399&lt;15000,"low")</f>
        <v>medium</v>
      </c>
      <c r="S399" s="22" t="str">
        <f t="shared" si="20"/>
        <v>mid</v>
      </c>
    </row>
    <row r="400" spans="1:19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>
        <f t="shared" si="18"/>
        <v>5369.58</v>
      </c>
      <c r="Q400" s="22" t="str">
        <f t="shared" si="19"/>
        <v>low</v>
      </c>
      <c r="R400" s="22" t="str" cm="1">
        <f t="array" ref="R400">_xlfn.IFS(O400&gt;=20000,"high",O400&gt;=15000,"medium",O400&lt;15000,"low")</f>
        <v>low</v>
      </c>
      <c r="S400" s="22" t="str">
        <f t="shared" si="20"/>
        <v>low</v>
      </c>
    </row>
    <row r="401" spans="1:19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>
        <f t="shared" si="18"/>
        <v>15918.12</v>
      </c>
      <c r="Q401" s="22" t="str">
        <f t="shared" si="19"/>
        <v>low</v>
      </c>
      <c r="R401" s="22" t="str" cm="1">
        <f t="array" ref="R401">_xlfn.IFS(O401&gt;=20000,"high",O401&gt;=15000,"medium",O401&lt;15000,"low")</f>
        <v>low</v>
      </c>
      <c r="S401" s="22" t="str">
        <f t="shared" si="20"/>
        <v>low</v>
      </c>
    </row>
    <row r="402" spans="1:19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>
        <f t="shared" si="18"/>
        <v>2024.52</v>
      </c>
      <c r="Q402" s="22" t="str">
        <f t="shared" si="19"/>
        <v>low</v>
      </c>
      <c r="R402" s="22" t="str" cm="1">
        <f t="array" ref="R402">_xlfn.IFS(O402&gt;=20000,"high",O402&gt;=15000,"medium",O402&lt;15000,"low")</f>
        <v>low</v>
      </c>
      <c r="S402" s="22" t="str">
        <f t="shared" si="20"/>
        <v>low</v>
      </c>
    </row>
    <row r="403" spans="1:19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>
        <f t="shared" si="18"/>
        <v>18926.04</v>
      </c>
      <c r="Q403" s="22" t="str">
        <f t="shared" si="19"/>
        <v>high</v>
      </c>
      <c r="R403" s="22" t="str" cm="1">
        <f t="array" ref="R403">_xlfn.IFS(O403&gt;=20000,"high",O403&gt;=15000,"medium",O403&lt;15000,"low")</f>
        <v>medium</v>
      </c>
      <c r="S403" s="22" t="str">
        <f t="shared" si="20"/>
        <v>mid</v>
      </c>
    </row>
    <row r="404" spans="1:19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>
        <f t="shared" si="18"/>
        <v>2743.75</v>
      </c>
      <c r="Q404" s="22" t="str">
        <f t="shared" si="19"/>
        <v>low</v>
      </c>
      <c r="R404" s="22" t="str" cm="1">
        <f t="array" ref="R404">_xlfn.IFS(O404&gt;=20000,"high",O404&gt;=15000,"medium",O404&lt;15000,"low")</f>
        <v>low</v>
      </c>
      <c r="S404" s="22" t="str">
        <f t="shared" si="20"/>
        <v>low</v>
      </c>
    </row>
    <row r="405" spans="1:19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>
        <f t="shared" si="18"/>
        <v>12419.48</v>
      </c>
      <c r="Q405" s="22" t="str">
        <f t="shared" si="19"/>
        <v>low</v>
      </c>
      <c r="R405" s="22" t="str" cm="1">
        <f t="array" ref="R405">_xlfn.IFS(O405&gt;=20000,"high",O405&gt;=15000,"medium",O405&lt;15000,"low")</f>
        <v>low</v>
      </c>
      <c r="S405" s="22" t="str">
        <f t="shared" si="20"/>
        <v>low</v>
      </c>
    </row>
    <row r="406" spans="1:19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>
        <f t="shared" si="18"/>
        <v>5335.96</v>
      </c>
      <c r="Q406" s="22" t="str">
        <f t="shared" si="19"/>
        <v>low</v>
      </c>
      <c r="R406" s="22" t="str" cm="1">
        <f t="array" ref="R406">_xlfn.IFS(O406&gt;=20000,"high",O406&gt;=15000,"medium",O406&lt;15000,"low")</f>
        <v>low</v>
      </c>
      <c r="S406" s="22" t="str">
        <f t="shared" si="20"/>
        <v>low</v>
      </c>
    </row>
    <row r="407" spans="1:19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>
        <f t="shared" si="18"/>
        <v>2044.41</v>
      </c>
      <c r="Q407" s="22" t="str">
        <f t="shared" si="19"/>
        <v>low</v>
      </c>
      <c r="R407" s="22" t="str" cm="1">
        <f t="array" ref="R407">_xlfn.IFS(O407&gt;=20000,"high",O407&gt;=15000,"medium",O407&lt;15000,"low")</f>
        <v>low</v>
      </c>
      <c r="S407" s="22" t="str">
        <f t="shared" si="20"/>
        <v>low</v>
      </c>
    </row>
    <row r="408" spans="1:19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>
        <f t="shared" si="18"/>
        <v>28949.040000000001</v>
      </c>
      <c r="Q408" s="22" t="str">
        <f t="shared" si="19"/>
        <v>high</v>
      </c>
      <c r="R408" s="22" t="str" cm="1">
        <f t="array" ref="R408">_xlfn.IFS(O408&gt;=20000,"high",O408&gt;=15000,"medium",O408&lt;15000,"low")</f>
        <v>high</v>
      </c>
      <c r="S408" s="22" t="str">
        <f t="shared" si="20"/>
        <v>high</v>
      </c>
    </row>
    <row r="409" spans="1:19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>
        <f t="shared" si="18"/>
        <v>4181.12</v>
      </c>
      <c r="Q409" s="22" t="str">
        <f t="shared" si="19"/>
        <v>low</v>
      </c>
      <c r="R409" s="22" t="str" cm="1">
        <f t="array" ref="R409">_xlfn.IFS(O409&gt;=20000,"high",O409&gt;=15000,"medium",O409&lt;15000,"low")</f>
        <v>low</v>
      </c>
      <c r="S409" s="22" t="str">
        <f t="shared" si="20"/>
        <v>low</v>
      </c>
    </row>
    <row r="410" spans="1:19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>
        <f t="shared" si="18"/>
        <v>7141.6100000000006</v>
      </c>
      <c r="Q410" s="22" t="str">
        <f t="shared" si="19"/>
        <v>low</v>
      </c>
      <c r="R410" s="22" t="str" cm="1">
        <f t="array" ref="R410">_xlfn.IFS(O410&gt;=20000,"high",O410&gt;=15000,"medium",O410&lt;15000,"low")</f>
        <v>low</v>
      </c>
      <c r="S410" s="22" t="str">
        <f t="shared" si="20"/>
        <v>low</v>
      </c>
    </row>
    <row r="411" spans="1:19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>
        <f t="shared" si="18"/>
        <v>6814.6500000000005</v>
      </c>
      <c r="Q411" s="22" t="str">
        <f t="shared" si="19"/>
        <v>low</v>
      </c>
      <c r="R411" s="22" t="str" cm="1">
        <f t="array" ref="R411">_xlfn.IFS(O411&gt;=20000,"high",O411&gt;=15000,"medium",O411&lt;15000,"low")</f>
        <v>low</v>
      </c>
      <c r="S411" s="22" t="str">
        <f t="shared" si="20"/>
        <v>low</v>
      </c>
    </row>
    <row r="412" spans="1:19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>
        <f t="shared" si="18"/>
        <v>6497.16</v>
      </c>
      <c r="Q412" s="22" t="str">
        <f t="shared" si="19"/>
        <v>low</v>
      </c>
      <c r="R412" s="22" t="str" cm="1">
        <f t="array" ref="R412">_xlfn.IFS(O412&gt;=20000,"high",O412&gt;=15000,"medium",O412&lt;15000,"low")</f>
        <v>low</v>
      </c>
      <c r="S412" s="22" t="str">
        <f t="shared" si="20"/>
        <v>low</v>
      </c>
    </row>
    <row r="413" spans="1:19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>
        <f t="shared" si="18"/>
        <v>9893.68</v>
      </c>
      <c r="Q413" s="22" t="str">
        <f t="shared" si="19"/>
        <v>low</v>
      </c>
      <c r="R413" s="22" t="str" cm="1">
        <f t="array" ref="R413">_xlfn.IFS(O413&gt;=20000,"high",O413&gt;=15000,"medium",O413&lt;15000,"low")</f>
        <v>low</v>
      </c>
      <c r="S413" s="22" t="str">
        <f t="shared" si="20"/>
        <v>low</v>
      </c>
    </row>
    <row r="414" spans="1:19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>
        <f t="shared" si="18"/>
        <v>10380.719999999999</v>
      </c>
      <c r="Q414" s="22" t="str">
        <f t="shared" si="19"/>
        <v>low</v>
      </c>
      <c r="R414" s="22" t="str" cm="1">
        <f t="array" ref="R414">_xlfn.IFS(O414&gt;=20000,"high",O414&gt;=15000,"medium",O414&lt;15000,"low")</f>
        <v>low</v>
      </c>
      <c r="S414" s="22" t="str">
        <f t="shared" si="20"/>
        <v>low</v>
      </c>
    </row>
    <row r="415" spans="1:19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>
        <f t="shared" si="18"/>
        <v>1219.7</v>
      </c>
      <c r="Q415" s="22" t="str">
        <f t="shared" si="19"/>
        <v>low</v>
      </c>
      <c r="R415" s="22" t="str" cm="1">
        <f t="array" ref="R415">_xlfn.IFS(O415&gt;=20000,"high",O415&gt;=15000,"medium",O415&lt;15000,"low")</f>
        <v>low</v>
      </c>
      <c r="S415" s="22" t="str">
        <f t="shared" si="20"/>
        <v>low</v>
      </c>
    </row>
    <row r="416" spans="1:19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>
        <f t="shared" si="18"/>
        <v>6240.64</v>
      </c>
      <c r="Q416" s="22" t="str">
        <f t="shared" si="19"/>
        <v>low</v>
      </c>
      <c r="R416" s="22" t="str" cm="1">
        <f t="array" ref="R416">_xlfn.IFS(O416&gt;=20000,"high",O416&gt;=15000,"medium",O416&lt;15000,"low")</f>
        <v>low</v>
      </c>
      <c r="S416" s="22" t="str">
        <f t="shared" si="20"/>
        <v>low</v>
      </c>
    </row>
    <row r="417" spans="1:19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>
        <f t="shared" si="18"/>
        <v>21278.560000000001</v>
      </c>
      <c r="Q417" s="22" t="str">
        <f t="shared" si="19"/>
        <v>high</v>
      </c>
      <c r="R417" s="22" t="str" cm="1">
        <f t="array" ref="R417">_xlfn.IFS(O417&gt;=20000,"high",O417&gt;=15000,"medium",O417&lt;15000,"low")</f>
        <v>high</v>
      </c>
      <c r="S417" s="22" t="str">
        <f t="shared" si="20"/>
        <v>high</v>
      </c>
    </row>
    <row r="418" spans="1:19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>
        <f t="shared" si="18"/>
        <v>3354.81</v>
      </c>
      <c r="Q418" s="22" t="str">
        <f t="shared" si="19"/>
        <v>low</v>
      </c>
      <c r="R418" s="22" t="str" cm="1">
        <f t="array" ref="R418">_xlfn.IFS(O418&gt;=20000,"high",O418&gt;=15000,"medium",O418&lt;15000,"low")</f>
        <v>low</v>
      </c>
      <c r="S418" s="22" t="str">
        <f t="shared" si="20"/>
        <v>low</v>
      </c>
    </row>
    <row r="419" spans="1:19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>
        <f t="shared" si="18"/>
        <v>31244.560000000001</v>
      </c>
      <c r="Q419" s="22" t="str">
        <f t="shared" si="19"/>
        <v>high</v>
      </c>
      <c r="R419" s="22" t="str" cm="1">
        <f t="array" ref="R419">_xlfn.IFS(O419&gt;=20000,"high",O419&gt;=15000,"medium",O419&lt;15000,"low")</f>
        <v>high</v>
      </c>
      <c r="S419" s="22" t="str">
        <f t="shared" si="20"/>
        <v>high</v>
      </c>
    </row>
    <row r="420" spans="1:19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>
        <f t="shared" si="18"/>
        <v>15804.24</v>
      </c>
      <c r="Q420" s="22" t="str">
        <f t="shared" si="19"/>
        <v>high</v>
      </c>
      <c r="R420" s="22" t="str" cm="1">
        <f t="array" ref="R420">_xlfn.IFS(O420&gt;=20000,"high",O420&gt;=15000,"medium",O420&lt;15000,"low")</f>
        <v>medium</v>
      </c>
      <c r="S420" s="22" t="str">
        <f t="shared" si="20"/>
        <v>mid</v>
      </c>
    </row>
    <row r="421" spans="1:19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>
        <f t="shared" si="18"/>
        <v>813.54</v>
      </c>
      <c r="Q421" s="22" t="str">
        <f t="shared" si="19"/>
        <v>low</v>
      </c>
      <c r="R421" s="22" t="str" cm="1">
        <f t="array" ref="R421">_xlfn.IFS(O421&gt;=20000,"high",O421&gt;=15000,"medium",O421&lt;15000,"low")</f>
        <v>low</v>
      </c>
      <c r="S421" s="22" t="str">
        <f t="shared" si="20"/>
        <v>low</v>
      </c>
    </row>
    <row r="422" spans="1:19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>
        <f t="shared" si="18"/>
        <v>1340.64</v>
      </c>
      <c r="Q422" s="22" t="str">
        <f t="shared" si="19"/>
        <v>low</v>
      </c>
      <c r="R422" s="22" t="str" cm="1">
        <f t="array" ref="R422">_xlfn.IFS(O422&gt;=20000,"high",O422&gt;=15000,"medium",O422&lt;15000,"low")</f>
        <v>low</v>
      </c>
      <c r="S422" s="22" t="str">
        <f t="shared" si="20"/>
        <v>low</v>
      </c>
    </row>
    <row r="423" spans="1:19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>
        <f t="shared" si="18"/>
        <v>7729.86</v>
      </c>
      <c r="Q423" s="22" t="str">
        <f t="shared" si="19"/>
        <v>low</v>
      </c>
      <c r="R423" s="22" t="str" cm="1">
        <f t="array" ref="R423">_xlfn.IFS(O423&gt;=20000,"high",O423&gt;=15000,"medium",O423&lt;15000,"low")</f>
        <v>low</v>
      </c>
      <c r="S423" s="22" t="str">
        <f t="shared" si="20"/>
        <v>low</v>
      </c>
    </row>
    <row r="424" spans="1:19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>
        <f t="shared" si="18"/>
        <v>33662.700000000004</v>
      </c>
      <c r="Q424" s="22" t="str">
        <f t="shared" si="19"/>
        <v>high</v>
      </c>
      <c r="R424" s="22" t="str" cm="1">
        <f t="array" ref="R424">_xlfn.IFS(O424&gt;=20000,"high",O424&gt;=15000,"medium",O424&lt;15000,"low")</f>
        <v>high</v>
      </c>
      <c r="S424" s="22" t="str">
        <f t="shared" si="20"/>
        <v>high</v>
      </c>
    </row>
    <row r="425" spans="1:19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>
        <f t="shared" si="18"/>
        <v>17314.96</v>
      </c>
      <c r="Q425" s="22" t="str">
        <f t="shared" si="19"/>
        <v>high</v>
      </c>
      <c r="R425" s="22" t="str" cm="1">
        <f t="array" ref="R425">_xlfn.IFS(O425&gt;=20000,"high",O425&gt;=15000,"medium",O425&lt;15000,"low")</f>
        <v>medium</v>
      </c>
      <c r="S425" s="22" t="str">
        <f t="shared" si="20"/>
        <v>mid</v>
      </c>
    </row>
    <row r="426" spans="1:19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>
        <f t="shared" si="18"/>
        <v>9571.0400000000009</v>
      </c>
      <c r="Q426" s="22" t="str">
        <f t="shared" si="19"/>
        <v>low</v>
      </c>
      <c r="R426" s="22" t="str" cm="1">
        <f t="array" ref="R426">_xlfn.IFS(O426&gt;=20000,"high",O426&gt;=15000,"medium",O426&lt;15000,"low")</f>
        <v>low</v>
      </c>
      <c r="S426" s="22" t="str">
        <f t="shared" si="20"/>
        <v>low</v>
      </c>
    </row>
    <row r="427" spans="1:19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>
        <f t="shared" si="18"/>
        <v>11807.529999999999</v>
      </c>
      <c r="Q427" s="22" t="str">
        <f t="shared" si="19"/>
        <v>low</v>
      </c>
      <c r="R427" s="22" t="str" cm="1">
        <f t="array" ref="R427">_xlfn.IFS(O427&gt;=20000,"high",O427&gt;=15000,"medium",O427&lt;15000,"low")</f>
        <v>low</v>
      </c>
      <c r="S427" s="22" t="str">
        <f t="shared" si="20"/>
        <v>low</v>
      </c>
    </row>
    <row r="428" spans="1:19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>
        <f t="shared" si="18"/>
        <v>22091.31</v>
      </c>
      <c r="Q428" s="22" t="str">
        <f t="shared" si="19"/>
        <v>high</v>
      </c>
      <c r="R428" s="22" t="str" cm="1">
        <f t="array" ref="R428">_xlfn.IFS(O428&gt;=20000,"high",O428&gt;=15000,"medium",O428&lt;15000,"low")</f>
        <v>high</v>
      </c>
      <c r="S428" s="22" t="str">
        <f t="shared" si="20"/>
        <v>high</v>
      </c>
    </row>
    <row r="429" spans="1:19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>
        <f t="shared" si="18"/>
        <v>5327.72</v>
      </c>
      <c r="Q429" s="22" t="str">
        <f t="shared" si="19"/>
        <v>low</v>
      </c>
      <c r="R429" s="22" t="str" cm="1">
        <f t="array" ref="R429">_xlfn.IFS(O429&gt;=20000,"high",O429&gt;=15000,"medium",O429&lt;15000,"low")</f>
        <v>low</v>
      </c>
      <c r="S429" s="22" t="str">
        <f t="shared" si="20"/>
        <v>low</v>
      </c>
    </row>
    <row r="430" spans="1:19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>
        <f t="shared" si="18"/>
        <v>2227.77</v>
      </c>
      <c r="Q430" s="22" t="str">
        <f t="shared" si="19"/>
        <v>low</v>
      </c>
      <c r="R430" s="22" t="str" cm="1">
        <f t="array" ref="R430">_xlfn.IFS(O430&gt;=20000,"high",O430&gt;=15000,"medium",O430&lt;15000,"low")</f>
        <v>low</v>
      </c>
      <c r="S430" s="22" t="str">
        <f t="shared" si="20"/>
        <v>low</v>
      </c>
    </row>
    <row r="431" spans="1:19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>
        <f t="shared" si="18"/>
        <v>31292.560000000001</v>
      </c>
      <c r="Q431" s="22" t="str">
        <f t="shared" si="19"/>
        <v>high</v>
      </c>
      <c r="R431" s="22" t="str" cm="1">
        <f t="array" ref="R431">_xlfn.IFS(O431&gt;=20000,"high",O431&gt;=15000,"medium",O431&lt;15000,"low")</f>
        <v>high</v>
      </c>
      <c r="S431" s="22" t="str">
        <f t="shared" si="20"/>
        <v>high</v>
      </c>
    </row>
    <row r="432" spans="1:19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>
        <f t="shared" si="18"/>
        <v>13484.22</v>
      </c>
      <c r="Q432" s="22" t="str">
        <f t="shared" si="19"/>
        <v>low</v>
      </c>
      <c r="R432" s="22" t="str" cm="1">
        <f t="array" ref="R432">_xlfn.IFS(O432&gt;=20000,"high",O432&gt;=15000,"medium",O432&lt;15000,"low")</f>
        <v>low</v>
      </c>
      <c r="S432" s="22" t="str">
        <f t="shared" si="20"/>
        <v>low</v>
      </c>
    </row>
    <row r="433" spans="1:19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>
        <f t="shared" si="18"/>
        <v>6051.5999999999995</v>
      </c>
      <c r="Q433" s="22" t="str">
        <f t="shared" si="19"/>
        <v>low</v>
      </c>
      <c r="R433" s="22" t="str" cm="1">
        <f t="array" ref="R433">_xlfn.IFS(O433&gt;=20000,"high",O433&gt;=15000,"medium",O433&lt;15000,"low")</f>
        <v>low</v>
      </c>
      <c r="S433" s="22" t="str">
        <f t="shared" si="20"/>
        <v>low</v>
      </c>
    </row>
    <row r="434" spans="1:19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>
        <f t="shared" si="18"/>
        <v>14362</v>
      </c>
      <c r="Q434" s="22" t="str">
        <f t="shared" si="19"/>
        <v>low</v>
      </c>
      <c r="R434" s="22" t="str" cm="1">
        <f t="array" ref="R434">_xlfn.IFS(O434&gt;=20000,"high",O434&gt;=15000,"medium",O434&lt;15000,"low")</f>
        <v>low</v>
      </c>
      <c r="S434" s="22" t="str">
        <f t="shared" si="20"/>
        <v>low</v>
      </c>
    </row>
    <row r="435" spans="1:19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>
        <f t="shared" si="18"/>
        <v>3498.88</v>
      </c>
      <c r="Q435" s="22" t="str">
        <f t="shared" si="19"/>
        <v>low</v>
      </c>
      <c r="R435" s="22" t="str" cm="1">
        <f t="array" ref="R435">_xlfn.IFS(O435&gt;=20000,"high",O435&gt;=15000,"medium",O435&lt;15000,"low")</f>
        <v>low</v>
      </c>
      <c r="S435" s="22" t="str">
        <f t="shared" si="20"/>
        <v>low</v>
      </c>
    </row>
    <row r="436" spans="1:19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>
        <f t="shared" si="18"/>
        <v>10934.34</v>
      </c>
      <c r="Q436" s="22" t="str">
        <f t="shared" si="19"/>
        <v>low</v>
      </c>
      <c r="R436" s="22" t="str" cm="1">
        <f t="array" ref="R436">_xlfn.IFS(O436&gt;=20000,"high",O436&gt;=15000,"medium",O436&lt;15000,"low")</f>
        <v>low</v>
      </c>
      <c r="S436" s="22" t="str">
        <f t="shared" si="20"/>
        <v>low</v>
      </c>
    </row>
    <row r="437" spans="1:19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>
        <f t="shared" si="18"/>
        <v>11960.34</v>
      </c>
      <c r="Q437" s="22" t="str">
        <f t="shared" si="19"/>
        <v>low</v>
      </c>
      <c r="R437" s="22" t="str" cm="1">
        <f t="array" ref="R437">_xlfn.IFS(O437&gt;=20000,"high",O437&gt;=15000,"medium",O437&lt;15000,"low")</f>
        <v>low</v>
      </c>
      <c r="S437" s="22" t="str">
        <f t="shared" si="20"/>
        <v>low</v>
      </c>
    </row>
    <row r="438" spans="1:19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>
        <f t="shared" si="18"/>
        <v>22773.279999999999</v>
      </c>
      <c r="Q438" s="22" t="str">
        <f t="shared" si="19"/>
        <v>high</v>
      </c>
      <c r="R438" s="22" t="str" cm="1">
        <f t="array" ref="R438">_xlfn.IFS(O438&gt;=20000,"high",O438&gt;=15000,"medium",O438&lt;15000,"low")</f>
        <v>medium</v>
      </c>
      <c r="S438" s="22" t="str">
        <f t="shared" si="20"/>
        <v>mid</v>
      </c>
    </row>
    <row r="439" spans="1:19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>
        <f t="shared" si="18"/>
        <v>15581.099999999999</v>
      </c>
      <c r="Q439" s="22" t="str">
        <f t="shared" si="19"/>
        <v>low</v>
      </c>
      <c r="R439" s="22" t="str" cm="1">
        <f t="array" ref="R439">_xlfn.IFS(O439&gt;=20000,"high",O439&gt;=15000,"medium",O439&lt;15000,"low")</f>
        <v>low</v>
      </c>
      <c r="S439" s="22" t="str">
        <f t="shared" si="20"/>
        <v>low</v>
      </c>
    </row>
    <row r="440" spans="1:19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>
        <f t="shared" si="18"/>
        <v>4345.8599999999997</v>
      </c>
      <c r="Q440" s="22" t="str">
        <f t="shared" si="19"/>
        <v>low</v>
      </c>
      <c r="R440" s="22" t="str" cm="1">
        <f t="array" ref="R440">_xlfn.IFS(O440&gt;=20000,"high",O440&gt;=15000,"medium",O440&lt;15000,"low")</f>
        <v>low</v>
      </c>
      <c r="S440" s="22" t="str">
        <f t="shared" si="20"/>
        <v>low</v>
      </c>
    </row>
    <row r="441" spans="1:19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>
        <f t="shared" si="18"/>
        <v>3775.07</v>
      </c>
      <c r="Q441" s="22" t="str">
        <f t="shared" si="19"/>
        <v>low</v>
      </c>
      <c r="R441" s="22" t="str" cm="1">
        <f t="array" ref="R441">_xlfn.IFS(O441&gt;=20000,"high",O441&gt;=15000,"medium",O441&lt;15000,"low")</f>
        <v>low</v>
      </c>
      <c r="S441" s="22" t="str">
        <f t="shared" si="20"/>
        <v>low</v>
      </c>
    </row>
    <row r="442" spans="1:19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>
        <f t="shared" si="18"/>
        <v>6568.2000000000007</v>
      </c>
      <c r="Q442" s="22" t="str">
        <f t="shared" si="19"/>
        <v>low</v>
      </c>
      <c r="R442" s="22" t="str" cm="1">
        <f t="array" ref="R442">_xlfn.IFS(O442&gt;=20000,"high",O442&gt;=15000,"medium",O442&lt;15000,"low")</f>
        <v>low</v>
      </c>
      <c r="S442" s="22" t="str">
        <f t="shared" si="20"/>
        <v>low</v>
      </c>
    </row>
    <row r="443" spans="1:19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>
        <f t="shared" si="18"/>
        <v>26727.3</v>
      </c>
      <c r="Q443" s="22" t="str">
        <f t="shared" si="19"/>
        <v>high</v>
      </c>
      <c r="R443" s="22" t="str" cm="1">
        <f t="array" ref="R443">_xlfn.IFS(O443&gt;=20000,"high",O443&gt;=15000,"medium",O443&lt;15000,"low")</f>
        <v>high</v>
      </c>
      <c r="S443" s="22" t="str">
        <f t="shared" si="20"/>
        <v>high</v>
      </c>
    </row>
    <row r="444" spans="1:19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>
        <f t="shared" si="18"/>
        <v>18539.05</v>
      </c>
      <c r="Q444" s="22" t="str">
        <f t="shared" si="19"/>
        <v>high</v>
      </c>
      <c r="R444" s="22" t="str" cm="1">
        <f t="array" ref="R444">_xlfn.IFS(O444&gt;=20000,"high",O444&gt;=15000,"medium",O444&lt;15000,"low")</f>
        <v>medium</v>
      </c>
      <c r="S444" s="22" t="str">
        <f t="shared" si="20"/>
        <v>mid</v>
      </c>
    </row>
    <row r="445" spans="1:19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>
        <f t="shared" si="18"/>
        <v>7808.88</v>
      </c>
      <c r="Q445" s="22" t="str">
        <f t="shared" si="19"/>
        <v>low</v>
      </c>
      <c r="R445" s="22" t="str" cm="1">
        <f t="array" ref="R445">_xlfn.IFS(O445&gt;=20000,"high",O445&gt;=15000,"medium",O445&lt;15000,"low")</f>
        <v>low</v>
      </c>
      <c r="S445" s="22" t="str">
        <f t="shared" si="20"/>
        <v>low</v>
      </c>
    </row>
    <row r="446" spans="1:19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>
        <f t="shared" si="18"/>
        <v>23504.880000000001</v>
      </c>
      <c r="Q446" s="22" t="str">
        <f t="shared" si="19"/>
        <v>high</v>
      </c>
      <c r="R446" s="22" t="str" cm="1">
        <f t="array" ref="R446">_xlfn.IFS(O446&gt;=20000,"high",O446&gt;=15000,"medium",O446&lt;15000,"low")</f>
        <v>medium</v>
      </c>
      <c r="S446" s="22" t="str">
        <f t="shared" si="20"/>
        <v>mid</v>
      </c>
    </row>
    <row r="447" spans="1:19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>
        <f t="shared" si="18"/>
        <v>2633.24</v>
      </c>
      <c r="Q447" s="22" t="str">
        <f t="shared" si="19"/>
        <v>low</v>
      </c>
      <c r="R447" s="22" t="str" cm="1">
        <f t="array" ref="R447">_xlfn.IFS(O447&gt;=20000,"high",O447&gt;=15000,"medium",O447&lt;15000,"low")</f>
        <v>low</v>
      </c>
      <c r="S447" s="22" t="str">
        <f t="shared" si="20"/>
        <v>low</v>
      </c>
    </row>
    <row r="448" spans="1:19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>
        <f t="shared" si="18"/>
        <v>15484.84</v>
      </c>
      <c r="Q448" s="22" t="str">
        <f t="shared" si="19"/>
        <v>low</v>
      </c>
      <c r="R448" s="22" t="str" cm="1">
        <f t="array" ref="R448">_xlfn.IFS(O448&gt;=20000,"high",O448&gt;=15000,"medium",O448&lt;15000,"low")</f>
        <v>low</v>
      </c>
      <c r="S448" s="22" t="str">
        <f t="shared" si="20"/>
        <v>low</v>
      </c>
    </row>
    <row r="449" spans="1:19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>
        <f t="shared" si="18"/>
        <v>17977.82</v>
      </c>
      <c r="Q449" s="22" t="str">
        <f t="shared" si="19"/>
        <v>high</v>
      </c>
      <c r="R449" s="22" t="str" cm="1">
        <f t="array" ref="R449">_xlfn.IFS(O449&gt;=20000,"high",O449&gt;=15000,"medium",O449&lt;15000,"low")</f>
        <v>medium</v>
      </c>
      <c r="S449" s="22" t="str">
        <f t="shared" si="20"/>
        <v>mid</v>
      </c>
    </row>
    <row r="450" spans="1:19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>
        <f t="shared" si="18"/>
        <v>14931.88</v>
      </c>
      <c r="Q450" s="22" t="str">
        <f t="shared" si="19"/>
        <v>low</v>
      </c>
      <c r="R450" s="22" t="str" cm="1">
        <f t="array" ref="R450">_xlfn.IFS(O450&gt;=20000,"high",O450&gt;=15000,"medium",O450&lt;15000,"low")</f>
        <v>low</v>
      </c>
      <c r="S450" s="22" t="str">
        <f t="shared" si="20"/>
        <v>low</v>
      </c>
    </row>
    <row r="451" spans="1:19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>
        <f t="shared" ref="P451:P501" si="21">L451*M451</f>
        <v>19271</v>
      </c>
      <c r="Q451" s="22" t="str">
        <f t="shared" ref="Q451:Q501" si="22">IF(O451&gt;=15000,"high","low")</f>
        <v>high</v>
      </c>
      <c r="R451" s="22" t="str" cm="1">
        <f t="array" ref="R451">_xlfn.IFS(O451&gt;=20000,"high",O451&gt;=15000,"medium",O451&lt;15000,"low")</f>
        <v>medium</v>
      </c>
      <c r="S451" s="22" t="str">
        <f t="shared" ref="S451:S501" si="23">IF(O451&gt;=20000,"high",IF(O451&gt;=15000,"mid","low"))</f>
        <v>mid</v>
      </c>
    </row>
    <row r="452" spans="1:19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>
        <f t="shared" si="21"/>
        <v>9330.09</v>
      </c>
      <c r="Q452" s="22" t="str">
        <f t="shared" si="22"/>
        <v>low</v>
      </c>
      <c r="R452" s="22" t="str" cm="1">
        <f t="array" ref="R452">_xlfn.IFS(O452&gt;=20000,"high",O452&gt;=15000,"medium",O452&lt;15000,"low")</f>
        <v>low</v>
      </c>
      <c r="S452" s="22" t="str">
        <f t="shared" si="23"/>
        <v>low</v>
      </c>
    </row>
    <row r="453" spans="1:19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>
        <f t="shared" si="21"/>
        <v>1574.59</v>
      </c>
      <c r="Q453" s="22" t="str">
        <f t="shared" si="22"/>
        <v>low</v>
      </c>
      <c r="R453" s="22" t="str" cm="1">
        <f t="array" ref="R453">_xlfn.IFS(O453&gt;=20000,"high",O453&gt;=15000,"medium",O453&lt;15000,"low")</f>
        <v>low</v>
      </c>
      <c r="S453" s="22" t="str">
        <f t="shared" si="23"/>
        <v>low</v>
      </c>
    </row>
    <row r="454" spans="1:19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>
        <f t="shared" si="21"/>
        <v>13615.920000000002</v>
      </c>
      <c r="Q454" s="22" t="str">
        <f t="shared" si="22"/>
        <v>low</v>
      </c>
      <c r="R454" s="22" t="str" cm="1">
        <f t="array" ref="R454">_xlfn.IFS(O454&gt;=20000,"high",O454&gt;=15000,"medium",O454&lt;15000,"low")</f>
        <v>low</v>
      </c>
      <c r="S454" s="22" t="str">
        <f t="shared" si="23"/>
        <v>low</v>
      </c>
    </row>
    <row r="455" spans="1:19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>
        <f t="shared" si="21"/>
        <v>28724.04</v>
      </c>
      <c r="Q455" s="22" t="str">
        <f t="shared" si="22"/>
        <v>high</v>
      </c>
      <c r="R455" s="22" t="str" cm="1">
        <f t="array" ref="R455">_xlfn.IFS(O455&gt;=20000,"high",O455&gt;=15000,"medium",O455&lt;15000,"low")</f>
        <v>high</v>
      </c>
      <c r="S455" s="22" t="str">
        <f t="shared" si="23"/>
        <v>high</v>
      </c>
    </row>
    <row r="456" spans="1:19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>
        <f t="shared" si="21"/>
        <v>2748.46</v>
      </c>
      <c r="Q456" s="22" t="str">
        <f t="shared" si="22"/>
        <v>low</v>
      </c>
      <c r="R456" s="22" t="str" cm="1">
        <f t="array" ref="R456">_xlfn.IFS(O456&gt;=20000,"high",O456&gt;=15000,"medium",O456&lt;15000,"low")</f>
        <v>low</v>
      </c>
      <c r="S456" s="22" t="str">
        <f t="shared" si="23"/>
        <v>low</v>
      </c>
    </row>
    <row r="457" spans="1:19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>
        <f t="shared" si="21"/>
        <v>7145.88</v>
      </c>
      <c r="Q457" s="22" t="str">
        <f t="shared" si="22"/>
        <v>low</v>
      </c>
      <c r="R457" s="22" t="str" cm="1">
        <f t="array" ref="R457">_xlfn.IFS(O457&gt;=20000,"high",O457&gt;=15000,"medium",O457&lt;15000,"low")</f>
        <v>low</v>
      </c>
      <c r="S457" s="22" t="str">
        <f t="shared" si="23"/>
        <v>low</v>
      </c>
    </row>
    <row r="458" spans="1:19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>
        <f t="shared" si="21"/>
        <v>7403.3</v>
      </c>
      <c r="Q458" s="22" t="str">
        <f t="shared" si="22"/>
        <v>low</v>
      </c>
      <c r="R458" s="22" t="str" cm="1">
        <f t="array" ref="R458">_xlfn.IFS(O458&gt;=20000,"high",O458&gt;=15000,"medium",O458&lt;15000,"low")</f>
        <v>low</v>
      </c>
      <c r="S458" s="22" t="str">
        <f t="shared" si="23"/>
        <v>low</v>
      </c>
    </row>
    <row r="459" spans="1:19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>
        <f t="shared" si="21"/>
        <v>29616.39</v>
      </c>
      <c r="Q459" s="22" t="str">
        <f t="shared" si="22"/>
        <v>high</v>
      </c>
      <c r="R459" s="22" t="str" cm="1">
        <f t="array" ref="R459">_xlfn.IFS(O459&gt;=20000,"high",O459&gt;=15000,"medium",O459&lt;15000,"low")</f>
        <v>high</v>
      </c>
      <c r="S459" s="22" t="str">
        <f t="shared" si="23"/>
        <v>high</v>
      </c>
    </row>
    <row r="460" spans="1:19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>
        <f t="shared" si="21"/>
        <v>7787.6</v>
      </c>
      <c r="Q460" s="22" t="str">
        <f t="shared" si="22"/>
        <v>low</v>
      </c>
      <c r="R460" s="22" t="str" cm="1">
        <f t="array" ref="R460">_xlfn.IFS(O460&gt;=20000,"high",O460&gt;=15000,"medium",O460&lt;15000,"low")</f>
        <v>low</v>
      </c>
      <c r="S460" s="22" t="str">
        <f t="shared" si="23"/>
        <v>low</v>
      </c>
    </row>
    <row r="461" spans="1:19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>
        <f t="shared" si="21"/>
        <v>445.38</v>
      </c>
      <c r="Q461" s="22" t="str">
        <f t="shared" si="22"/>
        <v>low</v>
      </c>
      <c r="R461" s="22" t="str" cm="1">
        <f t="array" ref="R461">_xlfn.IFS(O461&gt;=20000,"high",O461&gt;=15000,"medium",O461&lt;15000,"low")</f>
        <v>low</v>
      </c>
      <c r="S461" s="22" t="str">
        <f t="shared" si="23"/>
        <v>low</v>
      </c>
    </row>
    <row r="462" spans="1:19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>
        <f t="shared" si="21"/>
        <v>3157.2</v>
      </c>
      <c r="Q462" s="22" t="str">
        <f t="shared" si="22"/>
        <v>low</v>
      </c>
      <c r="R462" s="22" t="str" cm="1">
        <f t="array" ref="R462">_xlfn.IFS(O462&gt;=20000,"high",O462&gt;=15000,"medium",O462&lt;15000,"low")</f>
        <v>low</v>
      </c>
      <c r="S462" s="22" t="str">
        <f t="shared" si="23"/>
        <v>low</v>
      </c>
    </row>
    <row r="463" spans="1:19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>
        <f t="shared" si="21"/>
        <v>2311.5</v>
      </c>
      <c r="Q463" s="22" t="str">
        <f t="shared" si="22"/>
        <v>low</v>
      </c>
      <c r="R463" s="22" t="str" cm="1">
        <f t="array" ref="R463">_xlfn.IFS(O463&gt;=20000,"high",O463&gt;=15000,"medium",O463&lt;15000,"low")</f>
        <v>low</v>
      </c>
      <c r="S463" s="22" t="str">
        <f t="shared" si="23"/>
        <v>low</v>
      </c>
    </row>
    <row r="464" spans="1:19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>
        <f t="shared" si="21"/>
        <v>10361.6</v>
      </c>
      <c r="Q464" s="22" t="str">
        <f t="shared" si="22"/>
        <v>low</v>
      </c>
      <c r="R464" s="22" t="str" cm="1">
        <f t="array" ref="R464">_xlfn.IFS(O464&gt;=20000,"high",O464&gt;=15000,"medium",O464&lt;15000,"low")</f>
        <v>low</v>
      </c>
      <c r="S464" s="22" t="str">
        <f t="shared" si="23"/>
        <v>low</v>
      </c>
    </row>
    <row r="465" spans="1:19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>
        <f t="shared" si="21"/>
        <v>559.4</v>
      </c>
      <c r="Q465" s="22" t="str">
        <f t="shared" si="22"/>
        <v>low</v>
      </c>
      <c r="R465" s="22" t="str" cm="1">
        <f t="array" ref="R465">_xlfn.IFS(O465&gt;=20000,"high",O465&gt;=15000,"medium",O465&lt;15000,"low")</f>
        <v>low</v>
      </c>
      <c r="S465" s="22" t="str">
        <f t="shared" si="23"/>
        <v>low</v>
      </c>
    </row>
    <row r="466" spans="1:19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>
        <f t="shared" si="21"/>
        <v>2357.7600000000002</v>
      </c>
      <c r="Q466" s="22" t="str">
        <f t="shared" si="22"/>
        <v>low</v>
      </c>
      <c r="R466" s="22" t="str" cm="1">
        <f t="array" ref="R466">_xlfn.IFS(O466&gt;=20000,"high",O466&gt;=15000,"medium",O466&lt;15000,"low")</f>
        <v>low</v>
      </c>
      <c r="S466" s="22" t="str">
        <f t="shared" si="23"/>
        <v>low</v>
      </c>
    </row>
    <row r="467" spans="1:19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>
        <f t="shared" si="21"/>
        <v>22638.239999999998</v>
      </c>
      <c r="Q467" s="22" t="str">
        <f t="shared" si="22"/>
        <v>high</v>
      </c>
      <c r="R467" s="22" t="str" cm="1">
        <f t="array" ref="R467">_xlfn.IFS(O467&gt;=20000,"high",O467&gt;=15000,"medium",O467&lt;15000,"low")</f>
        <v>high</v>
      </c>
      <c r="S467" s="22" t="str">
        <f t="shared" si="23"/>
        <v>high</v>
      </c>
    </row>
    <row r="468" spans="1:19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>
        <f t="shared" si="21"/>
        <v>14038.88</v>
      </c>
      <c r="Q468" s="22" t="str">
        <f t="shared" si="22"/>
        <v>low</v>
      </c>
      <c r="R468" s="22" t="str" cm="1">
        <f t="array" ref="R468">_xlfn.IFS(O468&gt;=20000,"high",O468&gt;=15000,"medium",O468&lt;15000,"low")</f>
        <v>low</v>
      </c>
      <c r="S468" s="22" t="str">
        <f t="shared" si="23"/>
        <v>low</v>
      </c>
    </row>
    <row r="469" spans="1:19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>
        <f t="shared" si="21"/>
        <v>17014.77</v>
      </c>
      <c r="Q469" s="22" t="str">
        <f t="shared" si="22"/>
        <v>low</v>
      </c>
      <c r="R469" s="22" t="str" cm="1">
        <f t="array" ref="R469">_xlfn.IFS(O469&gt;=20000,"high",O469&gt;=15000,"medium",O469&lt;15000,"low")</f>
        <v>low</v>
      </c>
      <c r="S469" s="22" t="str">
        <f t="shared" si="23"/>
        <v>low</v>
      </c>
    </row>
    <row r="470" spans="1:19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>
        <f t="shared" si="21"/>
        <v>19726.75</v>
      </c>
      <c r="Q470" s="22" t="str">
        <f t="shared" si="22"/>
        <v>high</v>
      </c>
      <c r="R470" s="22" t="str" cm="1">
        <f t="array" ref="R470">_xlfn.IFS(O470&gt;=20000,"high",O470&gt;=15000,"medium",O470&lt;15000,"low")</f>
        <v>medium</v>
      </c>
      <c r="S470" s="22" t="str">
        <f t="shared" si="23"/>
        <v>mid</v>
      </c>
    </row>
    <row r="471" spans="1:19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>
        <f t="shared" si="21"/>
        <v>1205.76</v>
      </c>
      <c r="Q471" s="22" t="str">
        <f t="shared" si="22"/>
        <v>low</v>
      </c>
      <c r="R471" s="22" t="str" cm="1">
        <f t="array" ref="R471">_xlfn.IFS(O471&gt;=20000,"high",O471&gt;=15000,"medium",O471&lt;15000,"low")</f>
        <v>low</v>
      </c>
      <c r="S471" s="22" t="str">
        <f t="shared" si="23"/>
        <v>low</v>
      </c>
    </row>
    <row r="472" spans="1:19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>
        <f t="shared" si="21"/>
        <v>22624.38</v>
      </c>
      <c r="Q472" s="22" t="str">
        <f t="shared" si="22"/>
        <v>high</v>
      </c>
      <c r="R472" s="22" t="str" cm="1">
        <f t="array" ref="R472">_xlfn.IFS(O472&gt;=20000,"high",O472&gt;=15000,"medium",O472&lt;15000,"low")</f>
        <v>high</v>
      </c>
      <c r="S472" s="22" t="str">
        <f t="shared" si="23"/>
        <v>high</v>
      </c>
    </row>
    <row r="473" spans="1:19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>
        <f t="shared" si="21"/>
        <v>12616.25</v>
      </c>
      <c r="Q473" s="22" t="str">
        <f t="shared" si="22"/>
        <v>low</v>
      </c>
      <c r="R473" s="22" t="str" cm="1">
        <f t="array" ref="R473">_xlfn.IFS(O473&gt;=20000,"high",O473&gt;=15000,"medium",O473&lt;15000,"low")</f>
        <v>low</v>
      </c>
      <c r="S473" s="22" t="str">
        <f t="shared" si="23"/>
        <v>low</v>
      </c>
    </row>
    <row r="474" spans="1:19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>
        <f t="shared" si="21"/>
        <v>11466.960000000001</v>
      </c>
      <c r="Q474" s="22" t="str">
        <f t="shared" si="22"/>
        <v>low</v>
      </c>
      <c r="R474" s="22" t="str" cm="1">
        <f t="array" ref="R474">_xlfn.IFS(O474&gt;=20000,"high",O474&gt;=15000,"medium",O474&lt;15000,"low")</f>
        <v>low</v>
      </c>
      <c r="S474" s="22" t="str">
        <f t="shared" si="23"/>
        <v>low</v>
      </c>
    </row>
    <row r="475" spans="1:19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>
        <f t="shared" si="21"/>
        <v>1678.25</v>
      </c>
      <c r="Q475" s="22" t="str">
        <f t="shared" si="22"/>
        <v>low</v>
      </c>
      <c r="R475" s="22" t="str" cm="1">
        <f t="array" ref="R475">_xlfn.IFS(O475&gt;=20000,"high",O475&gt;=15000,"medium",O475&lt;15000,"low")</f>
        <v>low</v>
      </c>
      <c r="S475" s="22" t="str">
        <f t="shared" si="23"/>
        <v>low</v>
      </c>
    </row>
    <row r="476" spans="1:19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>
        <f t="shared" si="21"/>
        <v>13322.61</v>
      </c>
      <c r="Q476" s="22" t="str">
        <f t="shared" si="22"/>
        <v>low</v>
      </c>
      <c r="R476" s="22" t="str" cm="1">
        <f t="array" ref="R476">_xlfn.IFS(O476&gt;=20000,"high",O476&gt;=15000,"medium",O476&lt;15000,"low")</f>
        <v>low</v>
      </c>
      <c r="S476" s="22" t="str">
        <f t="shared" si="23"/>
        <v>low</v>
      </c>
    </row>
    <row r="477" spans="1:19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>
        <f t="shared" si="21"/>
        <v>6990.4</v>
      </c>
      <c r="Q477" s="22" t="str">
        <f t="shared" si="22"/>
        <v>low</v>
      </c>
      <c r="R477" s="22" t="str" cm="1">
        <f t="array" ref="R477">_xlfn.IFS(O477&gt;=20000,"high",O477&gt;=15000,"medium",O477&lt;15000,"low")</f>
        <v>low</v>
      </c>
      <c r="S477" s="22" t="str">
        <f t="shared" si="23"/>
        <v>low</v>
      </c>
    </row>
    <row r="478" spans="1:19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>
        <f t="shared" si="21"/>
        <v>5924.8</v>
      </c>
      <c r="Q478" s="22" t="str">
        <f t="shared" si="22"/>
        <v>low</v>
      </c>
      <c r="R478" s="22" t="str" cm="1">
        <f t="array" ref="R478">_xlfn.IFS(O478&gt;=20000,"high",O478&gt;=15000,"medium",O478&lt;15000,"low")</f>
        <v>low</v>
      </c>
      <c r="S478" s="22" t="str">
        <f t="shared" si="23"/>
        <v>low</v>
      </c>
    </row>
    <row r="479" spans="1:19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>
        <f t="shared" si="21"/>
        <v>3355.6</v>
      </c>
      <c r="Q479" s="22" t="str">
        <f t="shared" si="22"/>
        <v>low</v>
      </c>
      <c r="R479" s="22" t="str" cm="1">
        <f t="array" ref="R479">_xlfn.IFS(O479&gt;=20000,"high",O479&gt;=15000,"medium",O479&lt;15000,"low")</f>
        <v>low</v>
      </c>
      <c r="S479" s="22" t="str">
        <f t="shared" si="23"/>
        <v>low</v>
      </c>
    </row>
    <row r="480" spans="1:19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>
        <f t="shared" si="21"/>
        <v>2732.73</v>
      </c>
      <c r="Q480" s="22" t="str">
        <f t="shared" si="22"/>
        <v>low</v>
      </c>
      <c r="R480" s="22" t="str" cm="1">
        <f t="array" ref="R480">_xlfn.IFS(O480&gt;=20000,"high",O480&gt;=15000,"medium",O480&lt;15000,"low")</f>
        <v>low</v>
      </c>
      <c r="S480" s="22" t="str">
        <f t="shared" si="23"/>
        <v>low</v>
      </c>
    </row>
    <row r="481" spans="1:19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>
        <f t="shared" si="21"/>
        <v>5070</v>
      </c>
      <c r="Q481" s="22" t="str">
        <f t="shared" si="22"/>
        <v>low</v>
      </c>
      <c r="R481" s="22" t="str" cm="1">
        <f t="array" ref="R481">_xlfn.IFS(O481&gt;=20000,"high",O481&gt;=15000,"medium",O481&lt;15000,"low")</f>
        <v>low</v>
      </c>
      <c r="S481" s="22" t="str">
        <f t="shared" si="23"/>
        <v>low</v>
      </c>
    </row>
    <row r="482" spans="1:19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>
        <f t="shared" si="21"/>
        <v>9284.08</v>
      </c>
      <c r="Q482" s="22" t="str">
        <f t="shared" si="22"/>
        <v>low</v>
      </c>
      <c r="R482" s="22" t="str" cm="1">
        <f t="array" ref="R482">_xlfn.IFS(O482&gt;=20000,"high",O482&gt;=15000,"medium",O482&lt;15000,"low")</f>
        <v>low</v>
      </c>
      <c r="S482" s="22" t="str">
        <f t="shared" si="23"/>
        <v>low</v>
      </c>
    </row>
    <row r="483" spans="1:19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>
        <f t="shared" si="21"/>
        <v>15205.679999999998</v>
      </c>
      <c r="Q483" s="22" t="str">
        <f t="shared" si="22"/>
        <v>low</v>
      </c>
      <c r="R483" s="22" t="str" cm="1">
        <f t="array" ref="R483">_xlfn.IFS(O483&gt;=20000,"high",O483&gt;=15000,"medium",O483&lt;15000,"low")</f>
        <v>low</v>
      </c>
      <c r="S483" s="22" t="str">
        <f t="shared" si="23"/>
        <v>low</v>
      </c>
    </row>
    <row r="484" spans="1:19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>
        <f t="shared" si="21"/>
        <v>1734.4499999999998</v>
      </c>
      <c r="Q484" s="22" t="str">
        <f t="shared" si="22"/>
        <v>low</v>
      </c>
      <c r="R484" s="22" t="str" cm="1">
        <f t="array" ref="R484">_xlfn.IFS(O484&gt;=20000,"high",O484&gt;=15000,"medium",O484&lt;15000,"low")</f>
        <v>low</v>
      </c>
      <c r="S484" s="22" t="str">
        <f t="shared" si="23"/>
        <v>low</v>
      </c>
    </row>
    <row r="485" spans="1:19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>
        <f t="shared" si="21"/>
        <v>27939.599999999999</v>
      </c>
      <c r="Q485" s="22" t="str">
        <f t="shared" si="22"/>
        <v>high</v>
      </c>
      <c r="R485" s="22" t="str" cm="1">
        <f t="array" ref="R485">_xlfn.IFS(O485&gt;=20000,"high",O485&gt;=15000,"medium",O485&lt;15000,"low")</f>
        <v>high</v>
      </c>
      <c r="S485" s="22" t="str">
        <f t="shared" si="23"/>
        <v>high</v>
      </c>
    </row>
    <row r="486" spans="1:19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>
        <f t="shared" si="21"/>
        <v>2589.6799999999998</v>
      </c>
      <c r="Q486" s="22" t="str">
        <f t="shared" si="22"/>
        <v>low</v>
      </c>
      <c r="R486" s="22" t="str" cm="1">
        <f t="array" ref="R486">_xlfn.IFS(O486&gt;=20000,"high",O486&gt;=15000,"medium",O486&lt;15000,"low")</f>
        <v>low</v>
      </c>
      <c r="S486" s="22" t="str">
        <f t="shared" si="23"/>
        <v>low</v>
      </c>
    </row>
    <row r="487" spans="1:19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>
        <f t="shared" si="21"/>
        <v>6981.93</v>
      </c>
      <c r="Q487" s="22" t="str">
        <f t="shared" si="22"/>
        <v>low</v>
      </c>
      <c r="R487" s="22" t="str" cm="1">
        <f t="array" ref="R487">_xlfn.IFS(O487&gt;=20000,"high",O487&gt;=15000,"medium",O487&lt;15000,"low")</f>
        <v>low</v>
      </c>
      <c r="S487" s="22" t="str">
        <f t="shared" si="23"/>
        <v>low</v>
      </c>
    </row>
    <row r="488" spans="1:19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>
        <f t="shared" si="21"/>
        <v>11004.56</v>
      </c>
      <c r="Q488" s="22" t="str">
        <f t="shared" si="22"/>
        <v>low</v>
      </c>
      <c r="R488" s="22" t="str" cm="1">
        <f t="array" ref="R488">_xlfn.IFS(O488&gt;=20000,"high",O488&gt;=15000,"medium",O488&lt;15000,"low")</f>
        <v>low</v>
      </c>
      <c r="S488" s="22" t="str">
        <f t="shared" si="23"/>
        <v>low</v>
      </c>
    </row>
    <row r="489" spans="1:19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>
        <f t="shared" si="21"/>
        <v>296.63</v>
      </c>
      <c r="Q489" s="22" t="str">
        <f t="shared" si="22"/>
        <v>low</v>
      </c>
      <c r="R489" s="22" t="str" cm="1">
        <f t="array" ref="R489">_xlfn.IFS(O489&gt;=20000,"high",O489&gt;=15000,"medium",O489&lt;15000,"low")</f>
        <v>low</v>
      </c>
      <c r="S489" s="22" t="str">
        <f t="shared" si="23"/>
        <v>low</v>
      </c>
    </row>
    <row r="490" spans="1:19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>
        <f t="shared" si="21"/>
        <v>20295.04</v>
      </c>
      <c r="Q490" s="22" t="str">
        <f t="shared" si="22"/>
        <v>high</v>
      </c>
      <c r="R490" s="22" t="str" cm="1">
        <f t="array" ref="R490">_xlfn.IFS(O490&gt;=20000,"high",O490&gt;=15000,"medium",O490&lt;15000,"low")</f>
        <v>medium</v>
      </c>
      <c r="S490" s="22" t="str">
        <f t="shared" si="23"/>
        <v>mid</v>
      </c>
    </row>
    <row r="491" spans="1:19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>
        <f t="shared" si="21"/>
        <v>19866.419999999998</v>
      </c>
      <c r="Q491" s="22" t="str">
        <f t="shared" si="22"/>
        <v>high</v>
      </c>
      <c r="R491" s="22" t="str" cm="1">
        <f t="array" ref="R491">_xlfn.IFS(O491&gt;=20000,"high",O491&gt;=15000,"medium",O491&lt;15000,"low")</f>
        <v>medium</v>
      </c>
      <c r="S491" s="22" t="str">
        <f t="shared" si="23"/>
        <v>mid</v>
      </c>
    </row>
    <row r="492" spans="1:19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>
        <f t="shared" si="21"/>
        <v>4887.1499999999996</v>
      </c>
      <c r="Q492" s="22" t="str">
        <f t="shared" si="22"/>
        <v>low</v>
      </c>
      <c r="R492" s="22" t="str" cm="1">
        <f t="array" ref="R492">_xlfn.IFS(O492&gt;=20000,"high",O492&gt;=15000,"medium",O492&lt;15000,"low")</f>
        <v>low</v>
      </c>
      <c r="S492" s="22" t="str">
        <f t="shared" si="23"/>
        <v>low</v>
      </c>
    </row>
    <row r="493" spans="1:19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>
        <f t="shared" si="21"/>
        <v>1557.8</v>
      </c>
      <c r="Q493" s="22" t="str">
        <f t="shared" si="22"/>
        <v>low</v>
      </c>
      <c r="R493" s="22" t="str" cm="1">
        <f t="array" ref="R493">_xlfn.IFS(O493&gt;=20000,"high",O493&gt;=15000,"medium",O493&lt;15000,"low")</f>
        <v>low</v>
      </c>
      <c r="S493" s="22" t="str">
        <f t="shared" si="23"/>
        <v>low</v>
      </c>
    </row>
    <row r="494" spans="1:19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>
        <f t="shared" si="21"/>
        <v>10850.21</v>
      </c>
      <c r="Q494" s="22" t="str">
        <f t="shared" si="22"/>
        <v>low</v>
      </c>
      <c r="R494" s="22" t="str" cm="1">
        <f t="array" ref="R494">_xlfn.IFS(O494&gt;=20000,"high",O494&gt;=15000,"medium",O494&lt;15000,"low")</f>
        <v>low</v>
      </c>
      <c r="S494" s="22" t="str">
        <f t="shared" si="23"/>
        <v>low</v>
      </c>
    </row>
    <row r="495" spans="1:19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>
        <f t="shared" si="21"/>
        <v>2647.9500000000003</v>
      </c>
      <c r="Q495" s="22" t="str">
        <f t="shared" si="22"/>
        <v>low</v>
      </c>
      <c r="R495" s="22" t="str" cm="1">
        <f t="array" ref="R495">_xlfn.IFS(O495&gt;=20000,"high",O495&gt;=15000,"medium",O495&lt;15000,"low")</f>
        <v>low</v>
      </c>
      <c r="S495" s="22" t="str">
        <f t="shared" si="23"/>
        <v>low</v>
      </c>
    </row>
    <row r="496" spans="1:19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>
        <f t="shared" si="21"/>
        <v>4787.5200000000004</v>
      </c>
      <c r="Q496" s="22" t="str">
        <f t="shared" si="22"/>
        <v>low</v>
      </c>
      <c r="R496" s="22" t="str" cm="1">
        <f t="array" ref="R496">_xlfn.IFS(O496&gt;=20000,"high",O496&gt;=15000,"medium",O496&lt;15000,"low")</f>
        <v>low</v>
      </c>
      <c r="S496" s="22" t="str">
        <f t="shared" si="23"/>
        <v>low</v>
      </c>
    </row>
    <row r="497" spans="1:19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>
        <f t="shared" si="21"/>
        <v>6773.4600000000009</v>
      </c>
      <c r="Q497" s="22" t="str">
        <f t="shared" si="22"/>
        <v>low</v>
      </c>
      <c r="R497" s="22" t="str" cm="1">
        <f t="array" ref="R497">_xlfn.IFS(O497&gt;=20000,"high",O497&gt;=15000,"medium",O497&lt;15000,"low")</f>
        <v>low</v>
      </c>
      <c r="S497" s="22" t="str">
        <f t="shared" si="23"/>
        <v>low</v>
      </c>
    </row>
    <row r="498" spans="1:19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>
        <f t="shared" si="21"/>
        <v>6437.75</v>
      </c>
      <c r="Q498" s="22" t="str">
        <f t="shared" si="22"/>
        <v>low</v>
      </c>
      <c r="R498" s="22" t="str" cm="1">
        <f t="array" ref="R498">_xlfn.IFS(O498&gt;=20000,"high",O498&gt;=15000,"medium",O498&lt;15000,"low")</f>
        <v>low</v>
      </c>
      <c r="S498" s="22" t="str">
        <f t="shared" si="23"/>
        <v>low</v>
      </c>
    </row>
    <row r="499" spans="1:19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>
        <f t="shared" si="21"/>
        <v>19713.509999999998</v>
      </c>
      <c r="Q499" s="22" t="str">
        <f t="shared" si="22"/>
        <v>high</v>
      </c>
      <c r="R499" s="22" t="str" cm="1">
        <f t="array" ref="R499">_xlfn.IFS(O499&gt;=20000,"high",O499&gt;=15000,"medium",O499&lt;15000,"low")</f>
        <v>medium</v>
      </c>
      <c r="S499" s="22" t="str">
        <f t="shared" si="23"/>
        <v>mid</v>
      </c>
    </row>
    <row r="500" spans="1:19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>
        <f t="shared" si="21"/>
        <v>5523.62</v>
      </c>
      <c r="Q500" s="22" t="str">
        <f t="shared" si="22"/>
        <v>low</v>
      </c>
      <c r="R500" s="22" t="str" cm="1">
        <f t="array" ref="R500">_xlfn.IFS(O500&gt;=20000,"high",O500&gt;=15000,"medium",O500&lt;15000,"low")</f>
        <v>low</v>
      </c>
      <c r="S500" s="22" t="str">
        <f t="shared" si="23"/>
        <v>low</v>
      </c>
    </row>
    <row r="501" spans="1:19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>
        <f t="shared" si="21"/>
        <v>2432.17</v>
      </c>
      <c r="Q501" s="22" t="str">
        <f t="shared" si="22"/>
        <v>low</v>
      </c>
      <c r="R501" s="22" t="str" cm="1">
        <f t="array" ref="R501">_xlfn.IFS(O501&gt;=20000,"high",O501&gt;=15000,"medium",O501&lt;15000,"low")</f>
        <v>low</v>
      </c>
      <c r="S501" s="22" t="str">
        <f t="shared" si="23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980B-CA75-4A5F-BF5D-5B3B7FEB9119}">
  <dimension ref="A1:Z501"/>
  <sheetViews>
    <sheetView topLeftCell="I1" zoomScale="105" workbookViewId="0">
      <selection activeCell="S10" sqref="S10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10" width="15.777343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10" bestFit="1" customWidth="1"/>
    <col min="17" max="17" width="25.109375" bestFit="1" customWidth="1"/>
    <col min="18" max="18" width="17.77734375" bestFit="1" customWidth="1"/>
    <col min="19" max="19" width="28.33203125" bestFit="1" customWidth="1"/>
    <col min="20" max="20" width="11.33203125" bestFit="1" customWidth="1"/>
    <col min="21" max="21" width="14.5546875" bestFit="1" customWidth="1"/>
    <col min="22" max="22" width="14.88671875" bestFit="1" customWidth="1"/>
  </cols>
  <sheetData>
    <row r="1" spans="1:26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70</v>
      </c>
      <c r="Q1" s="45" t="s">
        <v>74</v>
      </c>
      <c r="R1" s="46"/>
      <c r="S1" s="15"/>
      <c r="T1" s="1" t="s">
        <v>17</v>
      </c>
      <c r="U1" s="1" t="s">
        <v>19</v>
      </c>
      <c r="V1" s="1" t="s">
        <v>18</v>
      </c>
      <c r="W1" s="1" t="s">
        <v>21</v>
      </c>
    </row>
    <row r="2" spans="1:26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>
        <f>L2*M2</f>
        <v>19907.09</v>
      </c>
      <c r="Q2" s="47">
        <f>SUM(L2:L501)</f>
        <v>2553</v>
      </c>
      <c r="R2" s="48"/>
      <c r="T2" s="1" t="s">
        <v>24</v>
      </c>
      <c r="U2" s="1" t="s">
        <v>26</v>
      </c>
      <c r="V2" s="1" t="s">
        <v>25</v>
      </c>
      <c r="W2" s="1" t="s">
        <v>28</v>
      </c>
      <c r="Y2" s="50" t="s">
        <v>91</v>
      </c>
      <c r="Z2" s="50"/>
    </row>
    <row r="3" spans="1:26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>
        <f t="shared" ref="P3:P66" si="0">L3*M3</f>
        <v>22727.07</v>
      </c>
      <c r="T3" s="1" t="s">
        <v>30</v>
      </c>
      <c r="U3" s="1" t="s">
        <v>31</v>
      </c>
      <c r="V3" s="1" t="s">
        <v>35</v>
      </c>
      <c r="W3" s="1" t="s">
        <v>33</v>
      </c>
      <c r="Y3" s="50"/>
      <c r="Z3" s="50"/>
    </row>
    <row r="4" spans="1:26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>
        <f t="shared" si="0"/>
        <v>20846.04</v>
      </c>
      <c r="U4" s="1" t="s">
        <v>49</v>
      </c>
      <c r="V4" s="1" t="s">
        <v>42</v>
      </c>
      <c r="W4" s="1" t="s">
        <v>45</v>
      </c>
      <c r="Y4" s="1">
        <v>5</v>
      </c>
      <c r="Z4" s="1">
        <f>AVERAGEA(Y4:Y12)</f>
        <v>2.3333333333333335</v>
      </c>
    </row>
    <row r="5" spans="1:26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>
        <f t="shared" si="0"/>
        <v>1008.79</v>
      </c>
      <c r="U5" s="1" t="s">
        <v>52</v>
      </c>
      <c r="V5" s="1" t="s">
        <v>44</v>
      </c>
      <c r="W5" s="1" t="s">
        <v>47</v>
      </c>
      <c r="Y5" s="1">
        <v>9</v>
      </c>
      <c r="Z5" s="1"/>
    </row>
    <row r="6" spans="1:26" ht="18" x14ac:dyDescent="0.35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>
        <f t="shared" si="0"/>
        <v>24580.289999999997</v>
      </c>
      <c r="Q6" s="51" t="s">
        <v>92</v>
      </c>
      <c r="R6" s="51"/>
      <c r="U6" s="1" t="s">
        <v>57</v>
      </c>
      <c r="V6" s="1"/>
      <c r="Y6" s="1">
        <v>2</v>
      </c>
      <c r="Z6" s="1"/>
    </row>
    <row r="7" spans="1:26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>
        <f t="shared" si="0"/>
        <v>9568.6500000000015</v>
      </c>
      <c r="Q7" s="3" t="s">
        <v>8</v>
      </c>
      <c r="R7" s="1"/>
      <c r="U7" s="1"/>
      <c r="Y7" s="1" t="s">
        <v>87</v>
      </c>
      <c r="Z7" s="1"/>
    </row>
    <row r="8" spans="1:26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>
        <f t="shared" si="0"/>
        <v>15152.1</v>
      </c>
      <c r="Q8" s="1" t="s">
        <v>26</v>
      </c>
      <c r="R8" s="1">
        <f>SUMIF(I2:I501,Q8,L2:L501)</f>
        <v>377</v>
      </c>
      <c r="Y8" s="1" t="s">
        <v>88</v>
      </c>
      <c r="Z8" s="1"/>
    </row>
    <row r="9" spans="1:26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>
        <f t="shared" si="0"/>
        <v>9243.32</v>
      </c>
      <c r="Q9" s="1"/>
      <c r="R9" s="1"/>
      <c r="Y9" s="1">
        <v>5</v>
      </c>
      <c r="Z9" s="1"/>
    </row>
    <row r="10" spans="1:26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>
        <f t="shared" si="0"/>
        <v>5490.2</v>
      </c>
      <c r="Q10" s="11" t="s">
        <v>6</v>
      </c>
      <c r="R10" s="12" t="s">
        <v>14</v>
      </c>
      <c r="Y10" s="1" t="s">
        <v>89</v>
      </c>
      <c r="Z10" s="1"/>
    </row>
    <row r="11" spans="1:26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>
        <f t="shared" si="0"/>
        <v>8903.3000000000011</v>
      </c>
      <c r="Q11" s="13" t="s">
        <v>17</v>
      </c>
      <c r="R11" s="14">
        <f>SUMIF(G2:G501,Q11,O2:O501)</f>
        <v>1576040.5100000002</v>
      </c>
      <c r="Y11" s="1">
        <v>0</v>
      </c>
      <c r="Z11" s="1"/>
    </row>
    <row r="12" spans="1:26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>
        <f t="shared" si="0"/>
        <v>19231.5</v>
      </c>
      <c r="Y12" s="1" t="s">
        <v>90</v>
      </c>
      <c r="Z12" s="1"/>
    </row>
    <row r="13" spans="1:26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>
        <f t="shared" si="0"/>
        <v>1634.1000000000001</v>
      </c>
    </row>
    <row r="14" spans="1:26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>
        <f t="shared" si="0"/>
        <v>25287.200000000001</v>
      </c>
    </row>
    <row r="15" spans="1:26" ht="14.4" customHeight="1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>
        <f t="shared" si="0"/>
        <v>8594.16</v>
      </c>
      <c r="Q15" s="52" t="s">
        <v>79</v>
      </c>
      <c r="R15" s="53"/>
      <c r="S15" s="54"/>
    </row>
    <row r="16" spans="1:26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>
        <f t="shared" si="0"/>
        <v>6350.31</v>
      </c>
      <c r="Q16" s="55"/>
      <c r="R16" s="56"/>
      <c r="S16" s="57"/>
    </row>
    <row r="17" spans="1:19" ht="18" x14ac:dyDescent="0.35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>
        <f t="shared" si="0"/>
        <v>4763.6000000000004</v>
      </c>
      <c r="Q17" s="18" t="s">
        <v>6</v>
      </c>
      <c r="R17" s="16" t="s">
        <v>8</v>
      </c>
      <c r="S17" s="17" t="s">
        <v>78</v>
      </c>
    </row>
    <row r="18" spans="1:19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>
        <f t="shared" si="0"/>
        <v>509.82</v>
      </c>
      <c r="Q18" s="1" t="s">
        <v>24</v>
      </c>
      <c r="R18" s="1" t="s">
        <v>49</v>
      </c>
      <c r="S18" s="1">
        <f>SUMIFS(L2:L501,G2:G501,Q18,I2:I501,R18)</f>
        <v>206</v>
      </c>
    </row>
    <row r="19" spans="1:19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>
        <f t="shared" si="0"/>
        <v>2165.81</v>
      </c>
    </row>
    <row r="20" spans="1:19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>
        <f t="shared" si="0"/>
        <v>1980.6</v>
      </c>
      <c r="Q20" s="3" t="s">
        <v>7</v>
      </c>
      <c r="R20" s="3" t="s">
        <v>10</v>
      </c>
      <c r="S20" s="3" t="s">
        <v>14</v>
      </c>
    </row>
    <row r="21" spans="1:19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>
        <f t="shared" si="0"/>
        <v>7918.62</v>
      </c>
      <c r="Q21" s="1" t="s">
        <v>42</v>
      </c>
      <c r="R21" s="1" t="s">
        <v>33</v>
      </c>
      <c r="S21" s="1">
        <f>SUMIFS(O2:O501,H2:H501,Q21,K2:K501,R21)</f>
        <v>163401.51999999999</v>
      </c>
    </row>
    <row r="22" spans="1:19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>
        <f t="shared" si="0"/>
        <v>7084.74</v>
      </c>
    </row>
    <row r="23" spans="1:19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>
        <f t="shared" si="0"/>
        <v>4766.0200000000004</v>
      </c>
      <c r="Q23" t="s">
        <v>80</v>
      </c>
      <c r="R23">
        <f>SUM(P2:P501)</f>
        <v>5134263.8099999949</v>
      </c>
    </row>
    <row r="24" spans="1:19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>
        <f t="shared" si="0"/>
        <v>5603.48</v>
      </c>
    </row>
    <row r="25" spans="1:19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>
        <f t="shared" si="0"/>
        <v>3606.31</v>
      </c>
      <c r="Q25" s="58" t="s">
        <v>82</v>
      </c>
      <c r="R25" s="58"/>
    </row>
    <row r="26" spans="1:19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>
        <f t="shared" si="0"/>
        <v>18113.64</v>
      </c>
      <c r="Q26" s="1" t="s">
        <v>83</v>
      </c>
      <c r="R26" s="1">
        <f>SUMPRODUCT(L2:L501,M2:M501)</f>
        <v>5134263.8099999949</v>
      </c>
    </row>
    <row r="27" spans="1:19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>
        <f t="shared" si="0"/>
        <v>3998.61</v>
      </c>
      <c r="Q27" s="1" t="s">
        <v>81</v>
      </c>
      <c r="R27" s="1">
        <f>SUMPRODUCT(L2:L501,M2:M501,N2:N501)/100</f>
        <v>519774.77300000028</v>
      </c>
    </row>
    <row r="28" spans="1:19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>
        <f t="shared" si="0"/>
        <v>10797.45</v>
      </c>
      <c r="Q28" s="59" t="s">
        <v>86</v>
      </c>
      <c r="R28" s="59"/>
    </row>
    <row r="29" spans="1:19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>
        <f t="shared" si="0"/>
        <v>19239.78</v>
      </c>
      <c r="Q29" s="3" t="s">
        <v>10</v>
      </c>
      <c r="R29" s="1" t="s">
        <v>84</v>
      </c>
    </row>
    <row r="30" spans="1:19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>
        <f t="shared" si="0"/>
        <v>2278.41</v>
      </c>
      <c r="Q30" s="1" t="s">
        <v>47</v>
      </c>
      <c r="R30" s="1">
        <f>AVERAGEIF(K2:K501,Q30,O2:O501)</f>
        <v>9778.0082857142861</v>
      </c>
    </row>
    <row r="31" spans="1:19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>
        <f t="shared" si="0"/>
        <v>349.38</v>
      </c>
    </row>
    <row r="32" spans="1:19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>
        <f t="shared" si="0"/>
        <v>11478.25</v>
      </c>
      <c r="Q32" s="49" t="s">
        <v>85</v>
      </c>
      <c r="R32" s="49"/>
      <c r="S32" s="49"/>
    </row>
    <row r="33" spans="1:19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>
        <f t="shared" si="0"/>
        <v>3002.96</v>
      </c>
      <c r="Q33" s="3" t="s">
        <v>10</v>
      </c>
      <c r="R33" s="18" t="s">
        <v>6</v>
      </c>
      <c r="S33" s="3" t="s">
        <v>84</v>
      </c>
    </row>
    <row r="34" spans="1:19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>
        <f t="shared" si="0"/>
        <v>23542.26</v>
      </c>
      <c r="Q34" s="1" t="s">
        <v>45</v>
      </c>
      <c r="R34" s="1" t="s">
        <v>24</v>
      </c>
      <c r="S34" s="1">
        <f>AVERAGEIFS(O2:O501,K2:K501,Q34,G2:G501,R34)</f>
        <v>7414.8812500000013</v>
      </c>
    </row>
    <row r="35" spans="1:19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>
        <f t="shared" si="0"/>
        <v>9177.5399999999991</v>
      </c>
    </row>
    <row r="36" spans="1:19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>
        <f t="shared" si="0"/>
        <v>25652.48</v>
      </c>
    </row>
    <row r="37" spans="1:19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>
        <f t="shared" si="0"/>
        <v>11639.5</v>
      </c>
    </row>
    <row r="38" spans="1:19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>
        <f t="shared" si="0"/>
        <v>3413.16</v>
      </c>
    </row>
    <row r="39" spans="1:19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>
        <f t="shared" si="0"/>
        <v>4812.22</v>
      </c>
    </row>
    <row r="40" spans="1:19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>
        <f t="shared" si="0"/>
        <v>16585.940000000002</v>
      </c>
    </row>
    <row r="41" spans="1:19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>
        <f t="shared" si="0"/>
        <v>18499.5</v>
      </c>
    </row>
    <row r="42" spans="1:19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>
        <f t="shared" si="0"/>
        <v>25270.400000000001</v>
      </c>
    </row>
    <row r="43" spans="1:19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>
        <f t="shared" si="0"/>
        <v>4846.68</v>
      </c>
    </row>
    <row r="44" spans="1:19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>
        <f t="shared" si="0"/>
        <v>4681.75</v>
      </c>
    </row>
    <row r="45" spans="1:19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>
        <f t="shared" si="0"/>
        <v>858.04</v>
      </c>
    </row>
    <row r="46" spans="1:19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>
        <f t="shared" si="0"/>
        <v>2764.92</v>
      </c>
    </row>
    <row r="47" spans="1:19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>
        <f t="shared" si="0"/>
        <v>3558.32</v>
      </c>
    </row>
    <row r="48" spans="1:19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>
        <f t="shared" si="0"/>
        <v>1769.93</v>
      </c>
    </row>
    <row r="49" spans="1:16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>
        <f t="shared" si="0"/>
        <v>12332.4</v>
      </c>
    </row>
    <row r="50" spans="1:16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>
        <f t="shared" si="0"/>
        <v>22547.22</v>
      </c>
    </row>
    <row r="51" spans="1:16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>
        <f t="shared" si="0"/>
        <v>8102.64</v>
      </c>
    </row>
    <row r="52" spans="1:16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>
        <f t="shared" si="0"/>
        <v>5558.0999999999995</v>
      </c>
    </row>
    <row r="53" spans="1:16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>
        <f t="shared" si="0"/>
        <v>8005.5599999999995</v>
      </c>
    </row>
    <row r="54" spans="1:16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>
        <f t="shared" si="0"/>
        <v>12670.35</v>
      </c>
    </row>
    <row r="55" spans="1:16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>
        <f t="shared" si="0"/>
        <v>11428.96</v>
      </c>
    </row>
    <row r="56" spans="1:16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>
        <f t="shared" si="0"/>
        <v>7446.38</v>
      </c>
    </row>
    <row r="57" spans="1:16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>
        <f t="shared" si="0"/>
        <v>20416.32</v>
      </c>
    </row>
    <row r="58" spans="1:16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>
        <f t="shared" si="0"/>
        <v>9110.9700000000012</v>
      </c>
    </row>
    <row r="59" spans="1:16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>
        <f t="shared" si="0"/>
        <v>8565.6</v>
      </c>
    </row>
    <row r="60" spans="1:16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>
        <f t="shared" si="0"/>
        <v>16978.88</v>
      </c>
    </row>
    <row r="61" spans="1:16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>
        <f t="shared" si="0"/>
        <v>25026</v>
      </c>
    </row>
    <row r="62" spans="1:16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>
        <f t="shared" si="0"/>
        <v>2236.92</v>
      </c>
    </row>
    <row r="63" spans="1:16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>
        <f t="shared" si="0"/>
        <v>22554.720000000001</v>
      </c>
    </row>
    <row r="64" spans="1:16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>
        <f t="shared" si="0"/>
        <v>15874.26</v>
      </c>
    </row>
    <row r="65" spans="1:16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>
        <f t="shared" si="0"/>
        <v>2082.4</v>
      </c>
    </row>
    <row r="66" spans="1:16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>
        <f t="shared" si="0"/>
        <v>5546.42</v>
      </c>
    </row>
    <row r="67" spans="1:16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>
        <f t="shared" ref="P67:P130" si="1">L67*M67</f>
        <v>30157.68</v>
      </c>
    </row>
    <row r="68" spans="1:16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>
        <f t="shared" si="1"/>
        <v>330.13</v>
      </c>
    </row>
    <row r="69" spans="1:16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>
        <f t="shared" si="1"/>
        <v>8283.9600000000009</v>
      </c>
    </row>
    <row r="70" spans="1:16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>
        <f t="shared" si="1"/>
        <v>11021.880000000001</v>
      </c>
    </row>
    <row r="71" spans="1:16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>
        <f t="shared" si="1"/>
        <v>14448.6</v>
      </c>
    </row>
    <row r="72" spans="1:16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>
        <f t="shared" si="1"/>
        <v>11564.130000000001</v>
      </c>
    </row>
    <row r="73" spans="1:16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>
        <f t="shared" si="1"/>
        <v>5579.5199999999995</v>
      </c>
    </row>
    <row r="74" spans="1:16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>
        <f t="shared" si="1"/>
        <v>3037.61</v>
      </c>
    </row>
    <row r="75" spans="1:16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>
        <f t="shared" si="1"/>
        <v>6590.67</v>
      </c>
    </row>
    <row r="76" spans="1:16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>
        <f t="shared" si="1"/>
        <v>8881.84</v>
      </c>
    </row>
    <row r="77" spans="1:16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>
        <f t="shared" si="1"/>
        <v>6103.4000000000005</v>
      </c>
    </row>
    <row r="78" spans="1:16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>
        <f t="shared" si="1"/>
        <v>2955.84</v>
      </c>
    </row>
    <row r="79" spans="1:16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>
        <f t="shared" si="1"/>
        <v>7552.92</v>
      </c>
    </row>
    <row r="80" spans="1:16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>
        <f t="shared" si="1"/>
        <v>11459.300000000001</v>
      </c>
    </row>
    <row r="81" spans="1:16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>
        <f t="shared" si="1"/>
        <v>786.75</v>
      </c>
    </row>
    <row r="82" spans="1:16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>
        <f t="shared" si="1"/>
        <v>21857.46</v>
      </c>
    </row>
    <row r="83" spans="1:16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>
        <f t="shared" si="1"/>
        <v>4510.1400000000003</v>
      </c>
    </row>
    <row r="84" spans="1:16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>
        <f t="shared" si="1"/>
        <v>7978.72</v>
      </c>
    </row>
    <row r="85" spans="1:16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>
        <f t="shared" si="1"/>
        <v>4290.72</v>
      </c>
    </row>
    <row r="86" spans="1:16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>
        <f t="shared" si="1"/>
        <v>2883.94</v>
      </c>
    </row>
    <row r="87" spans="1:16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>
        <f t="shared" si="1"/>
        <v>2074.2399999999998</v>
      </c>
    </row>
    <row r="88" spans="1:16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>
        <f t="shared" si="1"/>
        <v>9611.84</v>
      </c>
    </row>
    <row r="89" spans="1:16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>
        <f t="shared" si="1"/>
        <v>11638.2</v>
      </c>
    </row>
    <row r="90" spans="1:16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>
        <f t="shared" si="1"/>
        <v>3480.06</v>
      </c>
    </row>
    <row r="91" spans="1:16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>
        <f t="shared" si="1"/>
        <v>6776.2</v>
      </c>
    </row>
    <row r="92" spans="1:16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>
        <f t="shared" si="1"/>
        <v>16852.599999999999</v>
      </c>
    </row>
    <row r="93" spans="1:16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>
        <f t="shared" si="1"/>
        <v>1029.99</v>
      </c>
    </row>
    <row r="94" spans="1:16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>
        <f t="shared" si="1"/>
        <v>17448.84</v>
      </c>
    </row>
    <row r="95" spans="1:16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>
        <f t="shared" si="1"/>
        <v>6446.08</v>
      </c>
    </row>
    <row r="96" spans="1:16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>
        <f t="shared" si="1"/>
        <v>4106.58</v>
      </c>
    </row>
    <row r="97" spans="1:16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>
        <f t="shared" si="1"/>
        <v>2499.88</v>
      </c>
    </row>
    <row r="98" spans="1:16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>
        <f t="shared" si="1"/>
        <v>4516.1100000000006</v>
      </c>
    </row>
    <row r="99" spans="1:16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>
        <f t="shared" si="1"/>
        <v>5448.32</v>
      </c>
    </row>
    <row r="100" spans="1:16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>
        <f t="shared" si="1"/>
        <v>947.25</v>
      </c>
    </row>
    <row r="101" spans="1:16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>
        <f t="shared" si="1"/>
        <v>22096.97</v>
      </c>
    </row>
    <row r="102" spans="1:16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>
        <f t="shared" si="1"/>
        <v>13465.44</v>
      </c>
    </row>
    <row r="103" spans="1:16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>
        <f t="shared" si="1"/>
        <v>3718.06</v>
      </c>
    </row>
    <row r="104" spans="1:16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>
        <f t="shared" si="1"/>
        <v>25132.38</v>
      </c>
    </row>
    <row r="105" spans="1:16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>
        <f t="shared" si="1"/>
        <v>13417.550000000001</v>
      </c>
    </row>
    <row r="106" spans="1:16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>
        <f t="shared" si="1"/>
        <v>905.15</v>
      </c>
    </row>
    <row r="107" spans="1:16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>
        <f t="shared" si="1"/>
        <v>11343.66</v>
      </c>
    </row>
    <row r="108" spans="1:16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>
        <f t="shared" si="1"/>
        <v>5315.05</v>
      </c>
    </row>
    <row r="109" spans="1:16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>
        <f t="shared" si="1"/>
        <v>1128.6199999999999</v>
      </c>
    </row>
    <row r="110" spans="1:16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>
        <f t="shared" si="1"/>
        <v>12429.16</v>
      </c>
    </row>
    <row r="111" spans="1:16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>
        <f t="shared" si="1"/>
        <v>12461.04</v>
      </c>
    </row>
    <row r="112" spans="1:16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>
        <f t="shared" si="1"/>
        <v>1820.02</v>
      </c>
    </row>
    <row r="113" spans="1:16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>
        <f t="shared" si="1"/>
        <v>4442.3599999999997</v>
      </c>
    </row>
    <row r="114" spans="1:16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>
        <f t="shared" si="1"/>
        <v>13546.619999999999</v>
      </c>
    </row>
    <row r="115" spans="1:16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>
        <f t="shared" si="1"/>
        <v>10857.420000000002</v>
      </c>
    </row>
    <row r="116" spans="1:16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>
        <f t="shared" si="1"/>
        <v>7242.18</v>
      </c>
    </row>
    <row r="117" spans="1:16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>
        <f t="shared" si="1"/>
        <v>6849.78</v>
      </c>
    </row>
    <row r="118" spans="1:16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>
        <f t="shared" si="1"/>
        <v>21328.62</v>
      </c>
    </row>
    <row r="119" spans="1:16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>
        <f t="shared" si="1"/>
        <v>4607.42</v>
      </c>
    </row>
    <row r="120" spans="1:16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>
        <f t="shared" si="1"/>
        <v>26717.439999999999</v>
      </c>
    </row>
    <row r="121" spans="1:16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>
        <f t="shared" si="1"/>
        <v>20261.22</v>
      </c>
    </row>
    <row r="122" spans="1:16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>
        <f t="shared" si="1"/>
        <v>14161.400000000001</v>
      </c>
    </row>
    <row r="123" spans="1:16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>
        <f t="shared" si="1"/>
        <v>6993.65</v>
      </c>
    </row>
    <row r="124" spans="1:16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>
        <f t="shared" si="1"/>
        <v>7353.5</v>
      </c>
    </row>
    <row r="125" spans="1:16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>
        <f t="shared" si="1"/>
        <v>8657.19</v>
      </c>
    </row>
    <row r="126" spans="1:16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>
        <f t="shared" si="1"/>
        <v>31051.71</v>
      </c>
    </row>
    <row r="127" spans="1:16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>
        <f t="shared" si="1"/>
        <v>29777.759999999998</v>
      </c>
    </row>
    <row r="128" spans="1:16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>
        <f t="shared" si="1"/>
        <v>11077.26</v>
      </c>
    </row>
    <row r="129" spans="1:16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>
        <f t="shared" si="1"/>
        <v>3958.56</v>
      </c>
    </row>
    <row r="130" spans="1:16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>
        <f t="shared" si="1"/>
        <v>4865.01</v>
      </c>
    </row>
    <row r="131" spans="1:16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>
        <f t="shared" ref="P131:P194" si="2">L131*M131</f>
        <v>2534.4699999999998</v>
      </c>
    </row>
    <row r="132" spans="1:16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>
        <f t="shared" si="2"/>
        <v>13296.15</v>
      </c>
    </row>
    <row r="133" spans="1:16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>
        <f t="shared" si="2"/>
        <v>12614.92</v>
      </c>
    </row>
    <row r="134" spans="1:16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>
        <f t="shared" si="2"/>
        <v>3990.85</v>
      </c>
    </row>
    <row r="135" spans="1:16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>
        <f t="shared" si="2"/>
        <v>7086.88</v>
      </c>
    </row>
    <row r="136" spans="1:16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>
        <f t="shared" si="2"/>
        <v>11517.960000000001</v>
      </c>
    </row>
    <row r="137" spans="1:16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>
        <f t="shared" si="2"/>
        <v>10855.74</v>
      </c>
    </row>
    <row r="138" spans="1:16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>
        <f t="shared" si="2"/>
        <v>2644.6</v>
      </c>
    </row>
    <row r="139" spans="1:16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>
        <f t="shared" si="2"/>
        <v>912.67</v>
      </c>
    </row>
    <row r="140" spans="1:16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>
        <f t="shared" si="2"/>
        <v>805.82</v>
      </c>
    </row>
    <row r="141" spans="1:16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>
        <f t="shared" si="2"/>
        <v>14261.64</v>
      </c>
    </row>
    <row r="142" spans="1:16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>
        <f t="shared" si="2"/>
        <v>3532.84</v>
      </c>
    </row>
    <row r="143" spans="1:16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>
        <f t="shared" si="2"/>
        <v>2063.0500000000002</v>
      </c>
    </row>
    <row r="144" spans="1:16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>
        <f t="shared" si="2"/>
        <v>25761.61</v>
      </c>
    </row>
    <row r="145" spans="1:16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>
        <f t="shared" si="2"/>
        <v>25109.759999999998</v>
      </c>
    </row>
    <row r="146" spans="1:16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>
        <f t="shared" si="2"/>
        <v>3914.58</v>
      </c>
    </row>
    <row r="147" spans="1:16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>
        <f t="shared" si="2"/>
        <v>9307.48</v>
      </c>
    </row>
    <row r="148" spans="1:16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>
        <f t="shared" si="2"/>
        <v>11116.02</v>
      </c>
    </row>
    <row r="149" spans="1:16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>
        <f t="shared" si="2"/>
        <v>9657.7800000000007</v>
      </c>
    </row>
    <row r="150" spans="1:16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>
        <f t="shared" si="2"/>
        <v>23506.400000000001</v>
      </c>
    </row>
    <row r="151" spans="1:16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>
        <f t="shared" si="2"/>
        <v>5616.12</v>
      </c>
    </row>
    <row r="152" spans="1:16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>
        <f t="shared" si="2"/>
        <v>7305.5</v>
      </c>
    </row>
    <row r="153" spans="1:16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>
        <f t="shared" si="2"/>
        <v>3249.11</v>
      </c>
    </row>
    <row r="154" spans="1:16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>
        <f t="shared" si="2"/>
        <v>2110.2599999999998</v>
      </c>
    </row>
    <row r="155" spans="1:16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>
        <f t="shared" si="2"/>
        <v>1529.12</v>
      </c>
    </row>
    <row r="156" spans="1:16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>
        <f t="shared" si="2"/>
        <v>5768.6</v>
      </c>
    </row>
    <row r="157" spans="1:16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>
        <f t="shared" si="2"/>
        <v>2674.2599999999998</v>
      </c>
    </row>
    <row r="158" spans="1:16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>
        <f t="shared" si="2"/>
        <v>8437.84</v>
      </c>
    </row>
    <row r="159" spans="1:16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>
        <f t="shared" si="2"/>
        <v>26768.639999999999</v>
      </c>
    </row>
    <row r="160" spans="1:16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>
        <f t="shared" si="2"/>
        <v>22804.62</v>
      </c>
    </row>
    <row r="161" spans="1:16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>
        <f t="shared" si="2"/>
        <v>5290.88</v>
      </c>
    </row>
    <row r="162" spans="1:16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>
        <f t="shared" si="2"/>
        <v>9347.1200000000008</v>
      </c>
    </row>
    <row r="163" spans="1:16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>
        <f t="shared" si="2"/>
        <v>9820.7199999999993</v>
      </c>
    </row>
    <row r="164" spans="1:16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>
        <f t="shared" si="2"/>
        <v>1219.22</v>
      </c>
    </row>
    <row r="165" spans="1:16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>
        <f t="shared" si="2"/>
        <v>1153.32</v>
      </c>
    </row>
    <row r="166" spans="1:16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>
        <f t="shared" si="2"/>
        <v>14874.52</v>
      </c>
    </row>
    <row r="167" spans="1:16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>
        <f t="shared" si="2"/>
        <v>6809.18</v>
      </c>
    </row>
    <row r="168" spans="1:16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>
        <f t="shared" si="2"/>
        <v>12369.14</v>
      </c>
    </row>
    <row r="169" spans="1:16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>
        <f t="shared" si="2"/>
        <v>1498.32</v>
      </c>
    </row>
    <row r="170" spans="1:16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>
        <f t="shared" si="2"/>
        <v>17265.650000000001</v>
      </c>
    </row>
    <row r="171" spans="1:16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>
        <f t="shared" si="2"/>
        <v>20754.72</v>
      </c>
    </row>
    <row r="172" spans="1:16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>
        <f t="shared" si="2"/>
        <v>30360.080000000002</v>
      </c>
    </row>
    <row r="173" spans="1:16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>
        <f t="shared" si="2"/>
        <v>28432.98</v>
      </c>
    </row>
    <row r="174" spans="1:16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>
        <f t="shared" si="2"/>
        <v>4073.31</v>
      </c>
    </row>
    <row r="175" spans="1:16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>
        <f t="shared" si="2"/>
        <v>3312.93</v>
      </c>
    </row>
    <row r="176" spans="1:16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>
        <f t="shared" si="2"/>
        <v>11344.84</v>
      </c>
    </row>
    <row r="177" spans="1:16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>
        <f t="shared" si="2"/>
        <v>7759.15</v>
      </c>
    </row>
    <row r="178" spans="1:16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>
        <f t="shared" si="2"/>
        <v>2329.9299999999998</v>
      </c>
    </row>
    <row r="179" spans="1:16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>
        <f t="shared" si="2"/>
        <v>1218.6300000000001</v>
      </c>
    </row>
    <row r="180" spans="1:16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>
        <f t="shared" si="2"/>
        <v>3494.34</v>
      </c>
    </row>
    <row r="181" spans="1:16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>
        <f t="shared" si="2"/>
        <v>17689.36</v>
      </c>
    </row>
    <row r="182" spans="1:16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>
        <f t="shared" si="2"/>
        <v>11646.900000000001</v>
      </c>
    </row>
    <row r="183" spans="1:16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>
        <f t="shared" si="2"/>
        <v>12172.36</v>
      </c>
    </row>
    <row r="184" spans="1:16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>
        <f t="shared" si="2"/>
        <v>4606.4900000000007</v>
      </c>
    </row>
    <row r="185" spans="1:16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>
        <f t="shared" si="2"/>
        <v>10628.75</v>
      </c>
    </row>
    <row r="186" spans="1:16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>
        <f t="shared" si="2"/>
        <v>6290.34</v>
      </c>
    </row>
    <row r="187" spans="1:16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>
        <f t="shared" si="2"/>
        <v>508.81</v>
      </c>
    </row>
    <row r="188" spans="1:16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>
        <f t="shared" si="2"/>
        <v>1730.41</v>
      </c>
    </row>
    <row r="189" spans="1:16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>
        <f t="shared" si="2"/>
        <v>2336.5500000000002</v>
      </c>
    </row>
    <row r="190" spans="1:16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>
        <f t="shared" si="2"/>
        <v>2007.72</v>
      </c>
    </row>
    <row r="191" spans="1:16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>
        <f t="shared" si="2"/>
        <v>2745.18</v>
      </c>
    </row>
    <row r="192" spans="1:16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>
        <f t="shared" si="2"/>
        <v>8040.5500000000011</v>
      </c>
    </row>
    <row r="193" spans="1:16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>
        <f t="shared" si="2"/>
        <v>974.46</v>
      </c>
    </row>
    <row r="194" spans="1:16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>
        <f t="shared" si="2"/>
        <v>1984.72</v>
      </c>
    </row>
    <row r="195" spans="1:16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>
        <f t="shared" ref="P195:P258" si="3">L195*M195</f>
        <v>1788.02</v>
      </c>
    </row>
    <row r="196" spans="1:16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>
        <f t="shared" si="3"/>
        <v>2067.8999999999996</v>
      </c>
    </row>
    <row r="197" spans="1:16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>
        <f t="shared" si="3"/>
        <v>20494.88</v>
      </c>
    </row>
    <row r="198" spans="1:16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>
        <f t="shared" si="3"/>
        <v>5024.84</v>
      </c>
    </row>
    <row r="199" spans="1:16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>
        <f t="shared" si="3"/>
        <v>6135.1</v>
      </c>
    </row>
    <row r="200" spans="1:16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>
        <f t="shared" si="3"/>
        <v>5712.76</v>
      </c>
    </row>
    <row r="201" spans="1:16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>
        <f t="shared" si="3"/>
        <v>8105.3099999999995</v>
      </c>
    </row>
    <row r="202" spans="1:16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>
        <f t="shared" si="3"/>
        <v>17509.7</v>
      </c>
    </row>
    <row r="203" spans="1:16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>
        <f t="shared" si="3"/>
        <v>27652.32</v>
      </c>
    </row>
    <row r="204" spans="1:16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>
        <f t="shared" si="3"/>
        <v>23607.919999999998</v>
      </c>
    </row>
    <row r="205" spans="1:16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>
        <f t="shared" si="3"/>
        <v>16119.28</v>
      </c>
    </row>
    <row r="206" spans="1:16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>
        <f t="shared" si="3"/>
        <v>22569.200000000001</v>
      </c>
    </row>
    <row r="207" spans="1:16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>
        <f t="shared" si="3"/>
        <v>18225.12</v>
      </c>
    </row>
    <row r="208" spans="1:16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>
        <f t="shared" si="3"/>
        <v>6877.92</v>
      </c>
    </row>
    <row r="209" spans="1:16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>
        <f t="shared" si="3"/>
        <v>7624.56</v>
      </c>
    </row>
    <row r="210" spans="1:16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>
        <f t="shared" si="3"/>
        <v>10328.879999999999</v>
      </c>
    </row>
    <row r="211" spans="1:16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>
        <f t="shared" si="3"/>
        <v>29252.720000000001</v>
      </c>
    </row>
    <row r="212" spans="1:16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>
        <f t="shared" si="3"/>
        <v>15802.850000000002</v>
      </c>
    </row>
    <row r="213" spans="1:16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>
        <f t="shared" si="3"/>
        <v>2975.54</v>
      </c>
    </row>
    <row r="214" spans="1:16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>
        <f t="shared" si="3"/>
        <v>5937</v>
      </c>
    </row>
    <row r="215" spans="1:16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>
        <f t="shared" si="3"/>
        <v>6878.84</v>
      </c>
    </row>
    <row r="216" spans="1:16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>
        <f t="shared" si="3"/>
        <v>3167.1499999999996</v>
      </c>
    </row>
    <row r="217" spans="1:16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>
        <f t="shared" si="3"/>
        <v>4856.9400000000005</v>
      </c>
    </row>
    <row r="218" spans="1:16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>
        <f t="shared" si="3"/>
        <v>13341.28</v>
      </c>
    </row>
    <row r="219" spans="1:16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>
        <f t="shared" si="3"/>
        <v>4803.26</v>
      </c>
    </row>
    <row r="220" spans="1:16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>
        <f t="shared" si="3"/>
        <v>8697</v>
      </c>
    </row>
    <row r="221" spans="1:16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>
        <f t="shared" si="3"/>
        <v>25927.84</v>
      </c>
    </row>
    <row r="222" spans="1:16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>
        <f t="shared" si="3"/>
        <v>8792.7999999999993</v>
      </c>
    </row>
    <row r="223" spans="1:16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>
        <f t="shared" si="3"/>
        <v>27354.11</v>
      </c>
    </row>
    <row r="224" spans="1:16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>
        <f t="shared" si="3"/>
        <v>8865.2999999999993</v>
      </c>
    </row>
    <row r="225" spans="1:16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>
        <f t="shared" si="3"/>
        <v>2897.3</v>
      </c>
    </row>
    <row r="226" spans="1:16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>
        <f t="shared" si="3"/>
        <v>9456.0199999999986</v>
      </c>
    </row>
    <row r="227" spans="1:16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>
        <f t="shared" si="3"/>
        <v>3100.65</v>
      </c>
    </row>
    <row r="228" spans="1:16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>
        <f t="shared" si="3"/>
        <v>3467.2799999999997</v>
      </c>
    </row>
    <row r="229" spans="1:16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>
        <f t="shared" si="3"/>
        <v>21161.599999999999</v>
      </c>
    </row>
    <row r="230" spans="1:16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>
        <f t="shared" si="3"/>
        <v>28153.599999999999</v>
      </c>
    </row>
    <row r="231" spans="1:16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>
        <f t="shared" si="3"/>
        <v>9580.5</v>
      </c>
    </row>
    <row r="232" spans="1:16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>
        <f t="shared" si="3"/>
        <v>4852.82</v>
      </c>
    </row>
    <row r="233" spans="1:16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>
        <f t="shared" si="3"/>
        <v>2250.4899999999998</v>
      </c>
    </row>
    <row r="234" spans="1:16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>
        <f t="shared" si="3"/>
        <v>556.53</v>
      </c>
    </row>
    <row r="235" spans="1:16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>
        <f t="shared" si="3"/>
        <v>2270.66</v>
      </c>
    </row>
    <row r="236" spans="1:16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>
        <f t="shared" si="3"/>
        <v>24093.81</v>
      </c>
    </row>
    <row r="237" spans="1:16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>
        <f t="shared" si="3"/>
        <v>15472.380000000001</v>
      </c>
    </row>
    <row r="238" spans="1:16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>
        <f t="shared" si="3"/>
        <v>2328.9500000000003</v>
      </c>
    </row>
    <row r="239" spans="1:16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>
        <f t="shared" si="3"/>
        <v>2276.16</v>
      </c>
    </row>
    <row r="240" spans="1:16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>
        <f t="shared" si="3"/>
        <v>7921.12</v>
      </c>
    </row>
    <row r="241" spans="1:16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>
        <f t="shared" si="3"/>
        <v>2390.2199999999998</v>
      </c>
    </row>
    <row r="242" spans="1:16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>
        <f t="shared" si="3"/>
        <v>11168.58</v>
      </c>
    </row>
    <row r="243" spans="1:16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>
        <f t="shared" si="3"/>
        <v>18835.02</v>
      </c>
    </row>
    <row r="244" spans="1:16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>
        <f t="shared" si="3"/>
        <v>1203.06</v>
      </c>
    </row>
    <row r="245" spans="1:16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>
        <f t="shared" si="3"/>
        <v>2402.67</v>
      </c>
    </row>
    <row r="246" spans="1:16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>
        <f t="shared" si="3"/>
        <v>12035.6</v>
      </c>
    </row>
    <row r="247" spans="1:16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>
        <f t="shared" si="3"/>
        <v>3082.45</v>
      </c>
    </row>
    <row r="248" spans="1:16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>
        <f t="shared" si="3"/>
        <v>14715.89</v>
      </c>
    </row>
    <row r="249" spans="1:16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>
        <f t="shared" si="3"/>
        <v>18241.440000000002</v>
      </c>
    </row>
    <row r="250" spans="1:16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>
        <f t="shared" si="3"/>
        <v>3942.92</v>
      </c>
    </row>
    <row r="251" spans="1:16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>
        <f t="shared" si="3"/>
        <v>27961.38</v>
      </c>
    </row>
    <row r="252" spans="1:16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>
        <f t="shared" si="3"/>
        <v>14578.32</v>
      </c>
    </row>
    <row r="253" spans="1:16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>
        <f t="shared" si="3"/>
        <v>7475.2</v>
      </c>
    </row>
    <row r="254" spans="1:16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>
        <f t="shared" si="3"/>
        <v>12661.35</v>
      </c>
    </row>
    <row r="255" spans="1:16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>
        <f t="shared" si="3"/>
        <v>5423.32</v>
      </c>
    </row>
    <row r="256" spans="1:16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>
        <f t="shared" si="3"/>
        <v>18699.659999999996</v>
      </c>
    </row>
    <row r="257" spans="1:16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>
        <f t="shared" si="3"/>
        <v>15796.32</v>
      </c>
    </row>
    <row r="258" spans="1:16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>
        <f t="shared" si="3"/>
        <v>721.8</v>
      </c>
    </row>
    <row r="259" spans="1:16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>
        <f t="shared" ref="P259:P322" si="4">L259*M259</f>
        <v>12628.35</v>
      </c>
    </row>
    <row r="260" spans="1:16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>
        <f t="shared" si="4"/>
        <v>11015.19</v>
      </c>
    </row>
    <row r="261" spans="1:16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>
        <f t="shared" si="4"/>
        <v>1941.96</v>
      </c>
    </row>
    <row r="262" spans="1:16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>
        <f t="shared" si="4"/>
        <v>1066.5</v>
      </c>
    </row>
    <row r="263" spans="1:16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>
        <f t="shared" si="4"/>
        <v>17306.03</v>
      </c>
    </row>
    <row r="264" spans="1:16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>
        <f t="shared" si="4"/>
        <v>15161.02</v>
      </c>
    </row>
    <row r="265" spans="1:16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>
        <f t="shared" si="4"/>
        <v>4505.2</v>
      </c>
    </row>
    <row r="266" spans="1:16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>
        <f t="shared" si="4"/>
        <v>17668.440000000002</v>
      </c>
    </row>
    <row r="267" spans="1:16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>
        <f t="shared" si="4"/>
        <v>16360.72</v>
      </c>
    </row>
    <row r="268" spans="1:16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>
        <f t="shared" si="4"/>
        <v>900.78</v>
      </c>
    </row>
    <row r="269" spans="1:16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>
        <f t="shared" si="4"/>
        <v>2660.56</v>
      </c>
    </row>
    <row r="270" spans="1:16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>
        <f t="shared" si="4"/>
        <v>15782.7</v>
      </c>
    </row>
    <row r="271" spans="1:16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>
        <f t="shared" si="4"/>
        <v>19182.78</v>
      </c>
    </row>
    <row r="272" spans="1:16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>
        <f t="shared" si="4"/>
        <v>7408.5300000000007</v>
      </c>
    </row>
    <row r="273" spans="1:16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>
        <f t="shared" si="4"/>
        <v>19078.29</v>
      </c>
    </row>
    <row r="274" spans="1:16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>
        <f t="shared" si="4"/>
        <v>2309.2799999999997</v>
      </c>
    </row>
    <row r="275" spans="1:16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>
        <f t="shared" si="4"/>
        <v>5032.6000000000004</v>
      </c>
    </row>
    <row r="276" spans="1:16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>
        <f t="shared" si="4"/>
        <v>3563.7000000000003</v>
      </c>
    </row>
    <row r="277" spans="1:16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>
        <f t="shared" si="4"/>
        <v>30885.759999999998</v>
      </c>
    </row>
    <row r="278" spans="1:16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>
        <f t="shared" si="4"/>
        <v>6030.5399999999991</v>
      </c>
    </row>
    <row r="279" spans="1:16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>
        <f t="shared" si="4"/>
        <v>4406.04</v>
      </c>
    </row>
    <row r="280" spans="1:16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>
        <f t="shared" si="4"/>
        <v>21449.22</v>
      </c>
    </row>
    <row r="281" spans="1:16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>
        <f t="shared" si="4"/>
        <v>30272.959999999999</v>
      </c>
    </row>
    <row r="282" spans="1:16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>
        <f t="shared" si="4"/>
        <v>15492.2</v>
      </c>
    </row>
    <row r="283" spans="1:16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>
        <f t="shared" si="4"/>
        <v>512.43000000000006</v>
      </c>
    </row>
    <row r="284" spans="1:16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>
        <f t="shared" si="4"/>
        <v>465.54</v>
      </c>
    </row>
    <row r="285" spans="1:16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>
        <f t="shared" si="4"/>
        <v>9634.14</v>
      </c>
    </row>
    <row r="286" spans="1:16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>
        <f t="shared" si="4"/>
        <v>1404.14</v>
      </c>
    </row>
    <row r="287" spans="1:16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>
        <f t="shared" si="4"/>
        <v>1324.74</v>
      </c>
    </row>
    <row r="288" spans="1:16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>
        <f t="shared" si="4"/>
        <v>11619.960000000001</v>
      </c>
    </row>
    <row r="289" spans="1:16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>
        <f t="shared" si="4"/>
        <v>30246.32</v>
      </c>
    </row>
    <row r="290" spans="1:16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>
        <f t="shared" si="4"/>
        <v>9776.9700000000012</v>
      </c>
    </row>
    <row r="291" spans="1:16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>
        <f t="shared" si="4"/>
        <v>21563.119999999999</v>
      </c>
    </row>
    <row r="292" spans="1:16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>
        <f t="shared" si="4"/>
        <v>23949.99</v>
      </c>
    </row>
    <row r="293" spans="1:16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>
        <f t="shared" si="4"/>
        <v>6699.9600000000009</v>
      </c>
    </row>
    <row r="294" spans="1:16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>
        <f t="shared" si="4"/>
        <v>7962.42</v>
      </c>
    </row>
    <row r="295" spans="1:16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>
        <f t="shared" si="4"/>
        <v>2902.4700000000003</v>
      </c>
    </row>
    <row r="296" spans="1:16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>
        <f t="shared" si="4"/>
        <v>619.73</v>
      </c>
    </row>
    <row r="297" spans="1:16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>
        <f t="shared" si="4"/>
        <v>14251.65</v>
      </c>
    </row>
    <row r="298" spans="1:16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>
        <f t="shared" si="4"/>
        <v>2347</v>
      </c>
    </row>
    <row r="299" spans="1:16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>
        <f t="shared" si="4"/>
        <v>35892.9</v>
      </c>
    </row>
    <row r="300" spans="1:16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>
        <f t="shared" si="4"/>
        <v>7706.61</v>
      </c>
    </row>
    <row r="301" spans="1:16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>
        <f t="shared" si="4"/>
        <v>12187.25</v>
      </c>
    </row>
    <row r="302" spans="1:16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>
        <f t="shared" si="4"/>
        <v>6935.16</v>
      </c>
    </row>
    <row r="303" spans="1:16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>
        <f t="shared" si="4"/>
        <v>4456.13</v>
      </c>
    </row>
    <row r="304" spans="1:16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>
        <f t="shared" si="4"/>
        <v>1543.1999999999998</v>
      </c>
    </row>
    <row r="305" spans="1:16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>
        <f t="shared" si="4"/>
        <v>10190.08</v>
      </c>
    </row>
    <row r="306" spans="1:16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>
        <f t="shared" si="4"/>
        <v>6512.04</v>
      </c>
    </row>
    <row r="307" spans="1:16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>
        <f t="shared" si="4"/>
        <v>3391.76</v>
      </c>
    </row>
    <row r="308" spans="1:16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>
        <f t="shared" si="4"/>
        <v>8033.8</v>
      </c>
    </row>
    <row r="309" spans="1:16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>
        <f t="shared" si="4"/>
        <v>12572.8</v>
      </c>
    </row>
    <row r="310" spans="1:16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>
        <f t="shared" si="4"/>
        <v>2740.46</v>
      </c>
    </row>
    <row r="311" spans="1:16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>
        <f t="shared" si="4"/>
        <v>17630.28</v>
      </c>
    </row>
    <row r="312" spans="1:16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>
        <f t="shared" si="4"/>
        <v>8186.04</v>
      </c>
    </row>
    <row r="313" spans="1:16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>
        <f t="shared" si="4"/>
        <v>2588.64</v>
      </c>
    </row>
    <row r="314" spans="1:16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>
        <f t="shared" si="4"/>
        <v>3251.27</v>
      </c>
    </row>
    <row r="315" spans="1:16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>
        <f t="shared" si="4"/>
        <v>1681.85</v>
      </c>
    </row>
    <row r="316" spans="1:16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>
        <f t="shared" si="4"/>
        <v>26024.16</v>
      </c>
    </row>
    <row r="317" spans="1:16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>
        <f t="shared" si="4"/>
        <v>19434.080000000002</v>
      </c>
    </row>
    <row r="318" spans="1:16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>
        <f t="shared" si="4"/>
        <v>1577.44</v>
      </c>
    </row>
    <row r="319" spans="1:16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>
        <f t="shared" si="4"/>
        <v>1715.21</v>
      </c>
    </row>
    <row r="320" spans="1:16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>
        <f t="shared" si="4"/>
        <v>12372.8</v>
      </c>
    </row>
    <row r="321" spans="1:16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>
        <f t="shared" si="4"/>
        <v>18038.240000000002</v>
      </c>
    </row>
    <row r="322" spans="1:16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>
        <f t="shared" si="4"/>
        <v>23683.17</v>
      </c>
    </row>
    <row r="323" spans="1:16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>
        <f t="shared" ref="P323:P386" si="5">L323*M323</f>
        <v>3204.1000000000004</v>
      </c>
    </row>
    <row r="324" spans="1:16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>
        <f t="shared" si="5"/>
        <v>3230.79</v>
      </c>
    </row>
    <row r="325" spans="1:16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>
        <f t="shared" si="5"/>
        <v>31253.22</v>
      </c>
    </row>
    <row r="326" spans="1:16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>
        <f t="shared" si="5"/>
        <v>5111.05</v>
      </c>
    </row>
    <row r="327" spans="1:16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>
        <f t="shared" si="5"/>
        <v>6857.28</v>
      </c>
    </row>
    <row r="328" spans="1:16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>
        <f t="shared" si="5"/>
        <v>23802.6</v>
      </c>
    </row>
    <row r="329" spans="1:16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>
        <f t="shared" si="5"/>
        <v>5896.66</v>
      </c>
    </row>
    <row r="330" spans="1:16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>
        <f t="shared" si="5"/>
        <v>3171.36</v>
      </c>
    </row>
    <row r="331" spans="1:16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>
        <f t="shared" si="5"/>
        <v>27849.5</v>
      </c>
    </row>
    <row r="332" spans="1:16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>
        <f t="shared" si="5"/>
        <v>4962.2</v>
      </c>
    </row>
    <row r="333" spans="1:16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>
        <f t="shared" si="5"/>
        <v>2670.72</v>
      </c>
    </row>
    <row r="334" spans="1:16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>
        <f t="shared" si="5"/>
        <v>16872.449999999997</v>
      </c>
    </row>
    <row r="335" spans="1:16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>
        <f t="shared" si="5"/>
        <v>12578.85</v>
      </c>
    </row>
    <row r="336" spans="1:16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>
        <f t="shared" si="5"/>
        <v>16713.2</v>
      </c>
    </row>
    <row r="337" spans="1:16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>
        <f t="shared" si="5"/>
        <v>1126.5</v>
      </c>
    </row>
    <row r="338" spans="1:16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>
        <f t="shared" si="5"/>
        <v>24495.119999999999</v>
      </c>
    </row>
    <row r="339" spans="1:16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>
        <f t="shared" si="5"/>
        <v>1393.26</v>
      </c>
    </row>
    <row r="340" spans="1:16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>
        <f t="shared" si="5"/>
        <v>14834.04</v>
      </c>
    </row>
    <row r="341" spans="1:16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>
        <f t="shared" si="5"/>
        <v>12639.78</v>
      </c>
    </row>
    <row r="342" spans="1:16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>
        <f t="shared" si="5"/>
        <v>2567.7199999999998</v>
      </c>
    </row>
    <row r="343" spans="1:16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>
        <f t="shared" si="5"/>
        <v>9265.5499999999993</v>
      </c>
    </row>
    <row r="344" spans="1:16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>
        <f t="shared" si="5"/>
        <v>2194.5699999999997</v>
      </c>
    </row>
    <row r="345" spans="1:16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>
        <f t="shared" si="5"/>
        <v>11143.24</v>
      </c>
    </row>
    <row r="346" spans="1:16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>
        <f t="shared" si="5"/>
        <v>3625.42</v>
      </c>
    </row>
    <row r="347" spans="1:16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>
        <f t="shared" si="5"/>
        <v>30361.14</v>
      </c>
    </row>
    <row r="348" spans="1:16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>
        <f t="shared" si="5"/>
        <v>2561.48</v>
      </c>
    </row>
    <row r="349" spans="1:16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>
        <f t="shared" si="5"/>
        <v>5725.26</v>
      </c>
    </row>
    <row r="350" spans="1:16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>
        <f t="shared" si="5"/>
        <v>19690.32</v>
      </c>
    </row>
    <row r="351" spans="1:16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>
        <f t="shared" si="5"/>
        <v>3708.38</v>
      </c>
    </row>
    <row r="352" spans="1:16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>
        <f t="shared" si="5"/>
        <v>5770.74</v>
      </c>
    </row>
    <row r="353" spans="1:16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>
        <f t="shared" si="5"/>
        <v>4142.08</v>
      </c>
    </row>
    <row r="354" spans="1:16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>
        <f t="shared" si="5"/>
        <v>12377.789999999999</v>
      </c>
    </row>
    <row r="355" spans="1:16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>
        <f t="shared" si="5"/>
        <v>3592.92</v>
      </c>
    </row>
    <row r="356" spans="1:16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>
        <f t="shared" si="5"/>
        <v>23695.920000000002</v>
      </c>
    </row>
    <row r="357" spans="1:16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>
        <f t="shared" si="5"/>
        <v>11337.93</v>
      </c>
    </row>
    <row r="358" spans="1:16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>
        <f t="shared" si="5"/>
        <v>10402.48</v>
      </c>
    </row>
    <row r="359" spans="1:16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>
        <f t="shared" si="5"/>
        <v>28648.959999999999</v>
      </c>
    </row>
    <row r="360" spans="1:16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>
        <f t="shared" si="5"/>
        <v>202.49</v>
      </c>
    </row>
    <row r="361" spans="1:16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>
        <f t="shared" si="5"/>
        <v>11140</v>
      </c>
    </row>
    <row r="362" spans="1:16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>
        <f t="shared" si="5"/>
        <v>6852.8099999999995</v>
      </c>
    </row>
    <row r="363" spans="1:16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>
        <f t="shared" si="5"/>
        <v>5044.4799999999996</v>
      </c>
    </row>
    <row r="364" spans="1:16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>
        <f t="shared" si="5"/>
        <v>504.58</v>
      </c>
    </row>
    <row r="365" spans="1:16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>
        <f t="shared" si="5"/>
        <v>3288.81</v>
      </c>
    </row>
    <row r="366" spans="1:16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>
        <f t="shared" si="5"/>
        <v>17967.3</v>
      </c>
    </row>
    <row r="367" spans="1:16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>
        <f t="shared" si="5"/>
        <v>16604.400000000001</v>
      </c>
    </row>
    <row r="368" spans="1:16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>
        <f t="shared" si="5"/>
        <v>28882.639999999999</v>
      </c>
    </row>
    <row r="369" spans="1:16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>
        <f t="shared" si="5"/>
        <v>15956.36</v>
      </c>
    </row>
    <row r="370" spans="1:16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>
        <f t="shared" si="5"/>
        <v>26217.52</v>
      </c>
    </row>
    <row r="371" spans="1:16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>
        <f t="shared" si="5"/>
        <v>9771.36</v>
      </c>
    </row>
    <row r="372" spans="1:16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>
        <f t="shared" si="5"/>
        <v>16290.78</v>
      </c>
    </row>
    <row r="373" spans="1:16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>
        <f t="shared" si="5"/>
        <v>7914.04</v>
      </c>
    </row>
    <row r="374" spans="1:16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>
        <f t="shared" si="5"/>
        <v>6114.2999999999993</v>
      </c>
    </row>
    <row r="375" spans="1:16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>
        <f t="shared" si="5"/>
        <v>8255.5499999999993</v>
      </c>
    </row>
    <row r="376" spans="1:16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>
        <f t="shared" si="5"/>
        <v>5994.54</v>
      </c>
    </row>
    <row r="377" spans="1:16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>
        <f t="shared" si="5"/>
        <v>4088.16</v>
      </c>
    </row>
    <row r="378" spans="1:16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>
        <f t="shared" si="5"/>
        <v>3696</v>
      </c>
    </row>
    <row r="379" spans="1:16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>
        <f t="shared" si="5"/>
        <v>30099.87</v>
      </c>
    </row>
    <row r="380" spans="1:16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>
        <f t="shared" si="5"/>
        <v>3910.66</v>
      </c>
    </row>
    <row r="381" spans="1:16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>
        <f t="shared" si="5"/>
        <v>5124.57</v>
      </c>
    </row>
    <row r="382" spans="1:16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>
        <f t="shared" si="5"/>
        <v>1462.35</v>
      </c>
    </row>
    <row r="383" spans="1:16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>
        <f t="shared" si="5"/>
        <v>3227.04</v>
      </c>
    </row>
    <row r="384" spans="1:16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>
        <f t="shared" si="5"/>
        <v>3581.58</v>
      </c>
    </row>
    <row r="385" spans="1:16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>
        <f t="shared" si="5"/>
        <v>9678.4</v>
      </c>
    </row>
    <row r="386" spans="1:16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>
        <f t="shared" si="5"/>
        <v>4146.33</v>
      </c>
    </row>
    <row r="387" spans="1:16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>
        <f t="shared" ref="P387:P450" si="6">L387*M387</f>
        <v>3968.76</v>
      </c>
    </row>
    <row r="388" spans="1:16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>
        <f t="shared" si="6"/>
        <v>11003.76</v>
      </c>
    </row>
    <row r="389" spans="1:16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>
        <f t="shared" si="6"/>
        <v>6098.37</v>
      </c>
    </row>
    <row r="390" spans="1:16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>
        <f t="shared" si="6"/>
        <v>24215.03</v>
      </c>
    </row>
    <row r="391" spans="1:16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>
        <f t="shared" si="6"/>
        <v>2430.36</v>
      </c>
    </row>
    <row r="392" spans="1:16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>
        <f t="shared" si="6"/>
        <v>16946.52</v>
      </c>
    </row>
    <row r="393" spans="1:16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>
        <f t="shared" si="6"/>
        <v>4661.9400000000005</v>
      </c>
    </row>
    <row r="394" spans="1:16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>
        <f t="shared" si="6"/>
        <v>23946</v>
      </c>
    </row>
    <row r="395" spans="1:16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>
        <f t="shared" si="6"/>
        <v>16298.880000000001</v>
      </c>
    </row>
    <row r="396" spans="1:16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>
        <f t="shared" si="6"/>
        <v>1220.6199999999999</v>
      </c>
    </row>
    <row r="397" spans="1:16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>
        <f t="shared" si="6"/>
        <v>14128.02</v>
      </c>
    </row>
    <row r="398" spans="1:16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>
        <f t="shared" si="6"/>
        <v>7969.22</v>
      </c>
    </row>
    <row r="399" spans="1:16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>
        <f t="shared" si="6"/>
        <v>16228.85</v>
      </c>
    </row>
    <row r="400" spans="1:16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>
        <f t="shared" si="6"/>
        <v>5369.58</v>
      </c>
    </row>
    <row r="401" spans="1:16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>
        <f t="shared" si="6"/>
        <v>15918.12</v>
      </c>
    </row>
    <row r="402" spans="1:16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>
        <f t="shared" si="6"/>
        <v>2024.52</v>
      </c>
    </row>
    <row r="403" spans="1:16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>
        <f t="shared" si="6"/>
        <v>18926.04</v>
      </c>
    </row>
    <row r="404" spans="1:16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>
        <f t="shared" si="6"/>
        <v>2743.75</v>
      </c>
    </row>
    <row r="405" spans="1:16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>
        <f t="shared" si="6"/>
        <v>12419.48</v>
      </c>
    </row>
    <row r="406" spans="1:16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>
        <f t="shared" si="6"/>
        <v>5335.96</v>
      </c>
    </row>
    <row r="407" spans="1:16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>
        <f t="shared" si="6"/>
        <v>2044.41</v>
      </c>
    </row>
    <row r="408" spans="1:16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>
        <f t="shared" si="6"/>
        <v>28949.040000000001</v>
      </c>
    </row>
    <row r="409" spans="1:16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>
        <f t="shared" si="6"/>
        <v>4181.12</v>
      </c>
    </row>
    <row r="410" spans="1:16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>
        <f t="shared" si="6"/>
        <v>7141.6100000000006</v>
      </c>
    </row>
    <row r="411" spans="1:16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>
        <f t="shared" si="6"/>
        <v>6814.6500000000005</v>
      </c>
    </row>
    <row r="412" spans="1:16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>
        <f t="shared" si="6"/>
        <v>6497.16</v>
      </c>
    </row>
    <row r="413" spans="1:16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>
        <f t="shared" si="6"/>
        <v>9893.68</v>
      </c>
    </row>
    <row r="414" spans="1:16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>
        <f t="shared" si="6"/>
        <v>10380.719999999999</v>
      </c>
    </row>
    <row r="415" spans="1:16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>
        <f t="shared" si="6"/>
        <v>1219.7</v>
      </c>
    </row>
    <row r="416" spans="1:16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>
        <f t="shared" si="6"/>
        <v>6240.64</v>
      </c>
    </row>
    <row r="417" spans="1:16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>
        <f t="shared" si="6"/>
        <v>21278.560000000001</v>
      </c>
    </row>
    <row r="418" spans="1:16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>
        <f t="shared" si="6"/>
        <v>3354.81</v>
      </c>
    </row>
    <row r="419" spans="1:16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>
        <f t="shared" si="6"/>
        <v>31244.560000000001</v>
      </c>
    </row>
    <row r="420" spans="1:16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>
        <f t="shared" si="6"/>
        <v>15804.24</v>
      </c>
    </row>
    <row r="421" spans="1:16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>
        <f t="shared" si="6"/>
        <v>813.54</v>
      </c>
    </row>
    <row r="422" spans="1:16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>
        <f t="shared" si="6"/>
        <v>1340.64</v>
      </c>
    </row>
    <row r="423" spans="1:16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>
        <f t="shared" si="6"/>
        <v>7729.86</v>
      </c>
    </row>
    <row r="424" spans="1:16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>
        <f t="shared" si="6"/>
        <v>33662.700000000004</v>
      </c>
    </row>
    <row r="425" spans="1:16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>
        <f t="shared" si="6"/>
        <v>17314.96</v>
      </c>
    </row>
    <row r="426" spans="1:16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>
        <f t="shared" si="6"/>
        <v>9571.0400000000009</v>
      </c>
    </row>
    <row r="427" spans="1:16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>
        <f t="shared" si="6"/>
        <v>11807.529999999999</v>
      </c>
    </row>
    <row r="428" spans="1:16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>
        <f t="shared" si="6"/>
        <v>22091.31</v>
      </c>
    </row>
    <row r="429" spans="1:16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>
        <f t="shared" si="6"/>
        <v>5327.72</v>
      </c>
    </row>
    <row r="430" spans="1:16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>
        <f t="shared" si="6"/>
        <v>2227.77</v>
      </c>
    </row>
    <row r="431" spans="1:16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>
        <f t="shared" si="6"/>
        <v>31292.560000000001</v>
      </c>
    </row>
    <row r="432" spans="1:16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>
        <f t="shared" si="6"/>
        <v>13484.22</v>
      </c>
    </row>
    <row r="433" spans="1:16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>
        <f t="shared" si="6"/>
        <v>6051.5999999999995</v>
      </c>
    </row>
    <row r="434" spans="1:16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>
        <f t="shared" si="6"/>
        <v>14362</v>
      </c>
    </row>
    <row r="435" spans="1:16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>
        <f t="shared" si="6"/>
        <v>3498.88</v>
      </c>
    </row>
    <row r="436" spans="1:16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>
        <f t="shared" si="6"/>
        <v>10934.34</v>
      </c>
    </row>
    <row r="437" spans="1:16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>
        <f t="shared" si="6"/>
        <v>11960.34</v>
      </c>
    </row>
    <row r="438" spans="1:16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>
        <f t="shared" si="6"/>
        <v>22773.279999999999</v>
      </c>
    </row>
    <row r="439" spans="1:16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>
        <f t="shared" si="6"/>
        <v>15581.099999999999</v>
      </c>
    </row>
    <row r="440" spans="1:16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>
        <f t="shared" si="6"/>
        <v>4345.8599999999997</v>
      </c>
    </row>
    <row r="441" spans="1:16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>
        <f t="shared" si="6"/>
        <v>3775.07</v>
      </c>
    </row>
    <row r="442" spans="1:16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>
        <f t="shared" si="6"/>
        <v>6568.2000000000007</v>
      </c>
    </row>
    <row r="443" spans="1:16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>
        <f t="shared" si="6"/>
        <v>26727.3</v>
      </c>
    </row>
    <row r="444" spans="1:16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>
        <f t="shared" si="6"/>
        <v>18539.05</v>
      </c>
    </row>
    <row r="445" spans="1:16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>
        <f t="shared" si="6"/>
        <v>7808.88</v>
      </c>
    </row>
    <row r="446" spans="1:16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>
        <f t="shared" si="6"/>
        <v>23504.880000000001</v>
      </c>
    </row>
    <row r="447" spans="1:16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>
        <f t="shared" si="6"/>
        <v>2633.24</v>
      </c>
    </row>
    <row r="448" spans="1:16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>
        <f t="shared" si="6"/>
        <v>15484.84</v>
      </c>
    </row>
    <row r="449" spans="1:16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>
        <f t="shared" si="6"/>
        <v>17977.82</v>
      </c>
    </row>
    <row r="450" spans="1:16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>
        <f t="shared" si="6"/>
        <v>14931.88</v>
      </c>
    </row>
    <row r="451" spans="1:16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>
        <f t="shared" ref="P451:P501" si="7">L451*M451</f>
        <v>19271</v>
      </c>
    </row>
    <row r="452" spans="1:16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>
        <f t="shared" si="7"/>
        <v>9330.09</v>
      </c>
    </row>
    <row r="453" spans="1:16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>
        <f t="shared" si="7"/>
        <v>1574.59</v>
      </c>
    </row>
    <row r="454" spans="1:16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>
        <f t="shared" si="7"/>
        <v>13615.920000000002</v>
      </c>
    </row>
    <row r="455" spans="1:16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>
        <f t="shared" si="7"/>
        <v>28724.04</v>
      </c>
    </row>
    <row r="456" spans="1:16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>
        <f t="shared" si="7"/>
        <v>2748.46</v>
      </c>
    </row>
    <row r="457" spans="1:16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>
        <f t="shared" si="7"/>
        <v>7145.88</v>
      </c>
    </row>
    <row r="458" spans="1:16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>
        <f t="shared" si="7"/>
        <v>7403.3</v>
      </c>
    </row>
    <row r="459" spans="1:16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>
        <f t="shared" si="7"/>
        <v>29616.39</v>
      </c>
    </row>
    <row r="460" spans="1:16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>
        <f t="shared" si="7"/>
        <v>7787.6</v>
      </c>
    </row>
    <row r="461" spans="1:16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>
        <f t="shared" si="7"/>
        <v>445.38</v>
      </c>
    </row>
    <row r="462" spans="1:16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>
        <f t="shared" si="7"/>
        <v>3157.2</v>
      </c>
    </row>
    <row r="463" spans="1:16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>
        <f t="shared" si="7"/>
        <v>2311.5</v>
      </c>
    </row>
    <row r="464" spans="1:16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>
        <f t="shared" si="7"/>
        <v>10361.6</v>
      </c>
    </row>
    <row r="465" spans="1:16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>
        <f t="shared" si="7"/>
        <v>559.4</v>
      </c>
    </row>
    <row r="466" spans="1:16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>
        <f t="shared" si="7"/>
        <v>2357.7600000000002</v>
      </c>
    </row>
    <row r="467" spans="1:16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>
        <f t="shared" si="7"/>
        <v>22638.239999999998</v>
      </c>
    </row>
    <row r="468" spans="1:16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>
        <f t="shared" si="7"/>
        <v>14038.88</v>
      </c>
    </row>
    <row r="469" spans="1:16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>
        <f t="shared" si="7"/>
        <v>17014.77</v>
      </c>
    </row>
    <row r="470" spans="1:16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>
        <f t="shared" si="7"/>
        <v>19726.75</v>
      </c>
    </row>
    <row r="471" spans="1:16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>
        <f t="shared" si="7"/>
        <v>1205.76</v>
      </c>
    </row>
    <row r="472" spans="1:16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>
        <f t="shared" si="7"/>
        <v>22624.38</v>
      </c>
    </row>
    <row r="473" spans="1:16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>
        <f t="shared" si="7"/>
        <v>12616.25</v>
      </c>
    </row>
    <row r="474" spans="1:16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>
        <f t="shared" si="7"/>
        <v>11466.960000000001</v>
      </c>
    </row>
    <row r="475" spans="1:16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>
        <f t="shared" si="7"/>
        <v>1678.25</v>
      </c>
    </row>
    <row r="476" spans="1:16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>
        <f t="shared" si="7"/>
        <v>13322.61</v>
      </c>
    </row>
    <row r="477" spans="1:16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>
        <f t="shared" si="7"/>
        <v>6990.4</v>
      </c>
    </row>
    <row r="478" spans="1:16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>
        <f t="shared" si="7"/>
        <v>5924.8</v>
      </c>
    </row>
    <row r="479" spans="1:16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>
        <f t="shared" si="7"/>
        <v>3355.6</v>
      </c>
    </row>
    <row r="480" spans="1:16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>
        <f t="shared" si="7"/>
        <v>2732.73</v>
      </c>
    </row>
    <row r="481" spans="1:16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>
        <f t="shared" si="7"/>
        <v>5070</v>
      </c>
    </row>
    <row r="482" spans="1:16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>
        <f t="shared" si="7"/>
        <v>9284.08</v>
      </c>
    </row>
    <row r="483" spans="1:16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>
        <f t="shared" si="7"/>
        <v>15205.679999999998</v>
      </c>
    </row>
    <row r="484" spans="1:16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>
        <f t="shared" si="7"/>
        <v>1734.4499999999998</v>
      </c>
    </row>
    <row r="485" spans="1:16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>
        <f t="shared" si="7"/>
        <v>27939.599999999999</v>
      </c>
    </row>
    <row r="486" spans="1:16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>
        <f t="shared" si="7"/>
        <v>2589.6799999999998</v>
      </c>
    </row>
    <row r="487" spans="1:16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>
        <f t="shared" si="7"/>
        <v>6981.93</v>
      </c>
    </row>
    <row r="488" spans="1:16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>
        <f t="shared" si="7"/>
        <v>11004.56</v>
      </c>
    </row>
    <row r="489" spans="1:16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>
        <f t="shared" si="7"/>
        <v>296.63</v>
      </c>
    </row>
    <row r="490" spans="1:16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>
        <f t="shared" si="7"/>
        <v>20295.04</v>
      </c>
    </row>
    <row r="491" spans="1:16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>
        <f t="shared" si="7"/>
        <v>19866.419999999998</v>
      </c>
    </row>
    <row r="492" spans="1:16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>
        <f t="shared" si="7"/>
        <v>4887.1499999999996</v>
      </c>
    </row>
    <row r="493" spans="1:16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>
        <f t="shared" si="7"/>
        <v>1557.8</v>
      </c>
    </row>
    <row r="494" spans="1:16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>
        <f t="shared" si="7"/>
        <v>10850.21</v>
      </c>
    </row>
    <row r="495" spans="1:16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>
        <f t="shared" si="7"/>
        <v>2647.9500000000003</v>
      </c>
    </row>
    <row r="496" spans="1:16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>
        <f t="shared" si="7"/>
        <v>4787.5200000000004</v>
      </c>
    </row>
    <row r="497" spans="1:16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>
        <f t="shared" si="7"/>
        <v>6773.4600000000009</v>
      </c>
    </row>
    <row r="498" spans="1:16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>
        <f t="shared" si="7"/>
        <v>6437.75</v>
      </c>
    </row>
    <row r="499" spans="1:16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>
        <f t="shared" si="7"/>
        <v>19713.509999999998</v>
      </c>
    </row>
    <row r="500" spans="1:16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>
        <f t="shared" si="7"/>
        <v>5523.62</v>
      </c>
    </row>
    <row r="501" spans="1:16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>
        <f t="shared" si="7"/>
        <v>2432.17</v>
      </c>
    </row>
  </sheetData>
  <mergeCells count="8">
    <mergeCell ref="Q1:R1"/>
    <mergeCell ref="Q2:R2"/>
    <mergeCell ref="Q32:S32"/>
    <mergeCell ref="Y2:Z3"/>
    <mergeCell ref="Q6:R6"/>
    <mergeCell ref="Q15:S16"/>
    <mergeCell ref="Q25:R25"/>
    <mergeCell ref="Q28:R28"/>
  </mergeCells>
  <dataValidations count="4">
    <dataValidation type="list" allowBlank="1" showInputMessage="1" showErrorMessage="1" sqref="Q8 R18" xr:uid="{B370D6B5-B618-4185-BC09-FB15E3F4C184}">
      <formula1>$U$1:$U$6</formula1>
    </dataValidation>
    <dataValidation type="list" allowBlank="1" showInputMessage="1" showErrorMessage="1" sqref="Q11 Q18 R34" xr:uid="{0D6B7787-24D7-4843-A898-AB16BBAD4D5C}">
      <formula1>$T$1:$T$3</formula1>
    </dataValidation>
    <dataValidation type="list" allowBlank="1" showInputMessage="1" showErrorMessage="1" sqref="Q21" xr:uid="{07D69AD1-2D38-4583-A036-62B04B079C98}">
      <formula1>$V$1:$V$5</formula1>
    </dataValidation>
    <dataValidation type="list" allowBlank="1" showInputMessage="1" showErrorMessage="1" sqref="R21 Q30 Q34" xr:uid="{F1D12AA6-D1CC-4855-9F5A-0DAE2823552E}">
      <formula1>$W$1:$W$5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ECDF-8BB4-4416-94C7-27FC190278C8}">
  <dimension ref="A1:AF501"/>
  <sheetViews>
    <sheetView topLeftCell="N1" zoomScale="98" zoomScaleNormal="175" workbookViewId="0">
      <selection activeCell="K8" sqref="K8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style="1" bestFit="1" customWidth="1"/>
    <col min="18" max="18" width="15.44140625" bestFit="1" customWidth="1"/>
    <col min="19" max="19" width="10.109375" style="20" bestFit="1" customWidth="1"/>
    <col min="20" max="20" width="9.88671875" customWidth="1"/>
    <col min="21" max="21" width="14.88671875" style="23" bestFit="1" customWidth="1"/>
    <col min="23" max="23" width="15.88671875" style="24" bestFit="1" customWidth="1"/>
    <col min="24" max="24" width="13.5546875" bestFit="1" customWidth="1"/>
    <col min="25" max="25" width="13.5546875" style="26" bestFit="1" customWidth="1"/>
    <col min="27" max="27" width="13.5546875" style="27" bestFit="1" customWidth="1"/>
    <col min="29" max="29" width="3.6640625" customWidth="1"/>
    <col min="30" max="30" width="9.109375" style="24" bestFit="1" customWidth="1"/>
    <col min="31" max="31" width="11.77734375" customWidth="1"/>
    <col min="32" max="32" width="10.6640625" style="28" bestFit="1" customWidth="1"/>
  </cols>
  <sheetData>
    <row r="1" spans="1:3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9" t="s">
        <v>14</v>
      </c>
      <c r="P1" s="3" t="s">
        <v>70</v>
      </c>
      <c r="R1" s="8" t="s">
        <v>93</v>
      </c>
      <c r="S1" s="21" t="s">
        <v>95</v>
      </c>
      <c r="U1" s="21" t="s">
        <v>96</v>
      </c>
      <c r="W1" s="25" t="s">
        <v>98</v>
      </c>
      <c r="Y1" s="25" t="s">
        <v>99</v>
      </c>
      <c r="AA1" s="25" t="s">
        <v>99</v>
      </c>
      <c r="AD1" s="25" t="s">
        <v>100</v>
      </c>
      <c r="AF1" s="25" t="s">
        <v>104</v>
      </c>
    </row>
    <row r="2" spans="1:32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0">
        <v>19907.09</v>
      </c>
      <c r="P2" s="1">
        <f>L2*M2</f>
        <v>19907.09</v>
      </c>
      <c r="R2" s="19" t="str">
        <f>IF(AND(L2&gt;5,O2&gt;10000),"YES","NO")</f>
        <v>YES</v>
      </c>
      <c r="S2" s="20" t="str">
        <f>IF(AND(L2&gt;=8,N2&gt;=10),"YES","NO")</f>
        <v>NO</v>
      </c>
      <c r="U2" s="23" t="str">
        <f>IF(OR(G2="Mobile App",G2="Website"),"YES","NO")</f>
        <v>YES</v>
      </c>
      <c r="W2" s="24" t="str">
        <f>IF(AND(L2&lt;3,O2&lt;=1000),"Special Attention","No")</f>
        <v>No</v>
      </c>
      <c r="Y2" s="26" t="str">
        <f>IF(NOT(G2="Website"),"No","yes")</f>
        <v>No</v>
      </c>
      <c r="AA2" s="27" t="str">
        <f>IF(G2&lt;&gt;"Website","No","Yes")</f>
        <v>No</v>
      </c>
      <c r="AD2" s="24" t="str">
        <f>IF(AND(O2&gt;15000,OR(I2="Electronics",I2="Beauty")),"Premium","Regular")</f>
        <v>Regular</v>
      </c>
      <c r="AF2" s="28" t="str">
        <f>IF(AND(L2&gt;=8,N2&lt;&gt;0),"Non Disc","Discounted")</f>
        <v>Discounted</v>
      </c>
    </row>
    <row r="3" spans="1:32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0">
        <v>21590.720000000001</v>
      </c>
      <c r="P3" s="1">
        <f t="shared" ref="P3:P66" si="0">L3*M3</f>
        <v>22727.07</v>
      </c>
      <c r="R3" s="19" t="str">
        <f t="shared" ref="R3:R66" si="1">IF(AND(L3&gt;5,O3&gt;10000),"YES","NO")</f>
        <v>YES</v>
      </c>
      <c r="S3" s="20" t="str">
        <f t="shared" ref="S3:S66" si="2">IF(AND(L3&gt;=8,N3&gt;=10),"YES","NO")</f>
        <v>NO</v>
      </c>
      <c r="U3" s="23" t="str">
        <f t="shared" ref="U3:U66" si="3">IF(OR(G3="Mobile App",G3="Website"),"YES","NO")</f>
        <v>YES</v>
      </c>
      <c r="W3" s="24" t="str">
        <f t="shared" ref="W3:W10" si="4">IF(AND(L3&lt;3,O3&lt;=1000),"Special Attention","No")</f>
        <v>No</v>
      </c>
      <c r="Y3" s="26" t="str">
        <f t="shared" ref="Y3:Y66" si="5">IF(NOT(G3="Website"),"No","yes")</f>
        <v>yes</v>
      </c>
      <c r="AA3" s="27" t="str">
        <f t="shared" ref="AA3:AA66" si="6">IF(G3&lt;&gt;"Website","No","Yes")</f>
        <v>Yes</v>
      </c>
      <c r="AD3" s="24" t="str">
        <f t="shared" ref="AD3:AD66" si="7">IF(AND(O3&gt;15000,OR(I3="Electronics",I3="Beauty")),"Premium","Regular")</f>
        <v>Regular</v>
      </c>
      <c r="AF3" s="28" t="str">
        <f t="shared" ref="AF3:AF66" si="8">IF(AND(L3&gt;=8,N3&lt;&gt;0),"Non Disc","Discounted")</f>
        <v>Non Disc</v>
      </c>
    </row>
    <row r="4" spans="1:32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0">
        <v>17719.13</v>
      </c>
      <c r="P4" s="1">
        <f t="shared" si="0"/>
        <v>20846.04</v>
      </c>
      <c r="R4" s="19" t="str">
        <f t="shared" si="1"/>
        <v>YES</v>
      </c>
      <c r="S4" s="20" t="str">
        <f t="shared" si="2"/>
        <v>NO</v>
      </c>
      <c r="U4" s="23" t="str">
        <f t="shared" si="3"/>
        <v>NO</v>
      </c>
      <c r="W4" s="24" t="str">
        <f t="shared" si="4"/>
        <v>No</v>
      </c>
      <c r="Y4" s="26" t="str">
        <f t="shared" si="5"/>
        <v>No</v>
      </c>
      <c r="AA4" s="27" t="str">
        <f t="shared" si="6"/>
        <v>No</v>
      </c>
      <c r="AD4" s="24" t="str">
        <f t="shared" si="7"/>
        <v>Regular</v>
      </c>
      <c r="AF4" s="28" t="str">
        <f t="shared" si="8"/>
        <v>Discounted</v>
      </c>
    </row>
    <row r="5" spans="1:32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0">
        <v>857.47</v>
      </c>
      <c r="P5" s="1">
        <f t="shared" si="0"/>
        <v>1008.79</v>
      </c>
      <c r="R5" s="19" t="str">
        <f t="shared" si="1"/>
        <v>NO</v>
      </c>
      <c r="S5" s="20" t="str">
        <f t="shared" si="2"/>
        <v>NO</v>
      </c>
      <c r="U5" s="23" t="str">
        <f t="shared" si="3"/>
        <v>YES</v>
      </c>
      <c r="W5" s="24" t="str">
        <f>IF(AND(L5&lt;3,O5&lt;=1000),"Special Attention","No")</f>
        <v>Special Attention</v>
      </c>
      <c r="Y5" s="26" t="str">
        <f t="shared" si="5"/>
        <v>yes</v>
      </c>
      <c r="AA5" s="27" t="str">
        <f t="shared" si="6"/>
        <v>Yes</v>
      </c>
      <c r="AD5" s="24" t="str">
        <f t="shared" si="7"/>
        <v>Regular</v>
      </c>
      <c r="AF5" s="28" t="str">
        <f t="shared" si="8"/>
        <v>Discounted</v>
      </c>
    </row>
    <row r="6" spans="1:32" ht="14.4" customHeight="1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0">
        <v>19664.23</v>
      </c>
      <c r="P6" s="1">
        <f t="shared" si="0"/>
        <v>24580.289999999997</v>
      </c>
      <c r="Q6" s="62" t="s">
        <v>94</v>
      </c>
      <c r="R6" s="19" t="str">
        <f t="shared" si="1"/>
        <v>YES</v>
      </c>
      <c r="S6" s="20" t="str">
        <f t="shared" si="2"/>
        <v>NO</v>
      </c>
      <c r="T6" s="62" t="s">
        <v>97</v>
      </c>
      <c r="U6" s="23" t="str">
        <f t="shared" si="3"/>
        <v>NO</v>
      </c>
      <c r="V6" s="62" t="s">
        <v>94</v>
      </c>
      <c r="W6" s="24" t="str">
        <f t="shared" si="4"/>
        <v>No</v>
      </c>
      <c r="X6" s="62" t="s">
        <v>101</v>
      </c>
      <c r="Y6" s="26" t="str">
        <f t="shared" si="5"/>
        <v>No</v>
      </c>
      <c r="Z6" s="62" t="s">
        <v>102</v>
      </c>
      <c r="AA6" s="27" t="str">
        <f t="shared" si="6"/>
        <v>No</v>
      </c>
      <c r="AB6" s="60" t="s">
        <v>103</v>
      </c>
      <c r="AC6" s="60"/>
      <c r="AD6" s="24" t="str">
        <f t="shared" si="7"/>
        <v>Regular</v>
      </c>
      <c r="AE6" s="61" t="s">
        <v>103</v>
      </c>
      <c r="AF6" s="28" t="str">
        <f t="shared" si="8"/>
        <v>Discounted</v>
      </c>
    </row>
    <row r="7" spans="1:32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0">
        <v>8611.7800000000007</v>
      </c>
      <c r="P7" s="1">
        <f t="shared" si="0"/>
        <v>9568.6500000000015</v>
      </c>
      <c r="Q7" s="62"/>
      <c r="R7" s="19" t="str">
        <f t="shared" si="1"/>
        <v>NO</v>
      </c>
      <c r="S7" s="20" t="str">
        <f t="shared" si="2"/>
        <v>NO</v>
      </c>
      <c r="T7" s="62"/>
      <c r="U7" s="23" t="str">
        <f t="shared" si="3"/>
        <v>YES</v>
      </c>
      <c r="V7" s="62"/>
      <c r="W7" s="24" t="str">
        <f t="shared" si="4"/>
        <v>No</v>
      </c>
      <c r="X7" s="62"/>
      <c r="Y7" s="26" t="str">
        <f t="shared" si="5"/>
        <v>yes</v>
      </c>
      <c r="Z7" s="62"/>
      <c r="AA7" s="27" t="str">
        <f t="shared" si="6"/>
        <v>Yes</v>
      </c>
      <c r="AB7" s="60"/>
      <c r="AC7" s="60"/>
      <c r="AD7" s="24" t="str">
        <f t="shared" si="7"/>
        <v>Regular</v>
      </c>
      <c r="AE7" s="61"/>
      <c r="AF7" s="28" t="str">
        <f t="shared" si="8"/>
        <v>Discounted</v>
      </c>
    </row>
    <row r="8" spans="1:32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0">
        <v>13636.89</v>
      </c>
      <c r="P8" s="1">
        <f t="shared" si="0"/>
        <v>15152.1</v>
      </c>
      <c r="Q8" s="62"/>
      <c r="R8" s="19" t="str">
        <f t="shared" si="1"/>
        <v>NO</v>
      </c>
      <c r="S8" s="20" t="str">
        <f t="shared" si="2"/>
        <v>NO</v>
      </c>
      <c r="T8" s="62"/>
      <c r="U8" s="23" t="str">
        <f>IF(OR(G8="Mobile App",G8="Website"),"YES","NO")</f>
        <v>YES</v>
      </c>
      <c r="V8" s="62"/>
      <c r="W8" s="24" t="str">
        <f>IF(AND(L8&lt;3,O8&lt;=1000),"Special Attention","No")</f>
        <v>No</v>
      </c>
      <c r="X8" s="62"/>
      <c r="Y8" s="26" t="str">
        <f t="shared" si="5"/>
        <v>No</v>
      </c>
      <c r="Z8" s="62"/>
      <c r="AA8" s="27" t="str">
        <f t="shared" si="6"/>
        <v>No</v>
      </c>
      <c r="AB8" s="60"/>
      <c r="AC8" s="60"/>
      <c r="AD8" s="24" t="str">
        <f t="shared" si="7"/>
        <v>Regular</v>
      </c>
      <c r="AE8" s="61"/>
      <c r="AF8" s="28" t="str">
        <f t="shared" si="8"/>
        <v>Discounted</v>
      </c>
    </row>
    <row r="9" spans="1:32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0">
        <v>8318.99</v>
      </c>
      <c r="P9" s="1">
        <f t="shared" si="0"/>
        <v>9243.32</v>
      </c>
      <c r="Q9" s="62"/>
      <c r="R9" s="19" t="str">
        <f t="shared" si="1"/>
        <v>NO</v>
      </c>
      <c r="S9" s="20" t="str">
        <f t="shared" si="2"/>
        <v>NO</v>
      </c>
      <c r="T9" s="62"/>
      <c r="U9" s="23" t="str">
        <f t="shared" si="3"/>
        <v>YES</v>
      </c>
      <c r="V9" s="62"/>
      <c r="W9" s="24" t="str">
        <f t="shared" si="4"/>
        <v>No</v>
      </c>
      <c r="X9" s="62"/>
      <c r="Y9" s="26" t="str">
        <f t="shared" si="5"/>
        <v>yes</v>
      </c>
      <c r="Z9" s="62"/>
      <c r="AA9" s="27" t="str">
        <f t="shared" si="6"/>
        <v>Yes</v>
      </c>
      <c r="AB9" s="60"/>
      <c r="AC9" s="60"/>
      <c r="AD9" s="24" t="str">
        <f t="shared" si="7"/>
        <v>Regular</v>
      </c>
      <c r="AE9" s="61"/>
      <c r="AF9" s="28" t="str">
        <f t="shared" si="8"/>
        <v>Discounted</v>
      </c>
    </row>
    <row r="10" spans="1:32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0">
        <v>4666.67</v>
      </c>
      <c r="P10" s="1">
        <f t="shared" si="0"/>
        <v>5490.2</v>
      </c>
      <c r="R10" s="19" t="str">
        <f t="shared" si="1"/>
        <v>NO</v>
      </c>
      <c r="S10" s="20" t="str">
        <f t="shared" si="2"/>
        <v>NO</v>
      </c>
      <c r="U10" s="23" t="str">
        <f t="shared" si="3"/>
        <v>YES</v>
      </c>
      <c r="W10" s="24" t="str">
        <f t="shared" si="4"/>
        <v>No</v>
      </c>
      <c r="Y10" s="26" t="str">
        <f t="shared" si="5"/>
        <v>yes</v>
      </c>
      <c r="AA10" s="27" t="str">
        <f t="shared" si="6"/>
        <v>Yes</v>
      </c>
      <c r="AD10" s="24" t="str">
        <f t="shared" si="7"/>
        <v>Regular</v>
      </c>
      <c r="AF10" s="28" t="str">
        <f t="shared" si="8"/>
        <v>Discounted</v>
      </c>
    </row>
    <row r="11" spans="1:32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0">
        <v>7122.64</v>
      </c>
      <c r="P11" s="1">
        <f t="shared" si="0"/>
        <v>8903.3000000000011</v>
      </c>
      <c r="R11" s="19" t="str">
        <f t="shared" si="1"/>
        <v>NO</v>
      </c>
      <c r="S11" s="20" t="str">
        <f t="shared" si="2"/>
        <v>NO</v>
      </c>
      <c r="U11" s="23" t="str">
        <f t="shared" si="3"/>
        <v>YES</v>
      </c>
      <c r="W11" s="24" t="str">
        <f>IF(AND(L11&lt;3,O11&lt;=1000),"Special Attention","No")</f>
        <v>No</v>
      </c>
      <c r="Y11" s="26" t="str">
        <f t="shared" si="5"/>
        <v>yes</v>
      </c>
      <c r="AA11" s="27" t="str">
        <f t="shared" si="6"/>
        <v>Yes</v>
      </c>
      <c r="AD11" s="24" t="str">
        <f t="shared" si="7"/>
        <v>Regular</v>
      </c>
      <c r="AF11" s="28" t="str">
        <f t="shared" si="8"/>
        <v>Discounted</v>
      </c>
    </row>
    <row r="12" spans="1:32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0">
        <v>19231.5</v>
      </c>
      <c r="P12" s="1">
        <f t="shared" si="0"/>
        <v>19231.5</v>
      </c>
      <c r="R12" s="19" t="str">
        <f t="shared" si="1"/>
        <v>YES</v>
      </c>
      <c r="S12" s="20" t="str">
        <f t="shared" si="2"/>
        <v>NO</v>
      </c>
      <c r="U12" s="23" t="str">
        <f t="shared" si="3"/>
        <v>YES</v>
      </c>
      <c r="W12" s="24" t="str">
        <f t="shared" ref="W12:W56" si="9">IF(AND(L12&lt;3,O12&lt;=1000),"Special Attention","No")</f>
        <v>No</v>
      </c>
      <c r="Y12" s="26" t="str">
        <f t="shared" si="5"/>
        <v>No</v>
      </c>
      <c r="AA12" s="27" t="str">
        <f t="shared" si="6"/>
        <v>No</v>
      </c>
      <c r="AD12" s="24" t="str">
        <f t="shared" si="7"/>
        <v>Premium</v>
      </c>
      <c r="AF12" s="28" t="str">
        <f t="shared" si="8"/>
        <v>Discounted</v>
      </c>
    </row>
    <row r="13" spans="1:32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0">
        <v>1552.39</v>
      </c>
      <c r="P13" s="1">
        <f t="shared" si="0"/>
        <v>1634.1000000000001</v>
      </c>
      <c r="R13" s="19" t="str">
        <f t="shared" si="1"/>
        <v>NO</v>
      </c>
      <c r="S13" s="20" t="str">
        <f t="shared" si="2"/>
        <v>NO</v>
      </c>
      <c r="U13" s="23" t="str">
        <f t="shared" si="3"/>
        <v>YES</v>
      </c>
      <c r="W13" s="24" t="str">
        <f t="shared" si="9"/>
        <v>No</v>
      </c>
      <c r="Y13" s="26" t="str">
        <f t="shared" si="5"/>
        <v>yes</v>
      </c>
      <c r="AA13" s="27" t="str">
        <f t="shared" si="6"/>
        <v>Yes</v>
      </c>
      <c r="AD13" s="24" t="str">
        <f t="shared" si="7"/>
        <v>Regular</v>
      </c>
      <c r="AF13" s="28" t="str">
        <f t="shared" si="8"/>
        <v>Discounted</v>
      </c>
    </row>
    <row r="14" spans="1:32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0">
        <v>25287.200000000001</v>
      </c>
      <c r="P14" s="1">
        <f t="shared" si="0"/>
        <v>25287.200000000001</v>
      </c>
      <c r="R14" s="19" t="str">
        <f t="shared" si="1"/>
        <v>YES</v>
      </c>
      <c r="S14" s="20" t="str">
        <f t="shared" si="2"/>
        <v>NO</v>
      </c>
      <c r="U14" s="23" t="str">
        <f t="shared" si="3"/>
        <v>YES</v>
      </c>
      <c r="W14" s="24" t="str">
        <f t="shared" si="9"/>
        <v>No</v>
      </c>
      <c r="Y14" s="26" t="str">
        <f t="shared" si="5"/>
        <v>No</v>
      </c>
      <c r="AA14" s="27" t="str">
        <f t="shared" si="6"/>
        <v>No</v>
      </c>
      <c r="AD14" s="24" t="str">
        <f t="shared" si="7"/>
        <v>Regular</v>
      </c>
      <c r="AF14" s="28" t="str">
        <f t="shared" si="8"/>
        <v>Discounted</v>
      </c>
    </row>
    <row r="15" spans="1:32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0">
        <v>7305.04</v>
      </c>
      <c r="P15" s="1">
        <f t="shared" si="0"/>
        <v>8594.16</v>
      </c>
      <c r="R15" s="19" t="str">
        <f t="shared" si="1"/>
        <v>NO</v>
      </c>
      <c r="S15" s="20" t="str">
        <f t="shared" si="2"/>
        <v>YES</v>
      </c>
      <c r="U15" s="23" t="str">
        <f t="shared" si="3"/>
        <v>NO</v>
      </c>
      <c r="W15" s="24" t="str">
        <f t="shared" si="9"/>
        <v>No</v>
      </c>
      <c r="Y15" s="26" t="str">
        <f t="shared" si="5"/>
        <v>No</v>
      </c>
      <c r="AA15" s="27" t="str">
        <f t="shared" si="6"/>
        <v>No</v>
      </c>
      <c r="AD15" s="24" t="str">
        <f t="shared" si="7"/>
        <v>Regular</v>
      </c>
      <c r="AF15" s="28" t="str">
        <f t="shared" si="8"/>
        <v>Non Disc</v>
      </c>
    </row>
    <row r="16" spans="1:32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0">
        <v>5715.28</v>
      </c>
      <c r="P16" s="1">
        <f t="shared" si="0"/>
        <v>6350.31</v>
      </c>
      <c r="R16" s="19" t="str">
        <f t="shared" si="1"/>
        <v>NO</v>
      </c>
      <c r="S16" s="20" t="str">
        <f t="shared" si="2"/>
        <v>YES</v>
      </c>
      <c r="U16" s="23" t="str">
        <f t="shared" si="3"/>
        <v>YES</v>
      </c>
      <c r="W16" s="24" t="str">
        <f t="shared" si="9"/>
        <v>No</v>
      </c>
      <c r="Y16" s="26" t="str">
        <f t="shared" si="5"/>
        <v>yes</v>
      </c>
      <c r="AA16" s="27" t="str">
        <f t="shared" si="6"/>
        <v>Yes</v>
      </c>
      <c r="AD16" s="24" t="str">
        <f t="shared" si="7"/>
        <v>Regular</v>
      </c>
      <c r="AF16" s="28" t="str">
        <f t="shared" si="8"/>
        <v>Non Disc</v>
      </c>
    </row>
    <row r="17" spans="1:32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0">
        <v>4525.42</v>
      </c>
      <c r="P17" s="1">
        <f t="shared" si="0"/>
        <v>4763.6000000000004</v>
      </c>
      <c r="R17" s="19" t="str">
        <f t="shared" si="1"/>
        <v>NO</v>
      </c>
      <c r="S17" s="20" t="str">
        <f t="shared" si="2"/>
        <v>NO</v>
      </c>
      <c r="U17" s="23" t="str">
        <f t="shared" si="3"/>
        <v>YES</v>
      </c>
      <c r="W17" s="24" t="str">
        <f t="shared" si="9"/>
        <v>No</v>
      </c>
      <c r="Y17" s="26" t="str">
        <f t="shared" si="5"/>
        <v>No</v>
      </c>
      <c r="AA17" s="27" t="str">
        <f t="shared" si="6"/>
        <v>No</v>
      </c>
      <c r="AD17" s="24" t="str">
        <f t="shared" si="7"/>
        <v>Regular</v>
      </c>
      <c r="AF17" s="28" t="str">
        <f t="shared" si="8"/>
        <v>Non Disc</v>
      </c>
    </row>
    <row r="18" spans="1:32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0">
        <v>433.35</v>
      </c>
      <c r="P18" s="1">
        <f t="shared" si="0"/>
        <v>509.82</v>
      </c>
      <c r="R18" s="19" t="str">
        <f t="shared" si="1"/>
        <v>NO</v>
      </c>
      <c r="S18" s="20" t="str">
        <f t="shared" si="2"/>
        <v>NO</v>
      </c>
      <c r="U18" s="23" t="str">
        <f t="shared" si="3"/>
        <v>YES</v>
      </c>
      <c r="W18" s="24" t="str">
        <f t="shared" si="9"/>
        <v>Special Attention</v>
      </c>
      <c r="Y18" s="26" t="str">
        <f t="shared" si="5"/>
        <v>No</v>
      </c>
      <c r="AA18" s="27" t="str">
        <f t="shared" si="6"/>
        <v>No</v>
      </c>
      <c r="AD18" s="24" t="str">
        <f t="shared" si="7"/>
        <v>Regular</v>
      </c>
      <c r="AF18" s="28" t="str">
        <f t="shared" si="8"/>
        <v>Discounted</v>
      </c>
    </row>
    <row r="19" spans="1:32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0">
        <v>1840.94</v>
      </c>
      <c r="P19" s="1">
        <f t="shared" si="0"/>
        <v>2165.81</v>
      </c>
      <c r="R19" s="19" t="str">
        <f t="shared" si="1"/>
        <v>NO</v>
      </c>
      <c r="S19" s="20" t="str">
        <f t="shared" si="2"/>
        <v>NO</v>
      </c>
      <c r="U19" s="23" t="str">
        <f t="shared" si="3"/>
        <v>YES</v>
      </c>
      <c r="W19" s="24" t="str">
        <f t="shared" si="9"/>
        <v>No</v>
      </c>
      <c r="Y19" s="26" t="str">
        <f t="shared" si="5"/>
        <v>yes</v>
      </c>
      <c r="AA19" s="27" t="str">
        <f t="shared" si="6"/>
        <v>Yes</v>
      </c>
      <c r="AD19" s="24" t="str">
        <f t="shared" si="7"/>
        <v>Regular</v>
      </c>
      <c r="AF19" s="28" t="str">
        <f t="shared" si="8"/>
        <v>Discounted</v>
      </c>
    </row>
    <row r="20" spans="1:32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0">
        <v>1683.51</v>
      </c>
      <c r="P20" s="1">
        <f t="shared" si="0"/>
        <v>1980.6</v>
      </c>
      <c r="R20" s="19" t="str">
        <f t="shared" si="1"/>
        <v>NO</v>
      </c>
      <c r="S20" s="20" t="str">
        <f t="shared" si="2"/>
        <v>NO</v>
      </c>
      <c r="U20" s="23" t="str">
        <f t="shared" si="3"/>
        <v>NO</v>
      </c>
      <c r="W20" s="24" t="str">
        <f t="shared" si="9"/>
        <v>No</v>
      </c>
      <c r="Y20" s="26" t="str">
        <f t="shared" si="5"/>
        <v>No</v>
      </c>
      <c r="AA20" s="27" t="str">
        <f t="shared" si="6"/>
        <v>No</v>
      </c>
      <c r="AD20" s="24" t="str">
        <f t="shared" si="7"/>
        <v>Regular</v>
      </c>
      <c r="AF20" s="28" t="str">
        <f t="shared" si="8"/>
        <v>Discounted</v>
      </c>
    </row>
    <row r="21" spans="1:32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0">
        <v>7522.69</v>
      </c>
      <c r="P21" s="1">
        <f t="shared" si="0"/>
        <v>7918.62</v>
      </c>
      <c r="R21" s="19" t="str">
        <f t="shared" si="1"/>
        <v>NO</v>
      </c>
      <c r="S21" s="20" t="str">
        <f t="shared" si="2"/>
        <v>NO</v>
      </c>
      <c r="U21" s="23" t="str">
        <f t="shared" si="3"/>
        <v>YES</v>
      </c>
      <c r="W21" s="24" t="str">
        <f t="shared" si="9"/>
        <v>No</v>
      </c>
      <c r="Y21" s="26" t="str">
        <f t="shared" si="5"/>
        <v>No</v>
      </c>
      <c r="AA21" s="27" t="str">
        <f t="shared" si="6"/>
        <v>No</v>
      </c>
      <c r="AD21" s="24" t="str">
        <f t="shared" si="7"/>
        <v>Regular</v>
      </c>
      <c r="AF21" s="28" t="str">
        <f t="shared" si="8"/>
        <v>Discounted</v>
      </c>
    </row>
    <row r="22" spans="1:32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0">
        <v>6730.5</v>
      </c>
      <c r="P22" s="1">
        <f t="shared" si="0"/>
        <v>7084.74</v>
      </c>
      <c r="R22" s="19" t="str">
        <f t="shared" si="1"/>
        <v>NO</v>
      </c>
      <c r="S22" s="20" t="str">
        <f t="shared" si="2"/>
        <v>NO</v>
      </c>
      <c r="U22" s="23" t="str">
        <f t="shared" si="3"/>
        <v>YES</v>
      </c>
      <c r="W22" s="24" t="str">
        <f t="shared" si="9"/>
        <v>No</v>
      </c>
      <c r="Y22" s="26" t="str">
        <f t="shared" si="5"/>
        <v>yes</v>
      </c>
      <c r="AA22" s="27" t="str">
        <f t="shared" si="6"/>
        <v>Yes</v>
      </c>
      <c r="AD22" s="24" t="str">
        <f t="shared" si="7"/>
        <v>Regular</v>
      </c>
      <c r="AF22" s="28" t="str">
        <f t="shared" si="8"/>
        <v>Discounted</v>
      </c>
    </row>
    <row r="23" spans="1:32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0">
        <v>3812.82</v>
      </c>
      <c r="P23" s="1">
        <f t="shared" si="0"/>
        <v>4766.0200000000004</v>
      </c>
      <c r="R23" s="19" t="str">
        <f t="shared" si="1"/>
        <v>NO</v>
      </c>
      <c r="S23" s="20" t="str">
        <f t="shared" si="2"/>
        <v>NO</v>
      </c>
      <c r="U23" s="23" t="str">
        <f t="shared" si="3"/>
        <v>NO</v>
      </c>
      <c r="W23" s="24" t="str">
        <f t="shared" si="9"/>
        <v>No</v>
      </c>
      <c r="Y23" s="26" t="str">
        <f t="shared" si="5"/>
        <v>No</v>
      </c>
      <c r="AA23" s="27" t="str">
        <f t="shared" si="6"/>
        <v>No</v>
      </c>
      <c r="AD23" s="24" t="str">
        <f t="shared" si="7"/>
        <v>Regular</v>
      </c>
      <c r="AF23" s="28" t="str">
        <f t="shared" si="8"/>
        <v>Discounted</v>
      </c>
    </row>
    <row r="24" spans="1:32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0">
        <v>4482.78</v>
      </c>
      <c r="P24" s="1">
        <f t="shared" si="0"/>
        <v>5603.48</v>
      </c>
      <c r="R24" s="19" t="str">
        <f t="shared" si="1"/>
        <v>NO</v>
      </c>
      <c r="S24" s="20" t="str">
        <f t="shared" si="2"/>
        <v>NO</v>
      </c>
      <c r="U24" s="23" t="str">
        <f t="shared" si="3"/>
        <v>YES</v>
      </c>
      <c r="W24" s="24" t="str">
        <f t="shared" si="9"/>
        <v>No</v>
      </c>
      <c r="Y24" s="26" t="str">
        <f t="shared" si="5"/>
        <v>No</v>
      </c>
      <c r="AA24" s="27" t="str">
        <f t="shared" si="6"/>
        <v>No</v>
      </c>
      <c r="AD24" s="24" t="str">
        <f t="shared" si="7"/>
        <v>Regular</v>
      </c>
      <c r="AF24" s="28" t="str">
        <f t="shared" si="8"/>
        <v>Discounted</v>
      </c>
    </row>
    <row r="25" spans="1:32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0">
        <v>3606.31</v>
      </c>
      <c r="P25" s="1">
        <f t="shared" si="0"/>
        <v>3606.31</v>
      </c>
      <c r="R25" s="19" t="str">
        <f t="shared" si="1"/>
        <v>NO</v>
      </c>
      <c r="S25" s="20" t="str">
        <f t="shared" si="2"/>
        <v>NO</v>
      </c>
      <c r="U25" s="23" t="str">
        <f t="shared" si="3"/>
        <v>YES</v>
      </c>
      <c r="W25" s="24" t="str">
        <f t="shared" si="9"/>
        <v>No</v>
      </c>
      <c r="Y25" s="26" t="str">
        <f t="shared" si="5"/>
        <v>No</v>
      </c>
      <c r="AA25" s="27" t="str">
        <f t="shared" si="6"/>
        <v>No</v>
      </c>
      <c r="AD25" s="24" t="str">
        <f t="shared" si="7"/>
        <v>Regular</v>
      </c>
      <c r="AF25" s="28" t="str">
        <f t="shared" si="8"/>
        <v>Discounted</v>
      </c>
    </row>
    <row r="26" spans="1:32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0">
        <v>17207.96</v>
      </c>
      <c r="P26" s="1">
        <f t="shared" si="0"/>
        <v>18113.64</v>
      </c>
      <c r="R26" s="19" t="str">
        <f t="shared" si="1"/>
        <v>YES</v>
      </c>
      <c r="S26" s="20" t="str">
        <f t="shared" si="2"/>
        <v>NO</v>
      </c>
      <c r="U26" s="23" t="str">
        <f t="shared" si="3"/>
        <v>NO</v>
      </c>
      <c r="W26" s="24" t="str">
        <f t="shared" si="9"/>
        <v>No</v>
      </c>
      <c r="Y26" s="26" t="str">
        <f t="shared" si="5"/>
        <v>No</v>
      </c>
      <c r="AA26" s="27" t="str">
        <f t="shared" si="6"/>
        <v>No</v>
      </c>
      <c r="AD26" s="24" t="str">
        <f t="shared" si="7"/>
        <v>Regular</v>
      </c>
      <c r="AF26" s="28" t="str">
        <f t="shared" si="8"/>
        <v>Discounted</v>
      </c>
    </row>
    <row r="27" spans="1:32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0">
        <v>3798.68</v>
      </c>
      <c r="P27" s="1">
        <f t="shared" si="0"/>
        <v>3998.61</v>
      </c>
      <c r="R27" s="19" t="str">
        <f t="shared" si="1"/>
        <v>NO</v>
      </c>
      <c r="S27" s="20" t="str">
        <f t="shared" si="2"/>
        <v>NO</v>
      </c>
      <c r="U27" s="23" t="str">
        <f t="shared" si="3"/>
        <v>NO</v>
      </c>
      <c r="W27" s="24" t="str">
        <f t="shared" si="9"/>
        <v>No</v>
      </c>
      <c r="Y27" s="26" t="str">
        <f t="shared" si="5"/>
        <v>No</v>
      </c>
      <c r="AA27" s="27" t="str">
        <f t="shared" si="6"/>
        <v>No</v>
      </c>
      <c r="AD27" s="24" t="str">
        <f t="shared" si="7"/>
        <v>Regular</v>
      </c>
      <c r="AF27" s="28" t="str">
        <f t="shared" si="8"/>
        <v>Non Disc</v>
      </c>
    </row>
    <row r="28" spans="1:32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0">
        <v>10257.58</v>
      </c>
      <c r="P28" s="1">
        <f t="shared" si="0"/>
        <v>10797.45</v>
      </c>
      <c r="R28" s="19" t="str">
        <f t="shared" si="1"/>
        <v>NO</v>
      </c>
      <c r="S28" s="20" t="str">
        <f t="shared" si="2"/>
        <v>NO</v>
      </c>
      <c r="U28" s="23" t="str">
        <f t="shared" si="3"/>
        <v>YES</v>
      </c>
      <c r="W28" s="24" t="str">
        <f t="shared" si="9"/>
        <v>No</v>
      </c>
      <c r="Y28" s="26" t="str">
        <f t="shared" si="5"/>
        <v>yes</v>
      </c>
      <c r="AA28" s="27" t="str">
        <f t="shared" si="6"/>
        <v>Yes</v>
      </c>
      <c r="AD28" s="24" t="str">
        <f t="shared" si="7"/>
        <v>Regular</v>
      </c>
      <c r="AF28" s="28" t="str">
        <f t="shared" si="8"/>
        <v>Discounted</v>
      </c>
    </row>
    <row r="29" spans="1:32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0">
        <v>15391.82</v>
      </c>
      <c r="P29" s="1">
        <f t="shared" si="0"/>
        <v>19239.78</v>
      </c>
      <c r="R29" s="19" t="str">
        <f t="shared" si="1"/>
        <v>YES</v>
      </c>
      <c r="S29" s="20" t="str">
        <f t="shared" si="2"/>
        <v>NO</v>
      </c>
      <c r="U29" s="23" t="str">
        <f t="shared" si="3"/>
        <v>YES</v>
      </c>
      <c r="W29" s="24" t="str">
        <f t="shared" si="9"/>
        <v>No</v>
      </c>
      <c r="Y29" s="26" t="str">
        <f t="shared" si="5"/>
        <v>yes</v>
      </c>
      <c r="AA29" s="27" t="str">
        <f t="shared" si="6"/>
        <v>Yes</v>
      </c>
      <c r="AD29" s="24" t="str">
        <f t="shared" si="7"/>
        <v>Premium</v>
      </c>
      <c r="AF29" s="28" t="str">
        <f t="shared" si="8"/>
        <v>Discounted</v>
      </c>
    </row>
    <row r="30" spans="1:32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0">
        <v>1936.65</v>
      </c>
      <c r="P30" s="1">
        <f t="shared" si="0"/>
        <v>2278.41</v>
      </c>
      <c r="R30" s="19" t="str">
        <f t="shared" si="1"/>
        <v>NO</v>
      </c>
      <c r="S30" s="20" t="str">
        <f t="shared" si="2"/>
        <v>NO</v>
      </c>
      <c r="U30" s="23" t="str">
        <f t="shared" si="3"/>
        <v>YES</v>
      </c>
      <c r="W30" s="24" t="str">
        <f t="shared" si="9"/>
        <v>No</v>
      </c>
      <c r="Y30" s="26" t="str">
        <f t="shared" si="5"/>
        <v>No</v>
      </c>
      <c r="AA30" s="27" t="str">
        <f t="shared" si="6"/>
        <v>No</v>
      </c>
      <c r="AD30" s="24" t="str">
        <f t="shared" si="7"/>
        <v>Regular</v>
      </c>
      <c r="AF30" s="28" t="str">
        <f t="shared" si="8"/>
        <v>Discounted</v>
      </c>
    </row>
    <row r="31" spans="1:32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0">
        <v>314.44</v>
      </c>
      <c r="P31" s="1">
        <f t="shared" si="0"/>
        <v>349.38</v>
      </c>
      <c r="R31" s="19" t="str">
        <f t="shared" si="1"/>
        <v>NO</v>
      </c>
      <c r="S31" s="20" t="str">
        <f t="shared" si="2"/>
        <v>NO</v>
      </c>
      <c r="U31" s="23" t="str">
        <f t="shared" si="3"/>
        <v>NO</v>
      </c>
      <c r="W31" s="24" t="str">
        <f t="shared" si="9"/>
        <v>Special Attention</v>
      </c>
      <c r="Y31" s="26" t="str">
        <f t="shared" si="5"/>
        <v>No</v>
      </c>
      <c r="AA31" s="27" t="str">
        <f t="shared" si="6"/>
        <v>No</v>
      </c>
      <c r="AD31" s="24" t="str">
        <f t="shared" si="7"/>
        <v>Regular</v>
      </c>
      <c r="AF31" s="28" t="str">
        <f t="shared" si="8"/>
        <v>Discounted</v>
      </c>
    </row>
    <row r="32" spans="1:32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0">
        <v>9182.6</v>
      </c>
      <c r="P32" s="1">
        <f t="shared" si="0"/>
        <v>11478.25</v>
      </c>
      <c r="R32" s="19" t="str">
        <f t="shared" si="1"/>
        <v>NO</v>
      </c>
      <c r="S32" s="20" t="str">
        <f t="shared" si="2"/>
        <v>NO</v>
      </c>
      <c r="U32" s="23" t="str">
        <f t="shared" si="3"/>
        <v>NO</v>
      </c>
      <c r="W32" s="24" t="str">
        <f t="shared" si="9"/>
        <v>No</v>
      </c>
      <c r="Y32" s="26" t="str">
        <f t="shared" si="5"/>
        <v>No</v>
      </c>
      <c r="AA32" s="27" t="str">
        <f t="shared" si="6"/>
        <v>No</v>
      </c>
      <c r="AD32" s="24" t="str">
        <f t="shared" si="7"/>
        <v>Regular</v>
      </c>
      <c r="AF32" s="28" t="str">
        <f t="shared" si="8"/>
        <v>Discounted</v>
      </c>
    </row>
    <row r="33" spans="1:32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0">
        <v>2852.81</v>
      </c>
      <c r="P33" s="1">
        <f t="shared" si="0"/>
        <v>3002.96</v>
      </c>
      <c r="R33" s="19" t="str">
        <f t="shared" si="1"/>
        <v>NO</v>
      </c>
      <c r="S33" s="20" t="str">
        <f t="shared" si="2"/>
        <v>NO</v>
      </c>
      <c r="U33" s="23" t="str">
        <f t="shared" si="3"/>
        <v>NO</v>
      </c>
      <c r="W33" s="24" t="str">
        <f t="shared" si="9"/>
        <v>No</v>
      </c>
      <c r="Y33" s="26" t="str">
        <f t="shared" si="5"/>
        <v>No</v>
      </c>
      <c r="AA33" s="27" t="str">
        <f t="shared" si="6"/>
        <v>No</v>
      </c>
      <c r="AD33" s="24" t="str">
        <f t="shared" si="7"/>
        <v>Regular</v>
      </c>
      <c r="AF33" s="28" t="str">
        <f t="shared" si="8"/>
        <v>Discounted</v>
      </c>
    </row>
    <row r="34" spans="1:32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0">
        <v>18833.810000000001</v>
      </c>
      <c r="P34" s="1">
        <f t="shared" si="0"/>
        <v>23542.26</v>
      </c>
      <c r="R34" s="19" t="str">
        <f t="shared" si="1"/>
        <v>YES</v>
      </c>
      <c r="S34" s="20" t="str">
        <f t="shared" si="2"/>
        <v>NO</v>
      </c>
      <c r="U34" s="23" t="str">
        <f t="shared" si="3"/>
        <v>YES</v>
      </c>
      <c r="W34" s="24" t="str">
        <f t="shared" si="9"/>
        <v>No</v>
      </c>
      <c r="Y34" s="26" t="str">
        <f t="shared" si="5"/>
        <v>No</v>
      </c>
      <c r="AA34" s="27" t="str">
        <f t="shared" si="6"/>
        <v>No</v>
      </c>
      <c r="AD34" s="24" t="str">
        <f t="shared" si="7"/>
        <v>Regular</v>
      </c>
      <c r="AF34" s="28" t="str">
        <f t="shared" si="8"/>
        <v>Discounted</v>
      </c>
    </row>
    <row r="35" spans="1:32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0">
        <v>9177.5400000000009</v>
      </c>
      <c r="P35" s="1">
        <f t="shared" si="0"/>
        <v>9177.5399999999991</v>
      </c>
      <c r="R35" s="19" t="str">
        <f t="shared" si="1"/>
        <v>NO</v>
      </c>
      <c r="S35" s="20" t="str">
        <f t="shared" si="2"/>
        <v>NO</v>
      </c>
      <c r="U35" s="23" t="str">
        <f t="shared" si="3"/>
        <v>NO</v>
      </c>
      <c r="W35" s="24" t="str">
        <f t="shared" si="9"/>
        <v>No</v>
      </c>
      <c r="Y35" s="26" t="str">
        <f t="shared" si="5"/>
        <v>No</v>
      </c>
      <c r="AA35" s="27" t="str">
        <f t="shared" si="6"/>
        <v>No</v>
      </c>
      <c r="AD35" s="24" t="str">
        <f t="shared" si="7"/>
        <v>Regular</v>
      </c>
      <c r="AF35" s="28" t="str">
        <f t="shared" si="8"/>
        <v>Discounted</v>
      </c>
    </row>
    <row r="36" spans="1:32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0">
        <v>24369.86</v>
      </c>
      <c r="P36" s="1">
        <f t="shared" si="0"/>
        <v>25652.48</v>
      </c>
      <c r="R36" s="19" t="str">
        <f t="shared" si="1"/>
        <v>YES</v>
      </c>
      <c r="S36" s="20" t="str">
        <f t="shared" si="2"/>
        <v>NO</v>
      </c>
      <c r="U36" s="23" t="str">
        <f t="shared" si="3"/>
        <v>NO</v>
      </c>
      <c r="W36" s="24" t="str">
        <f t="shared" si="9"/>
        <v>No</v>
      </c>
      <c r="Y36" s="26" t="str">
        <f>IF(NOT(G36="Website"),"No","yes")</f>
        <v>No</v>
      </c>
      <c r="AA36" s="27" t="str">
        <f t="shared" si="6"/>
        <v>No</v>
      </c>
      <c r="AD36" s="24" t="str">
        <f t="shared" si="7"/>
        <v>Regular</v>
      </c>
      <c r="AF36" s="28" t="str">
        <f t="shared" si="8"/>
        <v>Discounted</v>
      </c>
    </row>
    <row r="37" spans="1:32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0">
        <v>11639.5</v>
      </c>
      <c r="P37" s="1">
        <f t="shared" si="0"/>
        <v>11639.5</v>
      </c>
      <c r="R37" s="19" t="str">
        <f t="shared" si="1"/>
        <v>NO</v>
      </c>
      <c r="S37" s="20" t="str">
        <f t="shared" si="2"/>
        <v>NO</v>
      </c>
      <c r="U37" s="23" t="str">
        <f t="shared" si="3"/>
        <v>YES</v>
      </c>
      <c r="W37" s="24" t="str">
        <f t="shared" si="9"/>
        <v>No</v>
      </c>
      <c r="Y37" s="26" t="str">
        <f t="shared" si="5"/>
        <v>No</v>
      </c>
      <c r="AA37" s="27" t="str">
        <f t="shared" si="6"/>
        <v>No</v>
      </c>
      <c r="AD37" s="24" t="str">
        <f t="shared" si="7"/>
        <v>Regular</v>
      </c>
      <c r="AF37" s="28" t="str">
        <f t="shared" si="8"/>
        <v>Discounted</v>
      </c>
    </row>
    <row r="38" spans="1:32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0">
        <v>3242.5</v>
      </c>
      <c r="P38" s="1">
        <f t="shared" si="0"/>
        <v>3413.16</v>
      </c>
      <c r="R38" s="19" t="str">
        <f t="shared" si="1"/>
        <v>NO</v>
      </c>
      <c r="S38" s="20" t="str">
        <f t="shared" si="2"/>
        <v>NO</v>
      </c>
      <c r="U38" s="23" t="str">
        <f t="shared" si="3"/>
        <v>YES</v>
      </c>
      <c r="W38" s="24" t="str">
        <f t="shared" si="9"/>
        <v>No</v>
      </c>
      <c r="Y38" s="26" t="str">
        <f t="shared" si="5"/>
        <v>yes</v>
      </c>
      <c r="AA38" s="27" t="str">
        <f t="shared" si="6"/>
        <v>Yes</v>
      </c>
      <c r="AD38" s="24" t="str">
        <f t="shared" si="7"/>
        <v>Regular</v>
      </c>
      <c r="AF38" s="28" t="str">
        <f t="shared" si="8"/>
        <v>Discounted</v>
      </c>
    </row>
    <row r="39" spans="1:32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0">
        <v>3849.78</v>
      </c>
      <c r="P39" s="1">
        <f t="shared" si="0"/>
        <v>4812.22</v>
      </c>
      <c r="R39" s="19" t="str">
        <f t="shared" si="1"/>
        <v>NO</v>
      </c>
      <c r="S39" s="20" t="str">
        <f t="shared" si="2"/>
        <v>NO</v>
      </c>
      <c r="U39" s="23" t="str">
        <f t="shared" si="3"/>
        <v>YES</v>
      </c>
      <c r="W39" s="24" t="str">
        <f t="shared" si="9"/>
        <v>No</v>
      </c>
      <c r="Y39" s="26" t="str">
        <f t="shared" si="5"/>
        <v>yes</v>
      </c>
      <c r="AA39" s="27" t="str">
        <f t="shared" si="6"/>
        <v>Yes</v>
      </c>
      <c r="AD39" s="24" t="str">
        <f t="shared" si="7"/>
        <v>Regular</v>
      </c>
      <c r="AF39" s="28" t="str">
        <f t="shared" si="8"/>
        <v>Discounted</v>
      </c>
    </row>
    <row r="40" spans="1:32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0">
        <v>14098.05</v>
      </c>
      <c r="P40" s="1">
        <f t="shared" si="0"/>
        <v>16585.940000000002</v>
      </c>
      <c r="R40" s="19" t="str">
        <f t="shared" si="1"/>
        <v>YES</v>
      </c>
      <c r="S40" s="20" t="str">
        <f t="shared" si="2"/>
        <v>NO</v>
      </c>
      <c r="U40" s="23" t="str">
        <f t="shared" si="3"/>
        <v>YES</v>
      </c>
      <c r="W40" s="24" t="str">
        <f t="shared" si="9"/>
        <v>No</v>
      </c>
      <c r="Y40" s="26" t="str">
        <f t="shared" si="5"/>
        <v>No</v>
      </c>
      <c r="AA40" s="27" t="str">
        <f t="shared" si="6"/>
        <v>No</v>
      </c>
      <c r="AD40" s="24" t="str">
        <f t="shared" si="7"/>
        <v>Regular</v>
      </c>
      <c r="AF40" s="28" t="str">
        <f t="shared" si="8"/>
        <v>Discounted</v>
      </c>
    </row>
    <row r="41" spans="1:32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0">
        <v>16649.55</v>
      </c>
      <c r="P41" s="1">
        <f t="shared" si="0"/>
        <v>18499.5</v>
      </c>
      <c r="R41" s="19" t="str">
        <f t="shared" si="1"/>
        <v>YES</v>
      </c>
      <c r="S41" s="20" t="str">
        <f t="shared" si="2"/>
        <v>NO</v>
      </c>
      <c r="U41" s="23" t="str">
        <f t="shared" si="3"/>
        <v>NO</v>
      </c>
      <c r="W41" s="24" t="str">
        <f t="shared" si="9"/>
        <v>No</v>
      </c>
      <c r="Y41" s="26" t="str">
        <f t="shared" si="5"/>
        <v>No</v>
      </c>
      <c r="AA41" s="27" t="str">
        <f t="shared" si="6"/>
        <v>No</v>
      </c>
      <c r="AD41" s="24" t="str">
        <f t="shared" si="7"/>
        <v>Regular</v>
      </c>
      <c r="AF41" s="28" t="str">
        <f t="shared" si="8"/>
        <v>Discounted</v>
      </c>
    </row>
    <row r="42" spans="1:32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0">
        <v>25270.400000000001</v>
      </c>
      <c r="P42" s="1">
        <f t="shared" si="0"/>
        <v>25270.400000000001</v>
      </c>
      <c r="R42" s="19" t="str">
        <f t="shared" si="1"/>
        <v>YES</v>
      </c>
      <c r="S42" s="20" t="str">
        <f t="shared" si="2"/>
        <v>NO</v>
      </c>
      <c r="U42" s="23" t="str">
        <f t="shared" si="3"/>
        <v>YES</v>
      </c>
      <c r="W42" s="24" t="str">
        <f t="shared" si="9"/>
        <v>No</v>
      </c>
      <c r="Y42" s="26" t="str">
        <f t="shared" si="5"/>
        <v>No</v>
      </c>
      <c r="AA42" s="27" t="str">
        <f t="shared" si="6"/>
        <v>No</v>
      </c>
      <c r="AD42" s="24" t="str">
        <f t="shared" si="7"/>
        <v>Premium</v>
      </c>
      <c r="AF42" s="28" t="str">
        <f t="shared" si="8"/>
        <v>Discounted</v>
      </c>
    </row>
    <row r="43" spans="1:32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0">
        <v>3877.34</v>
      </c>
      <c r="P43" s="1">
        <f t="shared" si="0"/>
        <v>4846.68</v>
      </c>
      <c r="R43" s="19" t="str">
        <f t="shared" si="1"/>
        <v>NO</v>
      </c>
      <c r="S43" s="20" t="str">
        <f t="shared" si="2"/>
        <v>NO</v>
      </c>
      <c r="U43" s="23" t="str">
        <f t="shared" si="3"/>
        <v>YES</v>
      </c>
      <c r="W43" s="24" t="str">
        <f t="shared" si="9"/>
        <v>No</v>
      </c>
      <c r="Y43" s="26" t="str">
        <f t="shared" si="5"/>
        <v>yes</v>
      </c>
      <c r="AA43" s="27" t="str">
        <f t="shared" si="6"/>
        <v>Yes</v>
      </c>
      <c r="AD43" s="24" t="str">
        <f t="shared" si="7"/>
        <v>Regular</v>
      </c>
      <c r="AF43" s="28" t="str">
        <f t="shared" si="8"/>
        <v>Discounted</v>
      </c>
    </row>
    <row r="44" spans="1:32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0">
        <v>3979.49</v>
      </c>
      <c r="P44" s="1">
        <f t="shared" si="0"/>
        <v>4681.75</v>
      </c>
      <c r="R44" s="19" t="str">
        <f t="shared" si="1"/>
        <v>NO</v>
      </c>
      <c r="S44" s="20" t="str">
        <f t="shared" si="2"/>
        <v>NO</v>
      </c>
      <c r="U44" s="23" t="str">
        <f t="shared" si="3"/>
        <v>YES</v>
      </c>
      <c r="W44" s="24" t="str">
        <f t="shared" si="9"/>
        <v>No</v>
      </c>
      <c r="Y44" s="26" t="str">
        <f t="shared" si="5"/>
        <v>yes</v>
      </c>
      <c r="AA44" s="27" t="str">
        <f t="shared" si="6"/>
        <v>Yes</v>
      </c>
      <c r="AD44" s="24" t="str">
        <f t="shared" si="7"/>
        <v>Regular</v>
      </c>
      <c r="AF44" s="28" t="str">
        <f t="shared" si="8"/>
        <v>Discounted</v>
      </c>
    </row>
    <row r="45" spans="1:32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0">
        <v>686.43</v>
      </c>
      <c r="P45" s="1">
        <f t="shared" si="0"/>
        <v>858.04</v>
      </c>
      <c r="R45" s="19" t="str">
        <f t="shared" si="1"/>
        <v>NO</v>
      </c>
      <c r="S45" s="20" t="str">
        <f t="shared" si="2"/>
        <v>NO</v>
      </c>
      <c r="U45" s="23" t="str">
        <f t="shared" si="3"/>
        <v>YES</v>
      </c>
      <c r="W45" s="24" t="str">
        <f t="shared" si="9"/>
        <v>No</v>
      </c>
      <c r="Y45" s="26" t="str">
        <f t="shared" si="5"/>
        <v>No</v>
      </c>
      <c r="AA45" s="27" t="str">
        <f t="shared" si="6"/>
        <v>No</v>
      </c>
      <c r="AD45" s="24" t="str">
        <f t="shared" si="7"/>
        <v>Regular</v>
      </c>
      <c r="AF45" s="28" t="str">
        <f t="shared" si="8"/>
        <v>Discounted</v>
      </c>
    </row>
    <row r="46" spans="1:32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0">
        <v>2764.92</v>
      </c>
      <c r="P46" s="1">
        <f t="shared" si="0"/>
        <v>2764.92</v>
      </c>
      <c r="R46" s="19" t="str">
        <f t="shared" si="1"/>
        <v>NO</v>
      </c>
      <c r="S46" s="20" t="str">
        <f t="shared" si="2"/>
        <v>NO</v>
      </c>
      <c r="U46" s="23" t="str">
        <f t="shared" si="3"/>
        <v>YES</v>
      </c>
      <c r="W46" s="24" t="str">
        <f t="shared" si="9"/>
        <v>No</v>
      </c>
      <c r="Y46" s="26" t="str">
        <f t="shared" si="5"/>
        <v>No</v>
      </c>
      <c r="AA46" s="27" t="str">
        <f t="shared" si="6"/>
        <v>No</v>
      </c>
      <c r="AD46" s="24" t="str">
        <f t="shared" si="7"/>
        <v>Regular</v>
      </c>
      <c r="AF46" s="28" t="str">
        <f t="shared" si="8"/>
        <v>Discounted</v>
      </c>
    </row>
    <row r="47" spans="1:32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0">
        <v>3202.49</v>
      </c>
      <c r="P47" s="1">
        <f t="shared" si="0"/>
        <v>3558.32</v>
      </c>
      <c r="R47" s="19" t="str">
        <f t="shared" si="1"/>
        <v>NO</v>
      </c>
      <c r="S47" s="20" t="str">
        <f t="shared" si="2"/>
        <v>YES</v>
      </c>
      <c r="U47" s="23" t="str">
        <f t="shared" si="3"/>
        <v>YES</v>
      </c>
      <c r="W47" s="24" t="str">
        <f t="shared" si="9"/>
        <v>No</v>
      </c>
      <c r="Y47" s="26" t="str">
        <f t="shared" si="5"/>
        <v>yes</v>
      </c>
      <c r="AA47" s="27" t="str">
        <f t="shared" si="6"/>
        <v>Yes</v>
      </c>
      <c r="AD47" s="24" t="str">
        <f t="shared" si="7"/>
        <v>Regular</v>
      </c>
      <c r="AF47" s="28" t="str">
        <f t="shared" si="8"/>
        <v>Non Disc</v>
      </c>
    </row>
    <row r="48" spans="1:32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0">
        <v>1415.94</v>
      </c>
      <c r="P48" s="1">
        <f t="shared" si="0"/>
        <v>1769.93</v>
      </c>
      <c r="R48" s="19" t="str">
        <f t="shared" si="1"/>
        <v>NO</v>
      </c>
      <c r="S48" s="20" t="str">
        <f t="shared" si="2"/>
        <v>NO</v>
      </c>
      <c r="U48" s="23" t="str">
        <f t="shared" si="3"/>
        <v>YES</v>
      </c>
      <c r="W48" s="24" t="str">
        <f t="shared" si="9"/>
        <v>No</v>
      </c>
      <c r="Y48" s="26" t="str">
        <f t="shared" si="5"/>
        <v>No</v>
      </c>
      <c r="AA48" s="27" t="str">
        <f t="shared" si="6"/>
        <v>No</v>
      </c>
      <c r="AD48" s="24" t="str">
        <f t="shared" si="7"/>
        <v>Regular</v>
      </c>
      <c r="AF48" s="28" t="str">
        <f t="shared" si="8"/>
        <v>Discounted</v>
      </c>
    </row>
    <row r="49" spans="1:32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0">
        <v>11715.78</v>
      </c>
      <c r="P49" s="1">
        <f t="shared" si="0"/>
        <v>12332.4</v>
      </c>
      <c r="R49" s="19" t="str">
        <f t="shared" si="1"/>
        <v>NO</v>
      </c>
      <c r="S49" s="20" t="str">
        <f t="shared" si="2"/>
        <v>NO</v>
      </c>
      <c r="U49" s="23" t="str">
        <f t="shared" si="3"/>
        <v>YES</v>
      </c>
      <c r="W49" s="24" t="str">
        <f t="shared" si="9"/>
        <v>No</v>
      </c>
      <c r="Y49" s="26" t="str">
        <f t="shared" si="5"/>
        <v>yes</v>
      </c>
      <c r="AA49" s="27" t="str">
        <f t="shared" si="6"/>
        <v>Yes</v>
      </c>
      <c r="AD49" s="24" t="str">
        <f t="shared" si="7"/>
        <v>Regular</v>
      </c>
      <c r="AF49" s="28" t="str">
        <f t="shared" si="8"/>
        <v>Discounted</v>
      </c>
    </row>
    <row r="50" spans="1:32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0">
        <v>19165.14</v>
      </c>
      <c r="P50" s="1">
        <f t="shared" si="0"/>
        <v>22547.22</v>
      </c>
      <c r="R50" s="19" t="str">
        <f t="shared" si="1"/>
        <v>YES</v>
      </c>
      <c r="S50" s="20" t="str">
        <f t="shared" si="2"/>
        <v>NO</v>
      </c>
      <c r="U50" s="23" t="str">
        <f t="shared" si="3"/>
        <v>YES</v>
      </c>
      <c r="W50" s="24" t="str">
        <f t="shared" si="9"/>
        <v>No</v>
      </c>
      <c r="Y50" s="26" t="str">
        <f t="shared" si="5"/>
        <v>No</v>
      </c>
      <c r="AA50" s="27" t="str">
        <f t="shared" si="6"/>
        <v>No</v>
      </c>
      <c r="AD50" s="24" t="str">
        <f t="shared" si="7"/>
        <v>Regular</v>
      </c>
      <c r="AF50" s="28" t="str">
        <f t="shared" si="8"/>
        <v>Discounted</v>
      </c>
    </row>
    <row r="51" spans="1:32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0">
        <v>6482.11</v>
      </c>
      <c r="P51" s="1">
        <f t="shared" si="0"/>
        <v>8102.64</v>
      </c>
      <c r="R51" s="19" t="str">
        <f t="shared" si="1"/>
        <v>NO</v>
      </c>
      <c r="S51" s="20" t="str">
        <f t="shared" si="2"/>
        <v>NO</v>
      </c>
      <c r="U51" s="23" t="str">
        <f t="shared" si="3"/>
        <v>YES</v>
      </c>
      <c r="W51" s="24" t="str">
        <f t="shared" si="9"/>
        <v>No</v>
      </c>
      <c r="Y51" s="26" t="str">
        <f t="shared" si="5"/>
        <v>No</v>
      </c>
      <c r="AA51" s="27" t="str">
        <f t="shared" si="6"/>
        <v>No</v>
      </c>
      <c r="AD51" s="24" t="str">
        <f t="shared" si="7"/>
        <v>Regular</v>
      </c>
      <c r="AF51" s="28" t="str">
        <f t="shared" si="8"/>
        <v>Discounted</v>
      </c>
    </row>
    <row r="52" spans="1:32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0">
        <v>4724.3900000000003</v>
      </c>
      <c r="P52" s="1">
        <f t="shared" si="0"/>
        <v>5558.0999999999995</v>
      </c>
      <c r="R52" s="19" t="str">
        <f t="shared" si="1"/>
        <v>NO</v>
      </c>
      <c r="S52" s="20" t="str">
        <f t="shared" si="2"/>
        <v>NO</v>
      </c>
      <c r="U52" s="23" t="str">
        <f t="shared" si="3"/>
        <v>YES</v>
      </c>
      <c r="W52" s="24" t="str">
        <f t="shared" si="9"/>
        <v>No</v>
      </c>
      <c r="Y52" s="26" t="str">
        <f t="shared" si="5"/>
        <v>No</v>
      </c>
      <c r="AA52" s="27" t="str">
        <f t="shared" si="6"/>
        <v>No</v>
      </c>
      <c r="AD52" s="24" t="str">
        <f t="shared" si="7"/>
        <v>Regular</v>
      </c>
      <c r="AF52" s="28" t="str">
        <f t="shared" si="8"/>
        <v>Discounted</v>
      </c>
    </row>
    <row r="53" spans="1:32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0">
        <v>7605.28</v>
      </c>
      <c r="P53" s="1">
        <f t="shared" si="0"/>
        <v>8005.5599999999995</v>
      </c>
      <c r="R53" s="19" t="str">
        <f t="shared" si="1"/>
        <v>NO</v>
      </c>
      <c r="S53" s="20" t="str">
        <f t="shared" si="2"/>
        <v>NO</v>
      </c>
      <c r="U53" s="23" t="str">
        <f t="shared" si="3"/>
        <v>YES</v>
      </c>
      <c r="W53" s="24" t="str">
        <f t="shared" si="9"/>
        <v>No</v>
      </c>
      <c r="Y53" s="26" t="str">
        <f t="shared" si="5"/>
        <v>yes</v>
      </c>
      <c r="AA53" s="27" t="str">
        <f t="shared" si="6"/>
        <v>Yes</v>
      </c>
      <c r="AD53" s="24" t="str">
        <f t="shared" si="7"/>
        <v>Regular</v>
      </c>
      <c r="AF53" s="28" t="str">
        <f t="shared" si="8"/>
        <v>Discounted</v>
      </c>
    </row>
    <row r="54" spans="1:32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0">
        <v>11403.31</v>
      </c>
      <c r="P54" s="1">
        <f t="shared" si="0"/>
        <v>12670.35</v>
      </c>
      <c r="R54" s="19" t="str">
        <f t="shared" si="1"/>
        <v>NO</v>
      </c>
      <c r="S54" s="20" t="str">
        <f t="shared" si="2"/>
        <v>NO</v>
      </c>
      <c r="U54" s="23" t="str">
        <f t="shared" si="3"/>
        <v>YES</v>
      </c>
      <c r="W54" s="24" t="str">
        <f t="shared" si="9"/>
        <v>No</v>
      </c>
      <c r="Y54" s="26" t="str">
        <f t="shared" si="5"/>
        <v>No</v>
      </c>
      <c r="AA54" s="27" t="str">
        <f t="shared" si="6"/>
        <v>No</v>
      </c>
      <c r="AD54" s="24" t="str">
        <f t="shared" si="7"/>
        <v>Regular</v>
      </c>
      <c r="AF54" s="28" t="str">
        <f t="shared" si="8"/>
        <v>Discounted</v>
      </c>
    </row>
    <row r="55" spans="1:32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0">
        <v>10286.06</v>
      </c>
      <c r="P55" s="1">
        <f t="shared" si="0"/>
        <v>11428.96</v>
      </c>
      <c r="R55" s="19" t="str">
        <f t="shared" si="1"/>
        <v>YES</v>
      </c>
      <c r="S55" s="20" t="str">
        <f t="shared" si="2"/>
        <v>YES</v>
      </c>
      <c r="U55" s="23" t="str">
        <f t="shared" si="3"/>
        <v>YES</v>
      </c>
      <c r="W55" s="24" t="str">
        <f t="shared" si="9"/>
        <v>No</v>
      </c>
      <c r="Y55" s="26" t="str">
        <f t="shared" si="5"/>
        <v>yes</v>
      </c>
      <c r="AA55" s="27" t="str">
        <f t="shared" si="6"/>
        <v>Yes</v>
      </c>
      <c r="AD55" s="24" t="str">
        <f t="shared" si="7"/>
        <v>Regular</v>
      </c>
      <c r="AF55" s="28" t="str">
        <f t="shared" si="8"/>
        <v>Non Disc</v>
      </c>
    </row>
    <row r="56" spans="1:32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0">
        <v>7074.06</v>
      </c>
      <c r="P56" s="1">
        <f t="shared" si="0"/>
        <v>7446.38</v>
      </c>
      <c r="R56" s="19" t="str">
        <f t="shared" si="1"/>
        <v>NO</v>
      </c>
      <c r="S56" s="20" t="str">
        <f t="shared" si="2"/>
        <v>NO</v>
      </c>
      <c r="U56" s="23" t="str">
        <f t="shared" si="3"/>
        <v>YES</v>
      </c>
      <c r="W56" s="24" t="str">
        <f t="shared" si="9"/>
        <v>No</v>
      </c>
      <c r="Y56" s="26" t="str">
        <f t="shared" si="5"/>
        <v>yes</v>
      </c>
      <c r="AA56" s="27" t="str">
        <f t="shared" si="6"/>
        <v>Yes</v>
      </c>
      <c r="AD56" s="24" t="str">
        <f t="shared" si="7"/>
        <v>Regular</v>
      </c>
      <c r="AF56" s="28" t="str">
        <f t="shared" si="8"/>
        <v>Discounted</v>
      </c>
    </row>
    <row r="57" spans="1:32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0">
        <v>17353.87</v>
      </c>
      <c r="P57" s="1">
        <f t="shared" si="0"/>
        <v>20416.32</v>
      </c>
      <c r="R57" s="19" t="str">
        <f t="shared" si="1"/>
        <v>YES</v>
      </c>
      <c r="S57" s="20" t="str">
        <f t="shared" si="2"/>
        <v>NO</v>
      </c>
      <c r="U57" s="23" t="str">
        <f t="shared" si="3"/>
        <v>YES</v>
      </c>
      <c r="W57" s="24" t="str">
        <f>IF(AND(L57&lt;3,O57&lt;=1000),"Special Attention","No")</f>
        <v>No</v>
      </c>
      <c r="Y57" s="26" t="str">
        <f t="shared" si="5"/>
        <v>No</v>
      </c>
      <c r="AA57" s="27" t="str">
        <f t="shared" si="6"/>
        <v>No</v>
      </c>
      <c r="AD57" s="24" t="str">
        <f t="shared" si="7"/>
        <v>Regular</v>
      </c>
      <c r="AF57" s="28" t="str">
        <f t="shared" si="8"/>
        <v>Discounted</v>
      </c>
    </row>
    <row r="58" spans="1:32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0">
        <v>7288.78</v>
      </c>
      <c r="P58" s="1">
        <f t="shared" si="0"/>
        <v>9110.9700000000012</v>
      </c>
      <c r="R58" s="19" t="str">
        <f t="shared" si="1"/>
        <v>NO</v>
      </c>
      <c r="S58" s="20" t="str">
        <f t="shared" si="2"/>
        <v>YES</v>
      </c>
      <c r="U58" s="23" t="str">
        <f t="shared" si="3"/>
        <v>YES</v>
      </c>
      <c r="W58" s="24" t="str">
        <f t="shared" ref="W58:W121" si="10">IF(AND(L58&lt;3,O58&lt;=1000),"Special Attention","No")</f>
        <v>No</v>
      </c>
      <c r="Y58" s="26" t="str">
        <f t="shared" si="5"/>
        <v>No</v>
      </c>
      <c r="AA58" s="27" t="str">
        <f t="shared" si="6"/>
        <v>No</v>
      </c>
      <c r="AD58" s="24" t="str">
        <f t="shared" si="7"/>
        <v>Regular</v>
      </c>
      <c r="AF58" s="28" t="str">
        <f t="shared" si="8"/>
        <v>Non Disc</v>
      </c>
    </row>
    <row r="59" spans="1:32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0">
        <v>8137.32</v>
      </c>
      <c r="P59" s="1">
        <f t="shared" si="0"/>
        <v>8565.6</v>
      </c>
      <c r="R59" s="19" t="str">
        <f t="shared" si="1"/>
        <v>NO</v>
      </c>
      <c r="S59" s="20" t="str">
        <f t="shared" si="2"/>
        <v>NO</v>
      </c>
      <c r="U59" s="23" t="str">
        <f t="shared" si="3"/>
        <v>YES</v>
      </c>
      <c r="W59" s="24" t="str">
        <f t="shared" si="10"/>
        <v>No</v>
      </c>
      <c r="Y59" s="26" t="str">
        <f t="shared" si="5"/>
        <v>yes</v>
      </c>
      <c r="AA59" s="27" t="str">
        <f t="shared" si="6"/>
        <v>Yes</v>
      </c>
      <c r="AD59" s="24" t="str">
        <f t="shared" si="7"/>
        <v>Regular</v>
      </c>
      <c r="AF59" s="28" t="str">
        <f t="shared" si="8"/>
        <v>Non Disc</v>
      </c>
    </row>
    <row r="60" spans="1:32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0">
        <v>16978.88</v>
      </c>
      <c r="P60" s="1">
        <f t="shared" si="0"/>
        <v>16978.88</v>
      </c>
      <c r="R60" s="19" t="str">
        <f t="shared" si="1"/>
        <v>YES</v>
      </c>
      <c r="S60" s="20" t="str">
        <f t="shared" si="2"/>
        <v>NO</v>
      </c>
      <c r="U60" s="23" t="str">
        <f t="shared" si="3"/>
        <v>YES</v>
      </c>
      <c r="W60" s="24" t="str">
        <f t="shared" si="10"/>
        <v>No</v>
      </c>
      <c r="Y60" s="26" t="str">
        <f t="shared" si="5"/>
        <v>yes</v>
      </c>
      <c r="AA60" s="27" t="str">
        <f t="shared" si="6"/>
        <v>Yes</v>
      </c>
      <c r="AD60" s="24" t="str">
        <f t="shared" si="7"/>
        <v>Premium</v>
      </c>
      <c r="AF60" s="28" t="str">
        <f t="shared" si="8"/>
        <v>Discounted</v>
      </c>
    </row>
    <row r="61" spans="1:32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0">
        <v>21272.1</v>
      </c>
      <c r="P61" s="1">
        <f t="shared" si="0"/>
        <v>25026</v>
      </c>
      <c r="R61" s="19" t="str">
        <f t="shared" si="1"/>
        <v>YES</v>
      </c>
      <c r="S61" s="20" t="str">
        <f t="shared" si="2"/>
        <v>YES</v>
      </c>
      <c r="U61" s="23" t="str">
        <f t="shared" si="3"/>
        <v>NO</v>
      </c>
      <c r="W61" s="24" t="str">
        <f t="shared" si="10"/>
        <v>No</v>
      </c>
      <c r="Y61" s="26" t="str">
        <f t="shared" si="5"/>
        <v>No</v>
      </c>
      <c r="AA61" s="27" t="str">
        <f t="shared" si="6"/>
        <v>No</v>
      </c>
      <c r="AD61" s="24" t="str">
        <f t="shared" si="7"/>
        <v>Regular</v>
      </c>
      <c r="AF61" s="28" t="str">
        <f t="shared" si="8"/>
        <v>Non Disc</v>
      </c>
    </row>
    <row r="62" spans="1:32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0">
        <v>2013.23</v>
      </c>
      <c r="P62" s="1">
        <f t="shared" si="0"/>
        <v>2236.92</v>
      </c>
      <c r="R62" s="19" t="str">
        <f t="shared" si="1"/>
        <v>NO</v>
      </c>
      <c r="S62" s="20" t="str">
        <f t="shared" si="2"/>
        <v>NO</v>
      </c>
      <c r="U62" s="23" t="str">
        <f t="shared" si="3"/>
        <v>YES</v>
      </c>
      <c r="W62" s="24" t="str">
        <f t="shared" si="10"/>
        <v>No</v>
      </c>
      <c r="Y62" s="26" t="str">
        <f t="shared" si="5"/>
        <v>yes</v>
      </c>
      <c r="AA62" s="27" t="str">
        <f t="shared" si="6"/>
        <v>Yes</v>
      </c>
      <c r="AD62" s="24" t="str">
        <f t="shared" si="7"/>
        <v>Regular</v>
      </c>
      <c r="AF62" s="28" t="str">
        <f t="shared" si="8"/>
        <v>Discounted</v>
      </c>
    </row>
    <row r="63" spans="1:32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0">
        <v>21426.98</v>
      </c>
      <c r="P63" s="1">
        <f t="shared" si="0"/>
        <v>22554.720000000001</v>
      </c>
      <c r="R63" s="19" t="str">
        <f t="shared" si="1"/>
        <v>YES</v>
      </c>
      <c r="S63" s="20" t="str">
        <f t="shared" si="2"/>
        <v>NO</v>
      </c>
      <c r="U63" s="23" t="str">
        <f t="shared" si="3"/>
        <v>NO</v>
      </c>
      <c r="W63" s="24" t="str">
        <f t="shared" si="10"/>
        <v>No</v>
      </c>
      <c r="Y63" s="26" t="str">
        <f t="shared" si="5"/>
        <v>No</v>
      </c>
      <c r="AA63" s="27" t="str">
        <f t="shared" si="6"/>
        <v>No</v>
      </c>
      <c r="AD63" s="24" t="str">
        <f t="shared" si="7"/>
        <v>Premium</v>
      </c>
      <c r="AF63" s="28" t="str">
        <f t="shared" si="8"/>
        <v>Non Disc</v>
      </c>
    </row>
    <row r="64" spans="1:32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0">
        <v>14286.83</v>
      </c>
      <c r="P64" s="1">
        <f t="shared" si="0"/>
        <v>15874.26</v>
      </c>
      <c r="R64" s="19" t="str">
        <f t="shared" si="1"/>
        <v>YES</v>
      </c>
      <c r="S64" s="20" t="str">
        <f t="shared" si="2"/>
        <v>NO</v>
      </c>
      <c r="U64" s="23" t="str">
        <f t="shared" si="3"/>
        <v>NO</v>
      </c>
      <c r="W64" s="24" t="str">
        <f t="shared" si="10"/>
        <v>No</v>
      </c>
      <c r="Y64" s="26" t="str">
        <f t="shared" si="5"/>
        <v>No</v>
      </c>
      <c r="AA64" s="27" t="str">
        <f t="shared" si="6"/>
        <v>No</v>
      </c>
      <c r="AD64" s="24" t="str">
        <f t="shared" si="7"/>
        <v>Regular</v>
      </c>
      <c r="AF64" s="28" t="str">
        <f t="shared" si="8"/>
        <v>Discounted</v>
      </c>
    </row>
    <row r="65" spans="1:32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0">
        <v>1770.04</v>
      </c>
      <c r="P65" s="1">
        <f t="shared" si="0"/>
        <v>2082.4</v>
      </c>
      <c r="R65" s="19" t="str">
        <f t="shared" si="1"/>
        <v>NO</v>
      </c>
      <c r="S65" s="20" t="str">
        <f t="shared" si="2"/>
        <v>NO</v>
      </c>
      <c r="U65" s="23" t="str">
        <f t="shared" si="3"/>
        <v>NO</v>
      </c>
      <c r="W65" s="24" t="str">
        <f t="shared" si="10"/>
        <v>No</v>
      </c>
      <c r="Y65" s="26" t="str">
        <f t="shared" si="5"/>
        <v>No</v>
      </c>
      <c r="AA65" s="27" t="str">
        <f t="shared" si="6"/>
        <v>No</v>
      </c>
      <c r="AD65" s="24" t="str">
        <f t="shared" si="7"/>
        <v>Regular</v>
      </c>
      <c r="AF65" s="28" t="str">
        <f t="shared" si="8"/>
        <v>Discounted</v>
      </c>
    </row>
    <row r="66" spans="1:32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0">
        <v>4991.78</v>
      </c>
      <c r="P66" s="1">
        <f t="shared" si="0"/>
        <v>5546.42</v>
      </c>
      <c r="R66" s="19" t="str">
        <f t="shared" si="1"/>
        <v>NO</v>
      </c>
      <c r="S66" s="20" t="str">
        <f t="shared" si="2"/>
        <v>NO</v>
      </c>
      <c r="U66" s="23" t="str">
        <f t="shared" si="3"/>
        <v>YES</v>
      </c>
      <c r="W66" s="24" t="str">
        <f t="shared" si="10"/>
        <v>No</v>
      </c>
      <c r="Y66" s="26" t="str">
        <f t="shared" si="5"/>
        <v>No</v>
      </c>
      <c r="AA66" s="27" t="str">
        <f t="shared" si="6"/>
        <v>No</v>
      </c>
      <c r="AD66" s="24" t="str">
        <f t="shared" si="7"/>
        <v>Regular</v>
      </c>
      <c r="AF66" s="28" t="str">
        <f t="shared" si="8"/>
        <v>Discounted</v>
      </c>
    </row>
    <row r="67" spans="1:32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0">
        <v>28649.8</v>
      </c>
      <c r="P67" s="1">
        <f t="shared" ref="P67:P130" si="11">L67*M67</f>
        <v>30157.68</v>
      </c>
      <c r="R67" s="19" t="str">
        <f t="shared" ref="R67:R130" si="12">IF(AND(L67&gt;5,O67&gt;10000),"YES","NO")</f>
        <v>YES</v>
      </c>
      <c r="S67" s="20" t="str">
        <f t="shared" ref="S67:S130" si="13">IF(AND(L67&gt;=8,N67&gt;=10),"YES","NO")</f>
        <v>NO</v>
      </c>
      <c r="U67" s="23" t="str">
        <f t="shared" ref="U67:U130" si="14">IF(OR(G67="Mobile App",G67="Website"),"YES","NO")</f>
        <v>YES</v>
      </c>
      <c r="W67" s="24" t="str">
        <f t="shared" si="10"/>
        <v>No</v>
      </c>
      <c r="Y67" s="26" t="str">
        <f t="shared" ref="Y67:Y130" si="15">IF(NOT(G67="Website"),"No","yes")</f>
        <v>No</v>
      </c>
      <c r="AA67" s="27" t="str">
        <f t="shared" ref="AA67:AA130" si="16">IF(G67&lt;&gt;"Website","No","Yes")</f>
        <v>No</v>
      </c>
      <c r="AD67" s="24" t="str">
        <f t="shared" ref="AD67:AD130" si="17">IF(AND(O67&gt;15000,OR(I67="Electronics",I67="Beauty")),"Premium","Regular")</f>
        <v>Regular</v>
      </c>
      <c r="AF67" s="28" t="str">
        <f t="shared" ref="AF67:AF130" si="18">IF(AND(L67&gt;=8,N67&lt;&gt;0),"Non Disc","Discounted")</f>
        <v>Non Disc</v>
      </c>
    </row>
    <row r="68" spans="1:32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0">
        <v>280.61</v>
      </c>
      <c r="P68" s="1">
        <f t="shared" si="11"/>
        <v>330.13</v>
      </c>
      <c r="R68" s="19" t="str">
        <f t="shared" si="12"/>
        <v>NO</v>
      </c>
      <c r="S68" s="20" t="str">
        <f t="shared" si="13"/>
        <v>NO</v>
      </c>
      <c r="U68" s="23" t="str">
        <f t="shared" si="14"/>
        <v>YES</v>
      </c>
      <c r="W68" s="24" t="str">
        <f t="shared" si="10"/>
        <v>Special Attention</v>
      </c>
      <c r="Y68" s="26" t="str">
        <f t="shared" si="15"/>
        <v>yes</v>
      </c>
      <c r="AA68" s="27" t="str">
        <f t="shared" si="16"/>
        <v>Yes</v>
      </c>
      <c r="AD68" s="24" t="str">
        <f t="shared" si="17"/>
        <v>Regular</v>
      </c>
      <c r="AF68" s="28" t="str">
        <f t="shared" si="18"/>
        <v>Discounted</v>
      </c>
    </row>
    <row r="69" spans="1:32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0">
        <v>8283.9599999999991</v>
      </c>
      <c r="P69" s="1">
        <f t="shared" si="11"/>
        <v>8283.9600000000009</v>
      </c>
      <c r="R69" s="19" t="str">
        <f t="shared" si="12"/>
        <v>NO</v>
      </c>
      <c r="S69" s="20" t="str">
        <f t="shared" si="13"/>
        <v>NO</v>
      </c>
      <c r="U69" s="23" t="str">
        <f t="shared" si="14"/>
        <v>NO</v>
      </c>
      <c r="W69" s="24" t="str">
        <f t="shared" si="10"/>
        <v>No</v>
      </c>
      <c r="Y69" s="26" t="str">
        <f t="shared" si="15"/>
        <v>No</v>
      </c>
      <c r="AA69" s="27" t="str">
        <f t="shared" si="16"/>
        <v>No</v>
      </c>
      <c r="AD69" s="24" t="str">
        <f t="shared" si="17"/>
        <v>Regular</v>
      </c>
      <c r="AF69" s="28" t="str">
        <f t="shared" si="18"/>
        <v>Discounted</v>
      </c>
    </row>
    <row r="70" spans="1:32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0">
        <v>10470.790000000001</v>
      </c>
      <c r="P70" s="1">
        <f t="shared" si="11"/>
        <v>11021.880000000001</v>
      </c>
      <c r="R70" s="19" t="str">
        <f t="shared" si="12"/>
        <v>YES</v>
      </c>
      <c r="S70" s="20" t="str">
        <f t="shared" si="13"/>
        <v>NO</v>
      </c>
      <c r="U70" s="23" t="str">
        <f t="shared" si="14"/>
        <v>YES</v>
      </c>
      <c r="W70" s="24" t="str">
        <f t="shared" si="10"/>
        <v>No</v>
      </c>
      <c r="Y70" s="26" t="str">
        <f t="shared" si="15"/>
        <v>No</v>
      </c>
      <c r="AA70" s="27" t="str">
        <f t="shared" si="16"/>
        <v>No</v>
      </c>
      <c r="AD70" s="24" t="str">
        <f t="shared" si="17"/>
        <v>Regular</v>
      </c>
      <c r="AF70" s="28" t="str">
        <f t="shared" si="18"/>
        <v>Discounted</v>
      </c>
    </row>
    <row r="71" spans="1:32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0">
        <v>11558.88</v>
      </c>
      <c r="P71" s="1">
        <f t="shared" si="11"/>
        <v>14448.6</v>
      </c>
      <c r="R71" s="19" t="str">
        <f t="shared" si="12"/>
        <v>NO</v>
      </c>
      <c r="S71" s="20" t="str">
        <f t="shared" si="13"/>
        <v>NO</v>
      </c>
      <c r="U71" s="23" t="str">
        <f t="shared" si="14"/>
        <v>YES</v>
      </c>
      <c r="W71" s="24" t="str">
        <f t="shared" si="10"/>
        <v>No</v>
      </c>
      <c r="Y71" s="26" t="str">
        <f t="shared" si="15"/>
        <v>No</v>
      </c>
      <c r="AA71" s="27" t="str">
        <f t="shared" si="16"/>
        <v>No</v>
      </c>
      <c r="AD71" s="24" t="str">
        <f t="shared" si="17"/>
        <v>Regular</v>
      </c>
      <c r="AF71" s="28" t="str">
        <f t="shared" si="18"/>
        <v>Discounted</v>
      </c>
    </row>
    <row r="72" spans="1:32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0">
        <v>10985.92</v>
      </c>
      <c r="P72" s="1">
        <f t="shared" si="11"/>
        <v>11564.130000000001</v>
      </c>
      <c r="R72" s="19" t="str">
        <f t="shared" si="12"/>
        <v>NO</v>
      </c>
      <c r="S72" s="20" t="str">
        <f t="shared" si="13"/>
        <v>NO</v>
      </c>
      <c r="U72" s="23" t="str">
        <f t="shared" si="14"/>
        <v>YES</v>
      </c>
      <c r="W72" s="24" t="str">
        <f t="shared" si="10"/>
        <v>No</v>
      </c>
      <c r="Y72" s="26" t="str">
        <f t="shared" si="15"/>
        <v>No</v>
      </c>
      <c r="AA72" s="27" t="str">
        <f t="shared" si="16"/>
        <v>No</v>
      </c>
      <c r="AD72" s="24" t="str">
        <f t="shared" si="17"/>
        <v>Regular</v>
      </c>
      <c r="AF72" s="28" t="str">
        <f t="shared" si="18"/>
        <v>Discounted</v>
      </c>
    </row>
    <row r="73" spans="1:32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0">
        <v>4742.59</v>
      </c>
      <c r="P73" s="1">
        <f t="shared" si="11"/>
        <v>5579.5199999999995</v>
      </c>
      <c r="R73" s="19" t="str">
        <f t="shared" si="12"/>
        <v>NO</v>
      </c>
      <c r="S73" s="20" t="str">
        <f t="shared" si="13"/>
        <v>NO</v>
      </c>
      <c r="U73" s="23" t="str">
        <f t="shared" si="14"/>
        <v>YES</v>
      </c>
      <c r="W73" s="24" t="str">
        <f t="shared" si="10"/>
        <v>No</v>
      </c>
      <c r="Y73" s="26" t="str">
        <f t="shared" si="15"/>
        <v>No</v>
      </c>
      <c r="AA73" s="27" t="str">
        <f t="shared" si="16"/>
        <v>No</v>
      </c>
      <c r="AD73" s="24" t="str">
        <f t="shared" si="17"/>
        <v>Regular</v>
      </c>
      <c r="AF73" s="28" t="str">
        <f t="shared" si="18"/>
        <v>Discounted</v>
      </c>
    </row>
    <row r="74" spans="1:32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0">
        <v>2885.73</v>
      </c>
      <c r="P74" s="1">
        <f t="shared" si="11"/>
        <v>3037.61</v>
      </c>
      <c r="R74" s="19" t="str">
        <f t="shared" si="12"/>
        <v>NO</v>
      </c>
      <c r="S74" s="20" t="str">
        <f t="shared" si="13"/>
        <v>NO</v>
      </c>
      <c r="U74" s="23" t="str">
        <f t="shared" si="14"/>
        <v>YES</v>
      </c>
      <c r="W74" s="24" t="str">
        <f t="shared" si="10"/>
        <v>No</v>
      </c>
      <c r="Y74" s="26" t="str">
        <f t="shared" si="15"/>
        <v>No</v>
      </c>
      <c r="AA74" s="27" t="str">
        <f t="shared" si="16"/>
        <v>No</v>
      </c>
      <c r="AD74" s="24" t="str">
        <f t="shared" si="17"/>
        <v>Regular</v>
      </c>
      <c r="AF74" s="28" t="str">
        <f t="shared" si="18"/>
        <v>Discounted</v>
      </c>
    </row>
    <row r="75" spans="1:32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0">
        <v>6590.67</v>
      </c>
      <c r="P75" s="1">
        <f t="shared" si="11"/>
        <v>6590.67</v>
      </c>
      <c r="R75" s="19" t="str">
        <f t="shared" si="12"/>
        <v>NO</v>
      </c>
      <c r="S75" s="20" t="str">
        <f t="shared" si="13"/>
        <v>NO</v>
      </c>
      <c r="U75" s="23" t="str">
        <f t="shared" si="14"/>
        <v>NO</v>
      </c>
      <c r="W75" s="24" t="str">
        <f t="shared" si="10"/>
        <v>No</v>
      </c>
      <c r="Y75" s="26" t="str">
        <f t="shared" si="15"/>
        <v>No</v>
      </c>
      <c r="AA75" s="27" t="str">
        <f t="shared" si="16"/>
        <v>No</v>
      </c>
      <c r="AD75" s="24" t="str">
        <f t="shared" si="17"/>
        <v>Regular</v>
      </c>
      <c r="AF75" s="28" t="str">
        <f t="shared" si="18"/>
        <v>Discounted</v>
      </c>
    </row>
    <row r="76" spans="1:32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0">
        <v>8881.84</v>
      </c>
      <c r="P76" s="1">
        <f t="shared" si="11"/>
        <v>8881.84</v>
      </c>
      <c r="R76" s="19" t="str">
        <f t="shared" si="12"/>
        <v>NO</v>
      </c>
      <c r="S76" s="20" t="str">
        <f t="shared" si="13"/>
        <v>NO</v>
      </c>
      <c r="U76" s="23" t="str">
        <f t="shared" si="14"/>
        <v>NO</v>
      </c>
      <c r="W76" s="24" t="str">
        <f t="shared" si="10"/>
        <v>No</v>
      </c>
      <c r="Y76" s="26" t="str">
        <f t="shared" si="15"/>
        <v>No</v>
      </c>
      <c r="AA76" s="27" t="str">
        <f t="shared" si="16"/>
        <v>No</v>
      </c>
      <c r="AD76" s="24" t="str">
        <f t="shared" si="17"/>
        <v>Regular</v>
      </c>
      <c r="AF76" s="28" t="str">
        <f t="shared" si="18"/>
        <v>Discounted</v>
      </c>
    </row>
    <row r="77" spans="1:32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0">
        <v>4882.72</v>
      </c>
      <c r="P77" s="1">
        <f t="shared" si="11"/>
        <v>6103.4000000000005</v>
      </c>
      <c r="R77" s="19" t="str">
        <f t="shared" si="12"/>
        <v>NO</v>
      </c>
      <c r="S77" s="20" t="str">
        <f t="shared" si="13"/>
        <v>NO</v>
      </c>
      <c r="U77" s="23" t="str">
        <f t="shared" si="14"/>
        <v>NO</v>
      </c>
      <c r="W77" s="24" t="str">
        <f t="shared" si="10"/>
        <v>No</v>
      </c>
      <c r="Y77" s="26" t="str">
        <f t="shared" si="15"/>
        <v>No</v>
      </c>
      <c r="AA77" s="27" t="str">
        <f t="shared" si="16"/>
        <v>No</v>
      </c>
      <c r="AD77" s="24" t="str">
        <f t="shared" si="17"/>
        <v>Regular</v>
      </c>
      <c r="AF77" s="28" t="str">
        <f t="shared" si="18"/>
        <v>Discounted</v>
      </c>
    </row>
    <row r="78" spans="1:32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0">
        <v>2660.26</v>
      </c>
      <c r="P78" s="1">
        <f t="shared" si="11"/>
        <v>2955.84</v>
      </c>
      <c r="R78" s="19" t="str">
        <f t="shared" si="12"/>
        <v>NO</v>
      </c>
      <c r="S78" s="20" t="str">
        <f t="shared" si="13"/>
        <v>NO</v>
      </c>
      <c r="U78" s="23" t="str">
        <f t="shared" si="14"/>
        <v>NO</v>
      </c>
      <c r="W78" s="24" t="str">
        <f t="shared" si="10"/>
        <v>No</v>
      </c>
      <c r="Y78" s="26" t="str">
        <f t="shared" si="15"/>
        <v>No</v>
      </c>
      <c r="AA78" s="27" t="str">
        <f t="shared" si="16"/>
        <v>No</v>
      </c>
      <c r="AD78" s="24" t="str">
        <f t="shared" si="17"/>
        <v>Regular</v>
      </c>
      <c r="AF78" s="28" t="str">
        <f t="shared" si="18"/>
        <v>Discounted</v>
      </c>
    </row>
    <row r="79" spans="1:32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0">
        <v>6419.98</v>
      </c>
      <c r="P79" s="1">
        <f t="shared" si="11"/>
        <v>7552.92</v>
      </c>
      <c r="R79" s="19" t="str">
        <f t="shared" si="12"/>
        <v>NO</v>
      </c>
      <c r="S79" s="20" t="str">
        <f t="shared" si="13"/>
        <v>NO</v>
      </c>
      <c r="U79" s="23" t="str">
        <f t="shared" si="14"/>
        <v>YES</v>
      </c>
      <c r="W79" s="24" t="str">
        <f t="shared" si="10"/>
        <v>No</v>
      </c>
      <c r="Y79" s="26" t="str">
        <f t="shared" si="15"/>
        <v>yes</v>
      </c>
      <c r="AA79" s="27" t="str">
        <f t="shared" si="16"/>
        <v>Yes</v>
      </c>
      <c r="AD79" s="24" t="str">
        <f t="shared" si="17"/>
        <v>Regular</v>
      </c>
      <c r="AF79" s="28" t="str">
        <f t="shared" si="18"/>
        <v>Discounted</v>
      </c>
    </row>
    <row r="80" spans="1:32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0">
        <v>9740.4</v>
      </c>
      <c r="P80" s="1">
        <f t="shared" si="11"/>
        <v>11459.300000000001</v>
      </c>
      <c r="R80" s="19" t="str">
        <f t="shared" si="12"/>
        <v>NO</v>
      </c>
      <c r="S80" s="20" t="str">
        <f t="shared" si="13"/>
        <v>NO</v>
      </c>
      <c r="U80" s="23" t="str">
        <f t="shared" si="14"/>
        <v>NO</v>
      </c>
      <c r="W80" s="24" t="str">
        <f t="shared" si="10"/>
        <v>No</v>
      </c>
      <c r="Y80" s="26" t="str">
        <f t="shared" si="15"/>
        <v>No</v>
      </c>
      <c r="AA80" s="27" t="str">
        <f t="shared" si="16"/>
        <v>No</v>
      </c>
      <c r="AD80" s="24" t="str">
        <f t="shared" si="17"/>
        <v>Regular</v>
      </c>
      <c r="AF80" s="28" t="str">
        <f t="shared" si="18"/>
        <v>Discounted</v>
      </c>
    </row>
    <row r="81" spans="1:32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0">
        <v>708.07</v>
      </c>
      <c r="P81" s="1">
        <f t="shared" si="11"/>
        <v>786.75</v>
      </c>
      <c r="R81" s="19" t="str">
        <f t="shared" si="12"/>
        <v>NO</v>
      </c>
      <c r="S81" s="20" t="str">
        <f t="shared" si="13"/>
        <v>NO</v>
      </c>
      <c r="U81" s="23" t="str">
        <f t="shared" si="14"/>
        <v>YES</v>
      </c>
      <c r="W81" s="24" t="str">
        <f t="shared" si="10"/>
        <v>No</v>
      </c>
      <c r="Y81" s="26" t="str">
        <f t="shared" si="15"/>
        <v>No</v>
      </c>
      <c r="AA81" s="27" t="str">
        <f t="shared" si="16"/>
        <v>No</v>
      </c>
      <c r="AD81" s="24" t="str">
        <f t="shared" si="17"/>
        <v>Regular</v>
      </c>
      <c r="AF81" s="28" t="str">
        <f t="shared" si="18"/>
        <v>Discounted</v>
      </c>
    </row>
    <row r="82" spans="1:32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0">
        <v>21857.46</v>
      </c>
      <c r="P82" s="1">
        <f t="shared" si="11"/>
        <v>21857.46</v>
      </c>
      <c r="R82" s="19" t="str">
        <f t="shared" si="12"/>
        <v>YES</v>
      </c>
      <c r="S82" s="20" t="str">
        <f t="shared" si="13"/>
        <v>NO</v>
      </c>
      <c r="U82" s="23" t="str">
        <f t="shared" si="14"/>
        <v>NO</v>
      </c>
      <c r="W82" s="24" t="str">
        <f t="shared" si="10"/>
        <v>No</v>
      </c>
      <c r="Y82" s="26" t="str">
        <f t="shared" si="15"/>
        <v>No</v>
      </c>
      <c r="AA82" s="27" t="str">
        <f t="shared" si="16"/>
        <v>No</v>
      </c>
      <c r="AD82" s="24" t="str">
        <f t="shared" si="17"/>
        <v>Regular</v>
      </c>
      <c r="AF82" s="28" t="str">
        <f t="shared" si="18"/>
        <v>Discounted</v>
      </c>
    </row>
    <row r="83" spans="1:32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0">
        <v>4510.1400000000003</v>
      </c>
      <c r="P83" s="1">
        <f t="shared" si="11"/>
        <v>4510.1400000000003</v>
      </c>
      <c r="R83" s="19" t="str">
        <f t="shared" si="12"/>
        <v>NO</v>
      </c>
      <c r="S83" s="20" t="str">
        <f t="shared" si="13"/>
        <v>NO</v>
      </c>
      <c r="U83" s="23" t="str">
        <f t="shared" si="14"/>
        <v>YES</v>
      </c>
      <c r="W83" s="24" t="str">
        <f t="shared" si="10"/>
        <v>No</v>
      </c>
      <c r="Y83" s="26" t="str">
        <f t="shared" si="15"/>
        <v>yes</v>
      </c>
      <c r="AA83" s="27" t="str">
        <f t="shared" si="16"/>
        <v>Yes</v>
      </c>
      <c r="AD83" s="24" t="str">
        <f t="shared" si="17"/>
        <v>Regular</v>
      </c>
      <c r="AF83" s="28" t="str">
        <f t="shared" si="18"/>
        <v>Discounted</v>
      </c>
    </row>
    <row r="84" spans="1:32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0">
        <v>7579.78</v>
      </c>
      <c r="P84" s="1">
        <f t="shared" si="11"/>
        <v>7978.72</v>
      </c>
      <c r="R84" s="19" t="str">
        <f t="shared" si="12"/>
        <v>NO</v>
      </c>
      <c r="S84" s="20" t="str">
        <f t="shared" si="13"/>
        <v>NO</v>
      </c>
      <c r="U84" s="23" t="str">
        <f t="shared" si="14"/>
        <v>YES</v>
      </c>
      <c r="W84" s="24" t="str">
        <f t="shared" si="10"/>
        <v>No</v>
      </c>
      <c r="Y84" s="26" t="str">
        <f t="shared" si="15"/>
        <v>No</v>
      </c>
      <c r="AA84" s="27" t="str">
        <f t="shared" si="16"/>
        <v>No</v>
      </c>
      <c r="AD84" s="24" t="str">
        <f t="shared" si="17"/>
        <v>Regular</v>
      </c>
      <c r="AF84" s="28" t="str">
        <f t="shared" si="18"/>
        <v>Non Disc</v>
      </c>
    </row>
    <row r="85" spans="1:32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0">
        <v>3432.58</v>
      </c>
      <c r="P85" s="1">
        <f t="shared" si="11"/>
        <v>4290.72</v>
      </c>
      <c r="R85" s="19" t="str">
        <f t="shared" si="12"/>
        <v>NO</v>
      </c>
      <c r="S85" s="20" t="str">
        <f t="shared" si="13"/>
        <v>NO</v>
      </c>
      <c r="U85" s="23" t="str">
        <f t="shared" si="14"/>
        <v>NO</v>
      </c>
      <c r="W85" s="24" t="str">
        <f t="shared" si="10"/>
        <v>No</v>
      </c>
      <c r="Y85" s="26" t="str">
        <f t="shared" si="15"/>
        <v>No</v>
      </c>
      <c r="AA85" s="27" t="str">
        <f t="shared" si="16"/>
        <v>No</v>
      </c>
      <c r="AD85" s="24" t="str">
        <f t="shared" si="17"/>
        <v>Regular</v>
      </c>
      <c r="AF85" s="28" t="str">
        <f t="shared" si="18"/>
        <v>Discounted</v>
      </c>
    </row>
    <row r="86" spans="1:32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0">
        <v>2307.15</v>
      </c>
      <c r="P86" s="1">
        <f t="shared" si="11"/>
        <v>2883.94</v>
      </c>
      <c r="R86" s="19" t="str">
        <f t="shared" si="12"/>
        <v>NO</v>
      </c>
      <c r="S86" s="20" t="str">
        <f t="shared" si="13"/>
        <v>NO</v>
      </c>
      <c r="U86" s="23" t="str">
        <f t="shared" si="14"/>
        <v>NO</v>
      </c>
      <c r="W86" s="24" t="str">
        <f t="shared" si="10"/>
        <v>No</v>
      </c>
      <c r="Y86" s="26" t="str">
        <f t="shared" si="15"/>
        <v>No</v>
      </c>
      <c r="AA86" s="27" t="str">
        <f t="shared" si="16"/>
        <v>No</v>
      </c>
      <c r="AD86" s="24" t="str">
        <f t="shared" si="17"/>
        <v>Regular</v>
      </c>
      <c r="AF86" s="28" t="str">
        <f t="shared" si="18"/>
        <v>Discounted</v>
      </c>
    </row>
    <row r="87" spans="1:32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0">
        <v>1659.39</v>
      </c>
      <c r="P87" s="1">
        <f t="shared" si="11"/>
        <v>2074.2399999999998</v>
      </c>
      <c r="R87" s="19" t="str">
        <f t="shared" si="12"/>
        <v>NO</v>
      </c>
      <c r="S87" s="20" t="str">
        <f t="shared" si="13"/>
        <v>NO</v>
      </c>
      <c r="U87" s="23" t="str">
        <f t="shared" si="14"/>
        <v>NO</v>
      </c>
      <c r="W87" s="24" t="str">
        <f t="shared" si="10"/>
        <v>No</v>
      </c>
      <c r="Y87" s="26" t="str">
        <f t="shared" si="15"/>
        <v>No</v>
      </c>
      <c r="AA87" s="27" t="str">
        <f t="shared" si="16"/>
        <v>No</v>
      </c>
      <c r="AD87" s="24" t="str">
        <f t="shared" si="17"/>
        <v>Regular</v>
      </c>
      <c r="AF87" s="28" t="str">
        <f t="shared" si="18"/>
        <v>Discounted</v>
      </c>
    </row>
    <row r="88" spans="1:32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0">
        <v>9131.25</v>
      </c>
      <c r="P88" s="1">
        <f t="shared" si="11"/>
        <v>9611.84</v>
      </c>
      <c r="R88" s="19" t="str">
        <f t="shared" si="12"/>
        <v>NO</v>
      </c>
      <c r="S88" s="20" t="str">
        <f t="shared" si="13"/>
        <v>NO</v>
      </c>
      <c r="U88" s="23" t="str">
        <f t="shared" si="14"/>
        <v>YES</v>
      </c>
      <c r="W88" s="24" t="str">
        <f t="shared" si="10"/>
        <v>No</v>
      </c>
      <c r="Y88" s="26" t="str">
        <f t="shared" si="15"/>
        <v>No</v>
      </c>
      <c r="AA88" s="27" t="str">
        <f t="shared" si="16"/>
        <v>No</v>
      </c>
      <c r="AD88" s="24" t="str">
        <f t="shared" si="17"/>
        <v>Regular</v>
      </c>
      <c r="AF88" s="28" t="str">
        <f t="shared" si="18"/>
        <v>Discounted</v>
      </c>
    </row>
    <row r="89" spans="1:32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0">
        <v>9310.56</v>
      </c>
      <c r="P89" s="1">
        <f t="shared" si="11"/>
        <v>11638.2</v>
      </c>
      <c r="R89" s="19" t="str">
        <f t="shared" si="12"/>
        <v>NO</v>
      </c>
      <c r="S89" s="20" t="str">
        <f t="shared" si="13"/>
        <v>NO</v>
      </c>
      <c r="U89" s="23" t="str">
        <f t="shared" si="14"/>
        <v>YES</v>
      </c>
      <c r="W89" s="24" t="str">
        <f t="shared" si="10"/>
        <v>No</v>
      </c>
      <c r="Y89" s="26" t="str">
        <f t="shared" si="15"/>
        <v>No</v>
      </c>
      <c r="AA89" s="27" t="str">
        <f t="shared" si="16"/>
        <v>No</v>
      </c>
      <c r="AD89" s="24" t="str">
        <f t="shared" si="17"/>
        <v>Regular</v>
      </c>
      <c r="AF89" s="28" t="str">
        <f t="shared" si="18"/>
        <v>Discounted</v>
      </c>
    </row>
    <row r="90" spans="1:32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0">
        <v>3132.05</v>
      </c>
      <c r="P90" s="1">
        <f t="shared" si="11"/>
        <v>3480.06</v>
      </c>
      <c r="R90" s="19" t="str">
        <f t="shared" si="12"/>
        <v>NO</v>
      </c>
      <c r="S90" s="20" t="str">
        <f t="shared" si="13"/>
        <v>NO</v>
      </c>
      <c r="U90" s="23" t="str">
        <f t="shared" si="14"/>
        <v>YES</v>
      </c>
      <c r="W90" s="24" t="str">
        <f t="shared" si="10"/>
        <v>No</v>
      </c>
      <c r="Y90" s="26" t="str">
        <f t="shared" si="15"/>
        <v>yes</v>
      </c>
      <c r="AA90" s="27" t="str">
        <f t="shared" si="16"/>
        <v>Yes</v>
      </c>
      <c r="AD90" s="24" t="str">
        <f t="shared" si="17"/>
        <v>Regular</v>
      </c>
      <c r="AF90" s="28" t="str">
        <f t="shared" si="18"/>
        <v>Discounted</v>
      </c>
    </row>
    <row r="91" spans="1:32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0">
        <v>6437.39</v>
      </c>
      <c r="P91" s="1">
        <f t="shared" si="11"/>
        <v>6776.2</v>
      </c>
      <c r="R91" s="19" t="str">
        <f t="shared" si="12"/>
        <v>NO</v>
      </c>
      <c r="S91" s="20" t="str">
        <f t="shared" si="13"/>
        <v>NO</v>
      </c>
      <c r="U91" s="23" t="str">
        <f t="shared" si="14"/>
        <v>YES</v>
      </c>
      <c r="W91" s="24" t="str">
        <f t="shared" si="10"/>
        <v>No</v>
      </c>
      <c r="Y91" s="26" t="str">
        <f t="shared" si="15"/>
        <v>No</v>
      </c>
      <c r="AA91" s="27" t="str">
        <f t="shared" si="16"/>
        <v>No</v>
      </c>
      <c r="AD91" s="24" t="str">
        <f t="shared" si="17"/>
        <v>Regular</v>
      </c>
      <c r="AF91" s="28" t="str">
        <f t="shared" si="18"/>
        <v>Discounted</v>
      </c>
    </row>
    <row r="92" spans="1:32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0">
        <v>15167.34</v>
      </c>
      <c r="P92" s="1">
        <f t="shared" si="11"/>
        <v>16852.599999999999</v>
      </c>
      <c r="R92" s="19" t="str">
        <f t="shared" si="12"/>
        <v>NO</v>
      </c>
      <c r="S92" s="20" t="str">
        <f t="shared" si="13"/>
        <v>NO</v>
      </c>
      <c r="U92" s="23" t="str">
        <f t="shared" si="14"/>
        <v>YES</v>
      </c>
      <c r="W92" s="24" t="str">
        <f t="shared" si="10"/>
        <v>No</v>
      </c>
      <c r="Y92" s="26" t="str">
        <f t="shared" si="15"/>
        <v>No</v>
      </c>
      <c r="AA92" s="27" t="str">
        <f t="shared" si="16"/>
        <v>No</v>
      </c>
      <c r="AD92" s="24" t="str">
        <f t="shared" si="17"/>
        <v>Regular</v>
      </c>
      <c r="AF92" s="28" t="str">
        <f t="shared" si="18"/>
        <v>Discounted</v>
      </c>
    </row>
    <row r="93" spans="1:32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0">
        <v>978.49</v>
      </c>
      <c r="P93" s="1">
        <f t="shared" si="11"/>
        <v>1029.99</v>
      </c>
      <c r="R93" s="19" t="str">
        <f t="shared" si="12"/>
        <v>NO</v>
      </c>
      <c r="S93" s="20" t="str">
        <f t="shared" si="13"/>
        <v>NO</v>
      </c>
      <c r="U93" s="23" t="str">
        <f t="shared" si="14"/>
        <v>NO</v>
      </c>
      <c r="W93" s="24" t="str">
        <f t="shared" si="10"/>
        <v>No</v>
      </c>
      <c r="Y93" s="26" t="str">
        <f t="shared" si="15"/>
        <v>No</v>
      </c>
      <c r="AA93" s="27" t="str">
        <f t="shared" si="16"/>
        <v>No</v>
      </c>
      <c r="AD93" s="24" t="str">
        <f t="shared" si="17"/>
        <v>Regular</v>
      </c>
      <c r="AF93" s="28" t="str">
        <f t="shared" si="18"/>
        <v>Discounted</v>
      </c>
    </row>
    <row r="94" spans="1:32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0">
        <v>13959.07</v>
      </c>
      <c r="P94" s="1">
        <f t="shared" si="11"/>
        <v>17448.84</v>
      </c>
      <c r="R94" s="19" t="str">
        <f t="shared" si="12"/>
        <v>YES</v>
      </c>
      <c r="S94" s="20" t="str">
        <f t="shared" si="13"/>
        <v>YES</v>
      </c>
      <c r="U94" s="23" t="str">
        <f t="shared" si="14"/>
        <v>YES</v>
      </c>
      <c r="W94" s="24" t="str">
        <f t="shared" si="10"/>
        <v>No</v>
      </c>
      <c r="Y94" s="26" t="str">
        <f t="shared" si="15"/>
        <v>No</v>
      </c>
      <c r="AA94" s="27" t="str">
        <f t="shared" si="16"/>
        <v>No</v>
      </c>
      <c r="AD94" s="24" t="str">
        <f t="shared" si="17"/>
        <v>Regular</v>
      </c>
      <c r="AF94" s="28" t="str">
        <f t="shared" si="18"/>
        <v>Non Disc</v>
      </c>
    </row>
    <row r="95" spans="1:32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0">
        <v>5801.47</v>
      </c>
      <c r="P95" s="1">
        <f t="shared" si="11"/>
        <v>6446.08</v>
      </c>
      <c r="R95" s="19" t="str">
        <f t="shared" si="12"/>
        <v>NO</v>
      </c>
      <c r="S95" s="20" t="str">
        <f t="shared" si="13"/>
        <v>NO</v>
      </c>
      <c r="U95" s="23" t="str">
        <f t="shared" si="14"/>
        <v>NO</v>
      </c>
      <c r="W95" s="24" t="str">
        <f t="shared" si="10"/>
        <v>No</v>
      </c>
      <c r="Y95" s="26" t="str">
        <f t="shared" si="15"/>
        <v>No</v>
      </c>
      <c r="AA95" s="27" t="str">
        <f t="shared" si="16"/>
        <v>No</v>
      </c>
      <c r="AD95" s="24" t="str">
        <f t="shared" si="17"/>
        <v>Regular</v>
      </c>
      <c r="AF95" s="28" t="str">
        <f t="shared" si="18"/>
        <v>Discounted</v>
      </c>
    </row>
    <row r="96" spans="1:32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0">
        <v>3695.92</v>
      </c>
      <c r="P96" s="1">
        <f t="shared" si="11"/>
        <v>4106.58</v>
      </c>
      <c r="R96" s="19" t="str">
        <f t="shared" si="12"/>
        <v>NO</v>
      </c>
      <c r="S96" s="20" t="str">
        <f t="shared" si="13"/>
        <v>NO</v>
      </c>
      <c r="U96" s="23" t="str">
        <f t="shared" si="14"/>
        <v>NO</v>
      </c>
      <c r="W96" s="24" t="str">
        <f t="shared" si="10"/>
        <v>No</v>
      </c>
      <c r="Y96" s="26" t="str">
        <f t="shared" si="15"/>
        <v>No</v>
      </c>
      <c r="AA96" s="27" t="str">
        <f t="shared" si="16"/>
        <v>No</v>
      </c>
      <c r="AD96" s="24" t="str">
        <f t="shared" si="17"/>
        <v>Regular</v>
      </c>
      <c r="AF96" s="28" t="str">
        <f t="shared" si="18"/>
        <v>Discounted</v>
      </c>
    </row>
    <row r="97" spans="1:32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0">
        <v>2249.89</v>
      </c>
      <c r="P97" s="1">
        <f t="shared" si="11"/>
        <v>2499.88</v>
      </c>
      <c r="R97" s="19" t="str">
        <f t="shared" si="12"/>
        <v>NO</v>
      </c>
      <c r="S97" s="20" t="str">
        <f t="shared" si="13"/>
        <v>NO</v>
      </c>
      <c r="U97" s="23" t="str">
        <f t="shared" si="14"/>
        <v>YES</v>
      </c>
      <c r="W97" s="24" t="str">
        <f t="shared" si="10"/>
        <v>No</v>
      </c>
      <c r="Y97" s="26" t="str">
        <f t="shared" si="15"/>
        <v>No</v>
      </c>
      <c r="AA97" s="27" t="str">
        <f t="shared" si="16"/>
        <v>No</v>
      </c>
      <c r="AD97" s="24" t="str">
        <f t="shared" si="17"/>
        <v>Regular</v>
      </c>
      <c r="AF97" s="28" t="str">
        <f t="shared" si="18"/>
        <v>Discounted</v>
      </c>
    </row>
    <row r="98" spans="1:32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0">
        <v>4290.3</v>
      </c>
      <c r="P98" s="1">
        <f t="shared" si="11"/>
        <v>4516.1100000000006</v>
      </c>
      <c r="R98" s="19" t="str">
        <f t="shared" si="12"/>
        <v>NO</v>
      </c>
      <c r="S98" s="20" t="str">
        <f t="shared" si="13"/>
        <v>NO</v>
      </c>
      <c r="U98" s="23" t="str">
        <f t="shared" si="14"/>
        <v>YES</v>
      </c>
      <c r="W98" s="24" t="str">
        <f t="shared" si="10"/>
        <v>No</v>
      </c>
      <c r="Y98" s="26" t="str">
        <f t="shared" si="15"/>
        <v>yes</v>
      </c>
      <c r="AA98" s="27" t="str">
        <f t="shared" si="16"/>
        <v>Yes</v>
      </c>
      <c r="AD98" s="24" t="str">
        <f t="shared" si="17"/>
        <v>Regular</v>
      </c>
      <c r="AF98" s="28" t="str">
        <f t="shared" si="18"/>
        <v>Non Disc</v>
      </c>
    </row>
    <row r="99" spans="1:32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0">
        <v>4631.07</v>
      </c>
      <c r="P99" s="1">
        <f t="shared" si="11"/>
        <v>5448.32</v>
      </c>
      <c r="R99" s="19" t="str">
        <f t="shared" si="12"/>
        <v>NO</v>
      </c>
      <c r="S99" s="20" t="str">
        <f t="shared" si="13"/>
        <v>NO</v>
      </c>
      <c r="U99" s="23" t="str">
        <f t="shared" si="14"/>
        <v>YES</v>
      </c>
      <c r="W99" s="24" t="str">
        <f t="shared" si="10"/>
        <v>No</v>
      </c>
      <c r="Y99" s="26" t="str">
        <f t="shared" si="15"/>
        <v>yes</v>
      </c>
      <c r="AA99" s="27" t="str">
        <f t="shared" si="16"/>
        <v>Yes</v>
      </c>
      <c r="AD99" s="24" t="str">
        <f t="shared" si="17"/>
        <v>Regular</v>
      </c>
      <c r="AF99" s="28" t="str">
        <f t="shared" si="18"/>
        <v>Discounted</v>
      </c>
    </row>
    <row r="100" spans="1:32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0">
        <v>757.8</v>
      </c>
      <c r="P100" s="1">
        <f t="shared" si="11"/>
        <v>947.25</v>
      </c>
      <c r="R100" s="19" t="str">
        <f t="shared" si="12"/>
        <v>NO</v>
      </c>
      <c r="S100" s="20" t="str">
        <f t="shared" si="13"/>
        <v>NO</v>
      </c>
      <c r="U100" s="23" t="str">
        <f t="shared" si="14"/>
        <v>YES</v>
      </c>
      <c r="W100" s="24" t="str">
        <f t="shared" si="10"/>
        <v>No</v>
      </c>
      <c r="Y100" s="26" t="str">
        <f t="shared" si="15"/>
        <v>No</v>
      </c>
      <c r="AA100" s="27" t="str">
        <f t="shared" si="16"/>
        <v>No</v>
      </c>
      <c r="AD100" s="24" t="str">
        <f t="shared" si="17"/>
        <v>Regular</v>
      </c>
      <c r="AF100" s="28" t="str">
        <f t="shared" si="18"/>
        <v>Discounted</v>
      </c>
    </row>
    <row r="101" spans="1:32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0">
        <v>19887.27</v>
      </c>
      <c r="P101" s="1">
        <f t="shared" si="11"/>
        <v>22096.97</v>
      </c>
      <c r="R101" s="19" t="str">
        <f t="shared" si="12"/>
        <v>YES</v>
      </c>
      <c r="S101" s="20" t="str">
        <f t="shared" si="13"/>
        <v>NO</v>
      </c>
      <c r="U101" s="23" t="str">
        <f t="shared" si="14"/>
        <v>YES</v>
      </c>
      <c r="W101" s="24" t="str">
        <f t="shared" si="10"/>
        <v>No</v>
      </c>
      <c r="Y101" s="26" t="str">
        <f t="shared" si="15"/>
        <v>yes</v>
      </c>
      <c r="AA101" s="27" t="str">
        <f t="shared" si="16"/>
        <v>Yes</v>
      </c>
      <c r="AD101" s="24" t="str">
        <f t="shared" si="17"/>
        <v>Regular</v>
      </c>
      <c r="AF101" s="28" t="str">
        <f t="shared" si="18"/>
        <v>Discounted</v>
      </c>
    </row>
    <row r="102" spans="1:32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0">
        <v>11445.62</v>
      </c>
      <c r="P102" s="1">
        <f t="shared" si="11"/>
        <v>13465.44</v>
      </c>
      <c r="R102" s="19" t="str">
        <f t="shared" si="12"/>
        <v>YES</v>
      </c>
      <c r="S102" s="20" t="str">
        <f t="shared" si="13"/>
        <v>YES</v>
      </c>
      <c r="U102" s="23" t="str">
        <f t="shared" si="14"/>
        <v>NO</v>
      </c>
      <c r="W102" s="24" t="str">
        <f t="shared" si="10"/>
        <v>No</v>
      </c>
      <c r="Y102" s="26" t="str">
        <f t="shared" si="15"/>
        <v>No</v>
      </c>
      <c r="AA102" s="27" t="str">
        <f t="shared" si="16"/>
        <v>No</v>
      </c>
      <c r="AD102" s="24" t="str">
        <f t="shared" si="17"/>
        <v>Regular</v>
      </c>
      <c r="AF102" s="28" t="str">
        <f t="shared" si="18"/>
        <v>Non Disc</v>
      </c>
    </row>
    <row r="103" spans="1:32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0">
        <v>2974.45</v>
      </c>
      <c r="P103" s="1">
        <f t="shared" si="11"/>
        <v>3718.06</v>
      </c>
      <c r="R103" s="19" t="str">
        <f t="shared" si="12"/>
        <v>NO</v>
      </c>
      <c r="S103" s="20" t="str">
        <f t="shared" si="13"/>
        <v>NO</v>
      </c>
      <c r="U103" s="23" t="str">
        <f t="shared" si="14"/>
        <v>NO</v>
      </c>
      <c r="W103" s="24" t="str">
        <f t="shared" si="10"/>
        <v>No</v>
      </c>
      <c r="Y103" s="26" t="str">
        <f t="shared" si="15"/>
        <v>No</v>
      </c>
      <c r="AA103" s="27" t="str">
        <f t="shared" si="16"/>
        <v>No</v>
      </c>
      <c r="AD103" s="24" t="str">
        <f t="shared" si="17"/>
        <v>Regular</v>
      </c>
      <c r="AF103" s="28" t="str">
        <f t="shared" si="18"/>
        <v>Discounted</v>
      </c>
    </row>
    <row r="104" spans="1:32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0">
        <v>20105.900000000001</v>
      </c>
      <c r="P104" s="1">
        <f t="shared" si="11"/>
        <v>25132.38</v>
      </c>
      <c r="R104" s="19" t="str">
        <f t="shared" si="12"/>
        <v>YES</v>
      </c>
      <c r="S104" s="20" t="str">
        <f t="shared" si="13"/>
        <v>NO</v>
      </c>
      <c r="U104" s="23" t="str">
        <f t="shared" si="14"/>
        <v>YES</v>
      </c>
      <c r="W104" s="24" t="str">
        <f t="shared" si="10"/>
        <v>No</v>
      </c>
      <c r="Y104" s="26" t="str">
        <f t="shared" si="15"/>
        <v>No</v>
      </c>
      <c r="AA104" s="27" t="str">
        <f t="shared" si="16"/>
        <v>No</v>
      </c>
      <c r="AD104" s="24" t="str">
        <f t="shared" si="17"/>
        <v>Regular</v>
      </c>
      <c r="AF104" s="28" t="str">
        <f t="shared" si="18"/>
        <v>Discounted</v>
      </c>
    </row>
    <row r="105" spans="1:32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0">
        <v>12075.79</v>
      </c>
      <c r="P105" s="1">
        <f t="shared" si="11"/>
        <v>13417.550000000001</v>
      </c>
      <c r="R105" s="19" t="str">
        <f t="shared" si="12"/>
        <v>NO</v>
      </c>
      <c r="S105" s="20" t="str">
        <f t="shared" si="13"/>
        <v>NO</v>
      </c>
      <c r="U105" s="23" t="str">
        <f t="shared" si="14"/>
        <v>YES</v>
      </c>
      <c r="W105" s="24" t="str">
        <f t="shared" si="10"/>
        <v>No</v>
      </c>
      <c r="Y105" s="26" t="str">
        <f t="shared" si="15"/>
        <v>yes</v>
      </c>
      <c r="AA105" s="27" t="str">
        <f t="shared" si="16"/>
        <v>Yes</v>
      </c>
      <c r="AD105" s="24" t="str">
        <f t="shared" si="17"/>
        <v>Regular</v>
      </c>
      <c r="AF105" s="28" t="str">
        <f t="shared" si="18"/>
        <v>Discounted</v>
      </c>
    </row>
    <row r="106" spans="1:32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0">
        <v>814.63</v>
      </c>
      <c r="P106" s="1">
        <f t="shared" si="11"/>
        <v>905.15</v>
      </c>
      <c r="R106" s="19" t="str">
        <f t="shared" si="12"/>
        <v>NO</v>
      </c>
      <c r="S106" s="20" t="str">
        <f t="shared" si="13"/>
        <v>NO</v>
      </c>
      <c r="U106" s="23" t="str">
        <f t="shared" si="14"/>
        <v>YES</v>
      </c>
      <c r="W106" s="24" t="str">
        <f t="shared" si="10"/>
        <v>No</v>
      </c>
      <c r="Y106" s="26" t="str">
        <f t="shared" si="15"/>
        <v>yes</v>
      </c>
      <c r="AA106" s="27" t="str">
        <f t="shared" si="16"/>
        <v>Yes</v>
      </c>
      <c r="AD106" s="24" t="str">
        <f t="shared" si="17"/>
        <v>Regular</v>
      </c>
      <c r="AF106" s="28" t="str">
        <f t="shared" si="18"/>
        <v>Discounted</v>
      </c>
    </row>
    <row r="107" spans="1:32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0">
        <v>10776.48</v>
      </c>
      <c r="P107" s="1">
        <f t="shared" si="11"/>
        <v>11343.66</v>
      </c>
      <c r="R107" s="19" t="str">
        <f t="shared" si="12"/>
        <v>NO</v>
      </c>
      <c r="S107" s="20" t="str">
        <f t="shared" si="13"/>
        <v>NO</v>
      </c>
      <c r="U107" s="23" t="str">
        <f t="shared" si="14"/>
        <v>NO</v>
      </c>
      <c r="W107" s="24" t="str">
        <f t="shared" si="10"/>
        <v>No</v>
      </c>
      <c r="Y107" s="26" t="str">
        <f t="shared" si="15"/>
        <v>No</v>
      </c>
      <c r="AA107" s="27" t="str">
        <f t="shared" si="16"/>
        <v>No</v>
      </c>
      <c r="AD107" s="24" t="str">
        <f t="shared" si="17"/>
        <v>Regular</v>
      </c>
      <c r="AF107" s="28" t="str">
        <f t="shared" si="18"/>
        <v>Discounted</v>
      </c>
    </row>
    <row r="108" spans="1:32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0">
        <v>4517.79</v>
      </c>
      <c r="P108" s="1">
        <f t="shared" si="11"/>
        <v>5315.05</v>
      </c>
      <c r="R108" s="19" t="str">
        <f t="shared" si="12"/>
        <v>NO</v>
      </c>
      <c r="S108" s="20" t="str">
        <f t="shared" si="13"/>
        <v>NO</v>
      </c>
      <c r="U108" s="23" t="str">
        <f t="shared" si="14"/>
        <v>YES</v>
      </c>
      <c r="W108" s="24" t="str">
        <f t="shared" si="10"/>
        <v>No</v>
      </c>
      <c r="Y108" s="26" t="str">
        <f t="shared" si="15"/>
        <v>No</v>
      </c>
      <c r="AA108" s="27" t="str">
        <f t="shared" si="16"/>
        <v>No</v>
      </c>
      <c r="AD108" s="24" t="str">
        <f t="shared" si="17"/>
        <v>Regular</v>
      </c>
      <c r="AF108" s="28" t="str">
        <f t="shared" si="18"/>
        <v>Discounted</v>
      </c>
    </row>
    <row r="109" spans="1:32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0">
        <v>959.33</v>
      </c>
      <c r="P109" s="1">
        <f t="shared" si="11"/>
        <v>1128.6199999999999</v>
      </c>
      <c r="R109" s="19" t="str">
        <f t="shared" si="12"/>
        <v>NO</v>
      </c>
      <c r="S109" s="20" t="str">
        <f t="shared" si="13"/>
        <v>NO</v>
      </c>
      <c r="U109" s="23" t="str">
        <f t="shared" si="14"/>
        <v>YES</v>
      </c>
      <c r="W109" s="24" t="str">
        <f t="shared" si="10"/>
        <v>Special Attention</v>
      </c>
      <c r="Y109" s="26" t="str">
        <f t="shared" si="15"/>
        <v>yes</v>
      </c>
      <c r="AA109" s="27" t="str">
        <f t="shared" si="16"/>
        <v>Yes</v>
      </c>
      <c r="AD109" s="24" t="str">
        <f t="shared" si="17"/>
        <v>Regular</v>
      </c>
      <c r="AF109" s="28" t="str">
        <f t="shared" si="18"/>
        <v>Discounted</v>
      </c>
    </row>
    <row r="110" spans="1:32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0">
        <v>11186.24</v>
      </c>
      <c r="P110" s="1">
        <f t="shared" si="11"/>
        <v>12429.16</v>
      </c>
      <c r="R110" s="19" t="str">
        <f t="shared" si="12"/>
        <v>NO</v>
      </c>
      <c r="S110" s="20" t="str">
        <f t="shared" si="13"/>
        <v>NO</v>
      </c>
      <c r="U110" s="23" t="str">
        <f t="shared" si="14"/>
        <v>YES</v>
      </c>
      <c r="W110" s="24" t="str">
        <f t="shared" si="10"/>
        <v>No</v>
      </c>
      <c r="Y110" s="26" t="str">
        <f t="shared" si="15"/>
        <v>No</v>
      </c>
      <c r="AA110" s="27" t="str">
        <f t="shared" si="16"/>
        <v>No</v>
      </c>
      <c r="AD110" s="24" t="str">
        <f t="shared" si="17"/>
        <v>Regular</v>
      </c>
      <c r="AF110" s="28" t="str">
        <f t="shared" si="18"/>
        <v>Discounted</v>
      </c>
    </row>
    <row r="111" spans="1:32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0">
        <v>9968.83</v>
      </c>
      <c r="P111" s="1">
        <f t="shared" si="11"/>
        <v>12461.04</v>
      </c>
      <c r="R111" s="19" t="str">
        <f t="shared" si="12"/>
        <v>NO</v>
      </c>
      <c r="S111" s="20" t="str">
        <f t="shared" si="13"/>
        <v>NO</v>
      </c>
      <c r="U111" s="23" t="str">
        <f t="shared" si="14"/>
        <v>YES</v>
      </c>
      <c r="W111" s="24" t="str">
        <f t="shared" si="10"/>
        <v>No</v>
      </c>
      <c r="Y111" s="26" t="str">
        <f t="shared" si="15"/>
        <v>yes</v>
      </c>
      <c r="AA111" s="27" t="str">
        <f t="shared" si="16"/>
        <v>Yes</v>
      </c>
      <c r="AD111" s="24" t="str">
        <f t="shared" si="17"/>
        <v>Regular</v>
      </c>
      <c r="AF111" s="28" t="str">
        <f t="shared" si="18"/>
        <v>Discounted</v>
      </c>
    </row>
    <row r="112" spans="1:32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0">
        <v>1638.02</v>
      </c>
      <c r="P112" s="1">
        <f t="shared" si="11"/>
        <v>1820.02</v>
      </c>
      <c r="R112" s="19" t="str">
        <f t="shared" si="12"/>
        <v>NO</v>
      </c>
      <c r="S112" s="20" t="str">
        <f t="shared" si="13"/>
        <v>NO</v>
      </c>
      <c r="U112" s="23" t="str">
        <f t="shared" si="14"/>
        <v>NO</v>
      </c>
      <c r="W112" s="24" t="str">
        <f t="shared" si="10"/>
        <v>No</v>
      </c>
      <c r="Y112" s="26" t="str">
        <f t="shared" si="15"/>
        <v>No</v>
      </c>
      <c r="AA112" s="27" t="str">
        <f t="shared" si="16"/>
        <v>No</v>
      </c>
      <c r="AD112" s="24" t="str">
        <f t="shared" si="17"/>
        <v>Regular</v>
      </c>
      <c r="AF112" s="28" t="str">
        <f t="shared" si="18"/>
        <v>Discounted</v>
      </c>
    </row>
    <row r="113" spans="1:32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0">
        <v>3553.89</v>
      </c>
      <c r="P113" s="1">
        <f t="shared" si="11"/>
        <v>4442.3599999999997</v>
      </c>
      <c r="R113" s="19" t="str">
        <f t="shared" si="12"/>
        <v>NO</v>
      </c>
      <c r="S113" s="20" t="str">
        <f t="shared" si="13"/>
        <v>NO</v>
      </c>
      <c r="U113" s="23" t="str">
        <f t="shared" si="14"/>
        <v>NO</v>
      </c>
      <c r="W113" s="24" t="str">
        <f t="shared" si="10"/>
        <v>No</v>
      </c>
      <c r="Y113" s="26" t="str">
        <f t="shared" si="15"/>
        <v>No</v>
      </c>
      <c r="AA113" s="27" t="str">
        <f t="shared" si="16"/>
        <v>No</v>
      </c>
      <c r="AD113" s="24" t="str">
        <f t="shared" si="17"/>
        <v>Regular</v>
      </c>
      <c r="AF113" s="28" t="str">
        <f t="shared" si="18"/>
        <v>Discounted</v>
      </c>
    </row>
    <row r="114" spans="1:32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0">
        <v>10837.3</v>
      </c>
      <c r="P114" s="1">
        <f t="shared" si="11"/>
        <v>13546.619999999999</v>
      </c>
      <c r="R114" s="19" t="str">
        <f t="shared" si="12"/>
        <v>YES</v>
      </c>
      <c r="S114" s="20" t="str">
        <f t="shared" si="13"/>
        <v>NO</v>
      </c>
      <c r="U114" s="23" t="str">
        <f t="shared" si="14"/>
        <v>YES</v>
      </c>
      <c r="W114" s="24" t="str">
        <f t="shared" si="10"/>
        <v>No</v>
      </c>
      <c r="Y114" s="26" t="str">
        <f t="shared" si="15"/>
        <v>No</v>
      </c>
      <c r="AA114" s="27" t="str">
        <f t="shared" si="16"/>
        <v>No</v>
      </c>
      <c r="AD114" s="24" t="str">
        <f t="shared" si="17"/>
        <v>Regular</v>
      </c>
      <c r="AF114" s="28" t="str">
        <f t="shared" si="18"/>
        <v>Discounted</v>
      </c>
    </row>
    <row r="115" spans="1:32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0">
        <v>9771.68</v>
      </c>
      <c r="P115" s="1">
        <f t="shared" si="11"/>
        <v>10857.420000000002</v>
      </c>
      <c r="R115" s="19" t="str">
        <f t="shared" si="12"/>
        <v>NO</v>
      </c>
      <c r="S115" s="20" t="str">
        <f t="shared" si="13"/>
        <v>YES</v>
      </c>
      <c r="U115" s="23" t="str">
        <f t="shared" si="14"/>
        <v>NO</v>
      </c>
      <c r="W115" s="24" t="str">
        <f t="shared" si="10"/>
        <v>No</v>
      </c>
      <c r="Y115" s="26" t="str">
        <f t="shared" si="15"/>
        <v>No</v>
      </c>
      <c r="AA115" s="27" t="str">
        <f t="shared" si="16"/>
        <v>No</v>
      </c>
      <c r="AD115" s="24" t="str">
        <f t="shared" si="17"/>
        <v>Regular</v>
      </c>
      <c r="AF115" s="28" t="str">
        <f t="shared" si="18"/>
        <v>Non Disc</v>
      </c>
    </row>
    <row r="116" spans="1:32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0">
        <v>7242.18</v>
      </c>
      <c r="P116" s="1">
        <f t="shared" si="11"/>
        <v>7242.18</v>
      </c>
      <c r="R116" s="19" t="str">
        <f t="shared" si="12"/>
        <v>NO</v>
      </c>
      <c r="S116" s="20" t="str">
        <f t="shared" si="13"/>
        <v>NO</v>
      </c>
      <c r="U116" s="23" t="str">
        <f t="shared" si="14"/>
        <v>YES</v>
      </c>
      <c r="W116" s="24" t="str">
        <f t="shared" si="10"/>
        <v>No</v>
      </c>
      <c r="Y116" s="26" t="str">
        <f t="shared" si="15"/>
        <v>yes</v>
      </c>
      <c r="AA116" s="27" t="str">
        <f t="shared" si="16"/>
        <v>Yes</v>
      </c>
      <c r="AD116" s="24" t="str">
        <f t="shared" si="17"/>
        <v>Regular</v>
      </c>
      <c r="AF116" s="28" t="str">
        <f t="shared" si="18"/>
        <v>Discounted</v>
      </c>
    </row>
    <row r="117" spans="1:32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0">
        <v>5822.31</v>
      </c>
      <c r="P117" s="1">
        <f t="shared" si="11"/>
        <v>6849.78</v>
      </c>
      <c r="R117" s="19" t="str">
        <f t="shared" si="12"/>
        <v>NO</v>
      </c>
      <c r="S117" s="20" t="str">
        <f t="shared" si="13"/>
        <v>NO</v>
      </c>
      <c r="U117" s="23" t="str">
        <f t="shared" si="14"/>
        <v>NO</v>
      </c>
      <c r="W117" s="24" t="str">
        <f t="shared" si="10"/>
        <v>No</v>
      </c>
      <c r="Y117" s="26" t="str">
        <f t="shared" si="15"/>
        <v>No</v>
      </c>
      <c r="AA117" s="27" t="str">
        <f t="shared" si="16"/>
        <v>No</v>
      </c>
      <c r="AD117" s="24" t="str">
        <f t="shared" si="17"/>
        <v>Regular</v>
      </c>
      <c r="AF117" s="28" t="str">
        <f t="shared" si="18"/>
        <v>Discounted</v>
      </c>
    </row>
    <row r="118" spans="1:32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0">
        <v>17062.900000000001</v>
      </c>
      <c r="P118" s="1">
        <f t="shared" si="11"/>
        <v>21328.62</v>
      </c>
      <c r="R118" s="19" t="str">
        <f t="shared" si="12"/>
        <v>YES</v>
      </c>
      <c r="S118" s="20" t="str">
        <f t="shared" si="13"/>
        <v>NO</v>
      </c>
      <c r="U118" s="23" t="str">
        <f t="shared" si="14"/>
        <v>YES</v>
      </c>
      <c r="W118" s="24" t="str">
        <f t="shared" si="10"/>
        <v>No</v>
      </c>
      <c r="Y118" s="26" t="str">
        <f t="shared" si="15"/>
        <v>No</v>
      </c>
      <c r="AA118" s="27" t="str">
        <f t="shared" si="16"/>
        <v>No</v>
      </c>
      <c r="AD118" s="24" t="str">
        <f t="shared" si="17"/>
        <v>Regular</v>
      </c>
      <c r="AF118" s="28" t="str">
        <f t="shared" si="18"/>
        <v>Discounted</v>
      </c>
    </row>
    <row r="119" spans="1:32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0">
        <v>3685.94</v>
      </c>
      <c r="P119" s="1">
        <f t="shared" si="11"/>
        <v>4607.42</v>
      </c>
      <c r="R119" s="19" t="str">
        <f t="shared" si="12"/>
        <v>NO</v>
      </c>
      <c r="S119" s="20" t="str">
        <f t="shared" si="13"/>
        <v>NO</v>
      </c>
      <c r="U119" s="23" t="str">
        <f t="shared" si="14"/>
        <v>YES</v>
      </c>
      <c r="W119" s="24" t="str">
        <f t="shared" si="10"/>
        <v>No</v>
      </c>
      <c r="Y119" s="26" t="str">
        <f t="shared" si="15"/>
        <v>No</v>
      </c>
      <c r="AA119" s="27" t="str">
        <f t="shared" si="16"/>
        <v>No</v>
      </c>
      <c r="AD119" s="24" t="str">
        <f t="shared" si="17"/>
        <v>Regular</v>
      </c>
      <c r="AF119" s="28" t="str">
        <f t="shared" si="18"/>
        <v>Discounted</v>
      </c>
    </row>
    <row r="120" spans="1:32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0">
        <v>26717.439999999999</v>
      </c>
      <c r="P120" s="1">
        <f t="shared" si="11"/>
        <v>26717.439999999999</v>
      </c>
      <c r="R120" s="19" t="str">
        <f t="shared" si="12"/>
        <v>YES</v>
      </c>
      <c r="S120" s="20" t="str">
        <f t="shared" si="13"/>
        <v>NO</v>
      </c>
      <c r="U120" s="23" t="str">
        <f t="shared" si="14"/>
        <v>YES</v>
      </c>
      <c r="W120" s="24" t="str">
        <f t="shared" si="10"/>
        <v>No</v>
      </c>
      <c r="Y120" s="26" t="str">
        <f t="shared" si="15"/>
        <v>No</v>
      </c>
      <c r="AA120" s="27" t="str">
        <f t="shared" si="16"/>
        <v>No</v>
      </c>
      <c r="AD120" s="24" t="str">
        <f t="shared" si="17"/>
        <v>Regular</v>
      </c>
      <c r="AF120" s="28" t="str">
        <f t="shared" si="18"/>
        <v>Discounted</v>
      </c>
    </row>
    <row r="121" spans="1:32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0">
        <v>19248.16</v>
      </c>
      <c r="P121" s="1">
        <f t="shared" si="11"/>
        <v>20261.22</v>
      </c>
      <c r="R121" s="19" t="str">
        <f t="shared" si="12"/>
        <v>YES</v>
      </c>
      <c r="S121" s="20" t="str">
        <f t="shared" si="13"/>
        <v>NO</v>
      </c>
      <c r="U121" s="23" t="str">
        <f t="shared" si="14"/>
        <v>YES</v>
      </c>
      <c r="W121" s="24" t="str">
        <f t="shared" si="10"/>
        <v>No</v>
      </c>
      <c r="Y121" s="26" t="str">
        <f t="shared" si="15"/>
        <v>yes</v>
      </c>
      <c r="AA121" s="27" t="str">
        <f t="shared" si="16"/>
        <v>Yes</v>
      </c>
      <c r="AD121" s="24" t="str">
        <f t="shared" si="17"/>
        <v>Premium</v>
      </c>
      <c r="AF121" s="28" t="str">
        <f t="shared" si="18"/>
        <v>Discounted</v>
      </c>
    </row>
    <row r="122" spans="1:32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0">
        <v>14161.4</v>
      </c>
      <c r="P122" s="1">
        <f t="shared" si="11"/>
        <v>14161.400000000001</v>
      </c>
      <c r="R122" s="19" t="str">
        <f t="shared" si="12"/>
        <v>NO</v>
      </c>
      <c r="S122" s="20" t="str">
        <f t="shared" si="13"/>
        <v>NO</v>
      </c>
      <c r="U122" s="23" t="str">
        <f t="shared" si="14"/>
        <v>YES</v>
      </c>
      <c r="W122" s="24" t="str">
        <f t="shared" ref="W122:W185" si="19">IF(AND(L122&lt;3,O122&lt;=1000),"Special Attention","No")</f>
        <v>No</v>
      </c>
      <c r="Y122" s="26" t="str">
        <f t="shared" si="15"/>
        <v>yes</v>
      </c>
      <c r="AA122" s="27" t="str">
        <f t="shared" si="16"/>
        <v>Yes</v>
      </c>
      <c r="AD122" s="24" t="str">
        <f t="shared" si="17"/>
        <v>Regular</v>
      </c>
      <c r="AF122" s="28" t="str">
        <f t="shared" si="18"/>
        <v>Discounted</v>
      </c>
    </row>
    <row r="123" spans="1:32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0">
        <v>6993.65</v>
      </c>
      <c r="P123" s="1">
        <f t="shared" si="11"/>
        <v>6993.65</v>
      </c>
      <c r="R123" s="19" t="str">
        <f t="shared" si="12"/>
        <v>NO</v>
      </c>
      <c r="S123" s="20" t="str">
        <f t="shared" si="13"/>
        <v>NO</v>
      </c>
      <c r="U123" s="23" t="str">
        <f t="shared" si="14"/>
        <v>YES</v>
      </c>
      <c r="W123" s="24" t="str">
        <f t="shared" si="19"/>
        <v>No</v>
      </c>
      <c r="Y123" s="26" t="str">
        <f t="shared" si="15"/>
        <v>yes</v>
      </c>
      <c r="AA123" s="27" t="str">
        <f t="shared" si="16"/>
        <v>Yes</v>
      </c>
      <c r="AD123" s="24" t="str">
        <f t="shared" si="17"/>
        <v>Regular</v>
      </c>
      <c r="AF123" s="28" t="str">
        <f t="shared" si="18"/>
        <v>Discounted</v>
      </c>
    </row>
    <row r="124" spans="1:32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0">
        <v>5882.8</v>
      </c>
      <c r="P124" s="1">
        <f t="shared" si="11"/>
        <v>7353.5</v>
      </c>
      <c r="R124" s="19" t="str">
        <f t="shared" si="12"/>
        <v>NO</v>
      </c>
      <c r="S124" s="20" t="str">
        <f t="shared" si="13"/>
        <v>NO</v>
      </c>
      <c r="U124" s="23" t="str">
        <f t="shared" si="14"/>
        <v>YES</v>
      </c>
      <c r="W124" s="24" t="str">
        <f t="shared" si="19"/>
        <v>No</v>
      </c>
      <c r="Y124" s="26" t="str">
        <f t="shared" si="15"/>
        <v>yes</v>
      </c>
      <c r="AA124" s="27" t="str">
        <f t="shared" si="16"/>
        <v>Yes</v>
      </c>
      <c r="AD124" s="24" t="str">
        <f t="shared" si="17"/>
        <v>Regular</v>
      </c>
      <c r="AF124" s="28" t="str">
        <f t="shared" si="18"/>
        <v>Discounted</v>
      </c>
    </row>
    <row r="125" spans="1:32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0">
        <v>7358.61</v>
      </c>
      <c r="P125" s="1">
        <f t="shared" si="11"/>
        <v>8657.19</v>
      </c>
      <c r="R125" s="19" t="str">
        <f t="shared" si="12"/>
        <v>NO</v>
      </c>
      <c r="S125" s="20" t="str">
        <f t="shared" si="13"/>
        <v>YES</v>
      </c>
      <c r="U125" s="23" t="str">
        <f t="shared" si="14"/>
        <v>YES</v>
      </c>
      <c r="W125" s="24" t="str">
        <f t="shared" si="19"/>
        <v>No</v>
      </c>
      <c r="Y125" s="26" t="str">
        <f t="shared" si="15"/>
        <v>yes</v>
      </c>
      <c r="AA125" s="27" t="str">
        <f t="shared" si="16"/>
        <v>Yes</v>
      </c>
      <c r="AD125" s="24" t="str">
        <f t="shared" si="17"/>
        <v>Regular</v>
      </c>
      <c r="AF125" s="28" t="str">
        <f t="shared" si="18"/>
        <v>Non Disc</v>
      </c>
    </row>
    <row r="126" spans="1:32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0">
        <v>31051.71</v>
      </c>
      <c r="P126" s="1">
        <f t="shared" si="11"/>
        <v>31051.71</v>
      </c>
      <c r="R126" s="19" t="str">
        <f t="shared" si="12"/>
        <v>YES</v>
      </c>
      <c r="S126" s="20" t="str">
        <f t="shared" si="13"/>
        <v>NO</v>
      </c>
      <c r="U126" s="23" t="str">
        <f t="shared" si="14"/>
        <v>NO</v>
      </c>
      <c r="W126" s="24" t="str">
        <f t="shared" si="19"/>
        <v>No</v>
      </c>
      <c r="Y126" s="26" t="str">
        <f t="shared" si="15"/>
        <v>No</v>
      </c>
      <c r="AA126" s="27" t="str">
        <f t="shared" si="16"/>
        <v>No</v>
      </c>
      <c r="AD126" s="24" t="str">
        <f t="shared" si="17"/>
        <v>Premium</v>
      </c>
      <c r="AF126" s="28" t="str">
        <f t="shared" si="18"/>
        <v>Discounted</v>
      </c>
    </row>
    <row r="127" spans="1:32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0">
        <v>28288.87</v>
      </c>
      <c r="P127" s="1">
        <f t="shared" si="11"/>
        <v>29777.759999999998</v>
      </c>
      <c r="R127" s="19" t="str">
        <f t="shared" si="12"/>
        <v>YES</v>
      </c>
      <c r="S127" s="20" t="str">
        <f t="shared" si="13"/>
        <v>NO</v>
      </c>
      <c r="U127" s="23" t="str">
        <f t="shared" si="14"/>
        <v>YES</v>
      </c>
      <c r="W127" s="24" t="str">
        <f t="shared" si="19"/>
        <v>No</v>
      </c>
      <c r="Y127" s="26" t="str">
        <f t="shared" si="15"/>
        <v>yes</v>
      </c>
      <c r="AA127" s="27" t="str">
        <f t="shared" si="16"/>
        <v>Yes</v>
      </c>
      <c r="AD127" s="24" t="str">
        <f t="shared" si="17"/>
        <v>Regular</v>
      </c>
      <c r="AF127" s="28" t="str">
        <f t="shared" si="18"/>
        <v>Non Disc</v>
      </c>
    </row>
    <row r="128" spans="1:32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0">
        <v>9969.5300000000007</v>
      </c>
      <c r="P128" s="1">
        <f t="shared" si="11"/>
        <v>11077.26</v>
      </c>
      <c r="R128" s="19" t="str">
        <f t="shared" si="12"/>
        <v>NO</v>
      </c>
      <c r="S128" s="20" t="str">
        <f t="shared" si="13"/>
        <v>NO</v>
      </c>
      <c r="U128" s="23" t="str">
        <f t="shared" si="14"/>
        <v>YES</v>
      </c>
      <c r="W128" s="24" t="str">
        <f t="shared" si="19"/>
        <v>No</v>
      </c>
      <c r="Y128" s="26" t="str">
        <f t="shared" si="15"/>
        <v>yes</v>
      </c>
      <c r="AA128" s="27" t="str">
        <f t="shared" si="16"/>
        <v>Yes</v>
      </c>
      <c r="AD128" s="24" t="str">
        <f t="shared" si="17"/>
        <v>Regular</v>
      </c>
      <c r="AF128" s="28" t="str">
        <f t="shared" si="18"/>
        <v>Discounted</v>
      </c>
    </row>
    <row r="129" spans="1:32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0">
        <v>3958.56</v>
      </c>
      <c r="P129" s="1">
        <f t="shared" si="11"/>
        <v>3958.56</v>
      </c>
      <c r="R129" s="19" t="str">
        <f t="shared" si="12"/>
        <v>NO</v>
      </c>
      <c r="S129" s="20" t="str">
        <f t="shared" si="13"/>
        <v>NO</v>
      </c>
      <c r="U129" s="23" t="str">
        <f t="shared" si="14"/>
        <v>NO</v>
      </c>
      <c r="W129" s="24" t="str">
        <f t="shared" si="19"/>
        <v>No</v>
      </c>
      <c r="Y129" s="26" t="str">
        <f t="shared" si="15"/>
        <v>No</v>
      </c>
      <c r="AA129" s="27" t="str">
        <f t="shared" si="16"/>
        <v>No</v>
      </c>
      <c r="AD129" s="24" t="str">
        <f t="shared" si="17"/>
        <v>Regular</v>
      </c>
      <c r="AF129" s="28" t="str">
        <f t="shared" si="18"/>
        <v>Discounted</v>
      </c>
    </row>
    <row r="130" spans="1:32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0">
        <v>4865.01</v>
      </c>
      <c r="P130" s="1">
        <f t="shared" si="11"/>
        <v>4865.01</v>
      </c>
      <c r="R130" s="19" t="str">
        <f t="shared" si="12"/>
        <v>NO</v>
      </c>
      <c r="S130" s="20" t="str">
        <f t="shared" si="13"/>
        <v>NO</v>
      </c>
      <c r="U130" s="23" t="str">
        <f t="shared" si="14"/>
        <v>YES</v>
      </c>
      <c r="W130" s="24" t="str">
        <f t="shared" si="19"/>
        <v>No</v>
      </c>
      <c r="Y130" s="26" t="str">
        <f t="shared" si="15"/>
        <v>yes</v>
      </c>
      <c r="AA130" s="27" t="str">
        <f t="shared" si="16"/>
        <v>Yes</v>
      </c>
      <c r="AD130" s="24" t="str">
        <f t="shared" si="17"/>
        <v>Regular</v>
      </c>
      <c r="AF130" s="28" t="str">
        <f t="shared" si="18"/>
        <v>Discounted</v>
      </c>
    </row>
    <row r="131" spans="1:32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0">
        <v>2407.75</v>
      </c>
      <c r="P131" s="1">
        <f t="shared" ref="P131:P194" si="20">L131*M131</f>
        <v>2534.4699999999998</v>
      </c>
      <c r="R131" s="19" t="str">
        <f t="shared" ref="R131:R194" si="21">IF(AND(L131&gt;5,O131&gt;10000),"YES","NO")</f>
        <v>NO</v>
      </c>
      <c r="S131" s="20" t="str">
        <f t="shared" ref="S131:S194" si="22">IF(AND(L131&gt;=8,N131&gt;=10),"YES","NO")</f>
        <v>NO</v>
      </c>
      <c r="U131" s="23" t="str">
        <f t="shared" ref="U131:U194" si="23">IF(OR(G131="Mobile App",G131="Website"),"YES","NO")</f>
        <v>YES</v>
      </c>
      <c r="W131" s="24" t="str">
        <f t="shared" si="19"/>
        <v>No</v>
      </c>
      <c r="Y131" s="26" t="str">
        <f t="shared" ref="Y131:Y194" si="24">IF(NOT(G131="Website"),"No","yes")</f>
        <v>No</v>
      </c>
      <c r="AA131" s="27" t="str">
        <f t="shared" ref="AA131:AA194" si="25">IF(G131&lt;&gt;"Website","No","Yes")</f>
        <v>No</v>
      </c>
      <c r="AD131" s="24" t="str">
        <f t="shared" ref="AD131:AD194" si="26">IF(AND(O131&gt;15000,OR(I131="Electronics",I131="Beauty")),"Premium","Regular")</f>
        <v>Regular</v>
      </c>
      <c r="AF131" s="28" t="str">
        <f t="shared" ref="AF131:AF194" si="27">IF(AND(L131&gt;=8,N131&lt;&gt;0),"Non Disc","Discounted")</f>
        <v>Discounted</v>
      </c>
    </row>
    <row r="132" spans="1:32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0">
        <v>11301.73</v>
      </c>
      <c r="P132" s="1">
        <f t="shared" si="20"/>
        <v>13296.15</v>
      </c>
      <c r="R132" s="19" t="str">
        <f t="shared" si="21"/>
        <v>YES</v>
      </c>
      <c r="S132" s="20" t="str">
        <f t="shared" si="22"/>
        <v>NO</v>
      </c>
      <c r="U132" s="23" t="str">
        <f t="shared" si="23"/>
        <v>YES</v>
      </c>
      <c r="W132" s="24" t="str">
        <f t="shared" si="19"/>
        <v>No</v>
      </c>
      <c r="Y132" s="26" t="str">
        <f t="shared" si="24"/>
        <v>yes</v>
      </c>
      <c r="AA132" s="27" t="str">
        <f t="shared" si="25"/>
        <v>Yes</v>
      </c>
      <c r="AD132" s="24" t="str">
        <f t="shared" si="26"/>
        <v>Regular</v>
      </c>
      <c r="AF132" s="28" t="str">
        <f t="shared" si="27"/>
        <v>Discounted</v>
      </c>
    </row>
    <row r="133" spans="1:32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0">
        <v>12614.92</v>
      </c>
      <c r="P133" s="1">
        <f t="shared" si="20"/>
        <v>12614.92</v>
      </c>
      <c r="R133" s="19" t="str">
        <f t="shared" si="21"/>
        <v>NO</v>
      </c>
      <c r="S133" s="20" t="str">
        <f t="shared" si="22"/>
        <v>NO</v>
      </c>
      <c r="U133" s="23" t="str">
        <f t="shared" si="23"/>
        <v>YES</v>
      </c>
      <c r="W133" s="24" t="str">
        <f t="shared" si="19"/>
        <v>No</v>
      </c>
      <c r="Y133" s="26" t="str">
        <f t="shared" si="24"/>
        <v>yes</v>
      </c>
      <c r="AA133" s="27" t="str">
        <f t="shared" si="25"/>
        <v>Yes</v>
      </c>
      <c r="AD133" s="24" t="str">
        <f t="shared" si="26"/>
        <v>Regular</v>
      </c>
      <c r="AF133" s="28" t="str">
        <f t="shared" si="27"/>
        <v>Discounted</v>
      </c>
    </row>
    <row r="134" spans="1:32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0">
        <v>3990.85</v>
      </c>
      <c r="P134" s="1">
        <f t="shared" si="20"/>
        <v>3990.85</v>
      </c>
      <c r="R134" s="19" t="str">
        <f t="shared" si="21"/>
        <v>NO</v>
      </c>
      <c r="S134" s="20" t="str">
        <f t="shared" si="22"/>
        <v>NO</v>
      </c>
      <c r="U134" s="23" t="str">
        <f t="shared" si="23"/>
        <v>YES</v>
      </c>
      <c r="W134" s="24" t="str">
        <f t="shared" si="19"/>
        <v>No</v>
      </c>
      <c r="Y134" s="26" t="str">
        <f t="shared" si="24"/>
        <v>No</v>
      </c>
      <c r="AA134" s="27" t="str">
        <f t="shared" si="25"/>
        <v>No</v>
      </c>
      <c r="AD134" s="24" t="str">
        <f t="shared" si="26"/>
        <v>Regular</v>
      </c>
      <c r="AF134" s="28" t="str">
        <f t="shared" si="27"/>
        <v>Discounted</v>
      </c>
    </row>
    <row r="135" spans="1:32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0">
        <v>6023.85</v>
      </c>
      <c r="P135" s="1">
        <f t="shared" si="20"/>
        <v>7086.88</v>
      </c>
      <c r="R135" s="19" t="str">
        <f t="shared" si="21"/>
        <v>NO</v>
      </c>
      <c r="S135" s="20" t="str">
        <f t="shared" si="22"/>
        <v>YES</v>
      </c>
      <c r="U135" s="23" t="str">
        <f t="shared" si="23"/>
        <v>YES</v>
      </c>
      <c r="W135" s="24" t="str">
        <f t="shared" si="19"/>
        <v>No</v>
      </c>
      <c r="Y135" s="26" t="str">
        <f t="shared" si="24"/>
        <v>No</v>
      </c>
      <c r="AA135" s="27" t="str">
        <f t="shared" si="25"/>
        <v>No</v>
      </c>
      <c r="AD135" s="24" t="str">
        <f t="shared" si="26"/>
        <v>Regular</v>
      </c>
      <c r="AF135" s="28" t="str">
        <f t="shared" si="27"/>
        <v>Non Disc</v>
      </c>
    </row>
    <row r="136" spans="1:32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0">
        <v>10942.06</v>
      </c>
      <c r="P136" s="1">
        <f t="shared" si="20"/>
        <v>11517.960000000001</v>
      </c>
      <c r="R136" s="19" t="str">
        <f t="shared" si="21"/>
        <v>YES</v>
      </c>
      <c r="S136" s="20" t="str">
        <f t="shared" si="22"/>
        <v>NO</v>
      </c>
      <c r="U136" s="23" t="str">
        <f t="shared" si="23"/>
        <v>YES</v>
      </c>
      <c r="W136" s="24" t="str">
        <f t="shared" si="19"/>
        <v>No</v>
      </c>
      <c r="Y136" s="26" t="str">
        <f t="shared" si="24"/>
        <v>No</v>
      </c>
      <c r="AA136" s="27" t="str">
        <f t="shared" si="25"/>
        <v>No</v>
      </c>
      <c r="AD136" s="24" t="str">
        <f t="shared" si="26"/>
        <v>Regular</v>
      </c>
      <c r="AF136" s="28" t="str">
        <f t="shared" si="27"/>
        <v>Discounted</v>
      </c>
    </row>
    <row r="137" spans="1:32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0">
        <v>10855.74</v>
      </c>
      <c r="P137" s="1">
        <f t="shared" si="20"/>
        <v>10855.74</v>
      </c>
      <c r="R137" s="19" t="str">
        <f t="shared" si="21"/>
        <v>YES</v>
      </c>
      <c r="S137" s="20" t="str">
        <f t="shared" si="22"/>
        <v>NO</v>
      </c>
      <c r="U137" s="23" t="str">
        <f t="shared" si="23"/>
        <v>YES</v>
      </c>
      <c r="W137" s="24" t="str">
        <f t="shared" si="19"/>
        <v>No</v>
      </c>
      <c r="Y137" s="26" t="str">
        <f t="shared" si="24"/>
        <v>No</v>
      </c>
      <c r="AA137" s="27" t="str">
        <f t="shared" si="25"/>
        <v>No</v>
      </c>
      <c r="AD137" s="24" t="str">
        <f t="shared" si="26"/>
        <v>Regular</v>
      </c>
      <c r="AF137" s="28" t="str">
        <f t="shared" si="27"/>
        <v>Discounted</v>
      </c>
    </row>
    <row r="138" spans="1:32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0">
        <v>2247.91</v>
      </c>
      <c r="P138" s="1">
        <f t="shared" si="20"/>
        <v>2644.6</v>
      </c>
      <c r="R138" s="19" t="str">
        <f t="shared" si="21"/>
        <v>NO</v>
      </c>
      <c r="S138" s="20" t="str">
        <f t="shared" si="22"/>
        <v>NO</v>
      </c>
      <c r="U138" s="23" t="str">
        <f t="shared" si="23"/>
        <v>YES</v>
      </c>
      <c r="W138" s="24" t="str">
        <f t="shared" si="19"/>
        <v>No</v>
      </c>
      <c r="Y138" s="26" t="str">
        <f t="shared" si="24"/>
        <v>yes</v>
      </c>
      <c r="AA138" s="27" t="str">
        <f t="shared" si="25"/>
        <v>Yes</v>
      </c>
      <c r="AD138" s="24" t="str">
        <f t="shared" si="26"/>
        <v>Regular</v>
      </c>
      <c r="AF138" s="28" t="str">
        <f t="shared" si="27"/>
        <v>Discounted</v>
      </c>
    </row>
    <row r="139" spans="1:32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0">
        <v>912.67</v>
      </c>
      <c r="P139" s="1">
        <f t="shared" si="20"/>
        <v>912.67</v>
      </c>
      <c r="R139" s="19" t="str">
        <f t="shared" si="21"/>
        <v>NO</v>
      </c>
      <c r="S139" s="20" t="str">
        <f t="shared" si="22"/>
        <v>NO</v>
      </c>
      <c r="U139" s="23" t="str">
        <f t="shared" si="23"/>
        <v>YES</v>
      </c>
      <c r="W139" s="24" t="str">
        <f t="shared" si="19"/>
        <v>Special Attention</v>
      </c>
      <c r="Y139" s="26" t="str">
        <f t="shared" si="24"/>
        <v>No</v>
      </c>
      <c r="AA139" s="27" t="str">
        <f t="shared" si="25"/>
        <v>No</v>
      </c>
      <c r="AD139" s="24" t="str">
        <f t="shared" si="26"/>
        <v>Regular</v>
      </c>
      <c r="AF139" s="28" t="str">
        <f t="shared" si="27"/>
        <v>Discounted</v>
      </c>
    </row>
    <row r="140" spans="1:32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0">
        <v>725.24</v>
      </c>
      <c r="P140" s="1">
        <f t="shared" si="20"/>
        <v>805.82</v>
      </c>
      <c r="R140" s="19" t="str">
        <f t="shared" si="21"/>
        <v>NO</v>
      </c>
      <c r="S140" s="20" t="str">
        <f t="shared" si="22"/>
        <v>NO</v>
      </c>
      <c r="U140" s="23" t="str">
        <f t="shared" si="23"/>
        <v>YES</v>
      </c>
      <c r="W140" s="24" t="str">
        <f t="shared" si="19"/>
        <v>Special Attention</v>
      </c>
      <c r="Y140" s="26" t="str">
        <f t="shared" si="24"/>
        <v>No</v>
      </c>
      <c r="AA140" s="27" t="str">
        <f t="shared" si="25"/>
        <v>No</v>
      </c>
      <c r="AD140" s="24" t="str">
        <f t="shared" si="26"/>
        <v>Regular</v>
      </c>
      <c r="AF140" s="28" t="str">
        <f t="shared" si="27"/>
        <v>Discounted</v>
      </c>
    </row>
    <row r="141" spans="1:32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0">
        <v>11409.31</v>
      </c>
      <c r="P141" s="1">
        <f t="shared" si="20"/>
        <v>14261.64</v>
      </c>
      <c r="R141" s="19" t="str">
        <f t="shared" si="21"/>
        <v>NO</v>
      </c>
      <c r="S141" s="20" t="str">
        <f t="shared" si="22"/>
        <v>NO</v>
      </c>
      <c r="U141" s="23" t="str">
        <f t="shared" si="23"/>
        <v>NO</v>
      </c>
      <c r="W141" s="24" t="str">
        <f t="shared" si="19"/>
        <v>No</v>
      </c>
      <c r="Y141" s="26" t="str">
        <f t="shared" si="24"/>
        <v>No</v>
      </c>
      <c r="AA141" s="27" t="str">
        <f t="shared" si="25"/>
        <v>No</v>
      </c>
      <c r="AD141" s="24" t="str">
        <f t="shared" si="26"/>
        <v>Regular</v>
      </c>
      <c r="AF141" s="28" t="str">
        <f t="shared" si="27"/>
        <v>Discounted</v>
      </c>
    </row>
    <row r="142" spans="1:32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0">
        <v>3179.56</v>
      </c>
      <c r="P142" s="1">
        <f t="shared" si="20"/>
        <v>3532.84</v>
      </c>
      <c r="R142" s="19" t="str">
        <f t="shared" si="21"/>
        <v>NO</v>
      </c>
      <c r="S142" s="20" t="str">
        <f t="shared" si="22"/>
        <v>NO</v>
      </c>
      <c r="U142" s="23" t="str">
        <f t="shared" si="23"/>
        <v>YES</v>
      </c>
      <c r="W142" s="24" t="str">
        <f t="shared" si="19"/>
        <v>No</v>
      </c>
      <c r="Y142" s="26" t="str">
        <f t="shared" si="24"/>
        <v>No</v>
      </c>
      <c r="AA142" s="27" t="str">
        <f t="shared" si="25"/>
        <v>No</v>
      </c>
      <c r="AD142" s="24" t="str">
        <f t="shared" si="26"/>
        <v>Regular</v>
      </c>
      <c r="AF142" s="28" t="str">
        <f t="shared" si="27"/>
        <v>Discounted</v>
      </c>
    </row>
    <row r="143" spans="1:32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0">
        <v>2063.0500000000002</v>
      </c>
      <c r="P143" s="1">
        <f t="shared" si="20"/>
        <v>2063.0500000000002</v>
      </c>
      <c r="R143" s="19" t="str">
        <f t="shared" si="21"/>
        <v>NO</v>
      </c>
      <c r="S143" s="20" t="str">
        <f t="shared" si="22"/>
        <v>NO</v>
      </c>
      <c r="U143" s="23" t="str">
        <f t="shared" si="23"/>
        <v>YES</v>
      </c>
      <c r="W143" s="24" t="str">
        <f t="shared" si="19"/>
        <v>No</v>
      </c>
      <c r="Y143" s="26" t="str">
        <f t="shared" si="24"/>
        <v>No</v>
      </c>
      <c r="AA143" s="27" t="str">
        <f t="shared" si="25"/>
        <v>No</v>
      </c>
      <c r="AD143" s="24" t="str">
        <f t="shared" si="26"/>
        <v>Regular</v>
      </c>
      <c r="AF143" s="28" t="str">
        <f t="shared" si="27"/>
        <v>Discounted</v>
      </c>
    </row>
    <row r="144" spans="1:32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0">
        <v>24473.53</v>
      </c>
      <c r="P144" s="1">
        <f t="shared" si="20"/>
        <v>25761.61</v>
      </c>
      <c r="R144" s="19" t="str">
        <f t="shared" si="21"/>
        <v>YES</v>
      </c>
      <c r="S144" s="20" t="str">
        <f t="shared" si="22"/>
        <v>NO</v>
      </c>
      <c r="U144" s="23" t="str">
        <f t="shared" si="23"/>
        <v>NO</v>
      </c>
      <c r="W144" s="24" t="str">
        <f t="shared" si="19"/>
        <v>No</v>
      </c>
      <c r="Y144" s="26" t="str">
        <f t="shared" si="24"/>
        <v>No</v>
      </c>
      <c r="AA144" s="27" t="str">
        <f t="shared" si="25"/>
        <v>No</v>
      </c>
      <c r="AD144" s="24" t="str">
        <f t="shared" si="26"/>
        <v>Regular</v>
      </c>
      <c r="AF144" s="28" t="str">
        <f t="shared" si="27"/>
        <v>Discounted</v>
      </c>
    </row>
    <row r="145" spans="1:32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0">
        <v>20087.810000000001</v>
      </c>
      <c r="P145" s="1">
        <f t="shared" si="20"/>
        <v>25109.759999999998</v>
      </c>
      <c r="R145" s="19" t="str">
        <f t="shared" si="21"/>
        <v>YES</v>
      </c>
      <c r="S145" s="20" t="str">
        <f t="shared" si="22"/>
        <v>YES</v>
      </c>
      <c r="U145" s="23" t="str">
        <f t="shared" si="23"/>
        <v>NO</v>
      </c>
      <c r="W145" s="24" t="str">
        <f t="shared" si="19"/>
        <v>No</v>
      </c>
      <c r="Y145" s="26" t="str">
        <f t="shared" si="24"/>
        <v>No</v>
      </c>
      <c r="AA145" s="27" t="str">
        <f t="shared" si="25"/>
        <v>No</v>
      </c>
      <c r="AD145" s="24" t="str">
        <f t="shared" si="26"/>
        <v>Regular</v>
      </c>
      <c r="AF145" s="28" t="str">
        <f t="shared" si="27"/>
        <v>Non Disc</v>
      </c>
    </row>
    <row r="146" spans="1:32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0">
        <v>3523.12</v>
      </c>
      <c r="P146" s="1">
        <f t="shared" si="20"/>
        <v>3914.58</v>
      </c>
      <c r="R146" s="19" t="str">
        <f t="shared" si="21"/>
        <v>NO</v>
      </c>
      <c r="S146" s="20" t="str">
        <f t="shared" si="22"/>
        <v>NO</v>
      </c>
      <c r="U146" s="23" t="str">
        <f t="shared" si="23"/>
        <v>YES</v>
      </c>
      <c r="W146" s="24" t="str">
        <f t="shared" si="19"/>
        <v>No</v>
      </c>
      <c r="Y146" s="26" t="str">
        <f t="shared" si="24"/>
        <v>yes</v>
      </c>
      <c r="AA146" s="27" t="str">
        <f t="shared" si="25"/>
        <v>Yes</v>
      </c>
      <c r="AD146" s="24" t="str">
        <f t="shared" si="26"/>
        <v>Regular</v>
      </c>
      <c r="AF146" s="28" t="str">
        <f t="shared" si="27"/>
        <v>Discounted</v>
      </c>
    </row>
    <row r="147" spans="1:32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0">
        <v>7911.36</v>
      </c>
      <c r="P147" s="1">
        <f t="shared" si="20"/>
        <v>9307.48</v>
      </c>
      <c r="R147" s="19" t="str">
        <f t="shared" si="21"/>
        <v>NO</v>
      </c>
      <c r="S147" s="20" t="str">
        <f t="shared" si="22"/>
        <v>NO</v>
      </c>
      <c r="U147" s="23" t="str">
        <f t="shared" si="23"/>
        <v>NO</v>
      </c>
      <c r="W147" s="24" t="str">
        <f t="shared" si="19"/>
        <v>No</v>
      </c>
      <c r="Y147" s="26" t="str">
        <f t="shared" si="24"/>
        <v>No</v>
      </c>
      <c r="AA147" s="27" t="str">
        <f t="shared" si="25"/>
        <v>No</v>
      </c>
      <c r="AD147" s="24" t="str">
        <f t="shared" si="26"/>
        <v>Regular</v>
      </c>
      <c r="AF147" s="28" t="str">
        <f t="shared" si="27"/>
        <v>Discounted</v>
      </c>
    </row>
    <row r="148" spans="1:32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0">
        <v>10560.22</v>
      </c>
      <c r="P148" s="1">
        <f t="shared" si="20"/>
        <v>11116.02</v>
      </c>
      <c r="R148" s="19" t="str">
        <f t="shared" si="21"/>
        <v>YES</v>
      </c>
      <c r="S148" s="20" t="str">
        <f t="shared" si="22"/>
        <v>NO</v>
      </c>
      <c r="U148" s="23" t="str">
        <f t="shared" si="23"/>
        <v>YES</v>
      </c>
      <c r="W148" s="24" t="str">
        <f t="shared" si="19"/>
        <v>No</v>
      </c>
      <c r="Y148" s="26" t="str">
        <f t="shared" si="24"/>
        <v>yes</v>
      </c>
      <c r="AA148" s="27" t="str">
        <f t="shared" si="25"/>
        <v>Yes</v>
      </c>
      <c r="AD148" s="24" t="str">
        <f t="shared" si="26"/>
        <v>Regular</v>
      </c>
      <c r="AF148" s="28" t="str">
        <f t="shared" si="27"/>
        <v>Discounted</v>
      </c>
    </row>
    <row r="149" spans="1:32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0">
        <v>8692</v>
      </c>
      <c r="P149" s="1">
        <f t="shared" si="20"/>
        <v>9657.7800000000007</v>
      </c>
      <c r="R149" s="19" t="str">
        <f t="shared" si="21"/>
        <v>NO</v>
      </c>
      <c r="S149" s="20" t="str">
        <f t="shared" si="22"/>
        <v>NO</v>
      </c>
      <c r="U149" s="23" t="str">
        <f t="shared" si="23"/>
        <v>NO</v>
      </c>
      <c r="W149" s="24" t="str">
        <f t="shared" si="19"/>
        <v>No</v>
      </c>
      <c r="Y149" s="26" t="str">
        <f t="shared" si="24"/>
        <v>No</v>
      </c>
      <c r="AA149" s="27" t="str">
        <f t="shared" si="25"/>
        <v>No</v>
      </c>
      <c r="AD149" s="24" t="str">
        <f t="shared" si="26"/>
        <v>Regular</v>
      </c>
      <c r="AF149" s="28" t="str">
        <f t="shared" si="27"/>
        <v>Discounted</v>
      </c>
    </row>
    <row r="150" spans="1:32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0">
        <v>19980.439999999999</v>
      </c>
      <c r="P150" s="1">
        <f t="shared" si="20"/>
        <v>23506.400000000001</v>
      </c>
      <c r="R150" s="19" t="str">
        <f t="shared" si="21"/>
        <v>YES</v>
      </c>
      <c r="S150" s="20" t="str">
        <f t="shared" si="22"/>
        <v>YES</v>
      </c>
      <c r="U150" s="23" t="str">
        <f t="shared" si="23"/>
        <v>NO</v>
      </c>
      <c r="W150" s="24" t="str">
        <f t="shared" si="19"/>
        <v>No</v>
      </c>
      <c r="Y150" s="26" t="str">
        <f t="shared" si="24"/>
        <v>No</v>
      </c>
      <c r="AA150" s="27" t="str">
        <f t="shared" si="25"/>
        <v>No</v>
      </c>
      <c r="AD150" s="24" t="str">
        <f t="shared" si="26"/>
        <v>Regular</v>
      </c>
      <c r="AF150" s="28" t="str">
        <f t="shared" si="27"/>
        <v>Non Disc</v>
      </c>
    </row>
    <row r="151" spans="1:32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0">
        <v>5616.12</v>
      </c>
      <c r="P151" s="1">
        <f t="shared" si="20"/>
        <v>5616.12</v>
      </c>
      <c r="R151" s="19" t="str">
        <f t="shared" si="21"/>
        <v>NO</v>
      </c>
      <c r="S151" s="20" t="str">
        <f t="shared" si="22"/>
        <v>NO</v>
      </c>
      <c r="U151" s="23" t="str">
        <f t="shared" si="23"/>
        <v>YES</v>
      </c>
      <c r="W151" s="24" t="str">
        <f t="shared" si="19"/>
        <v>No</v>
      </c>
      <c r="Y151" s="26" t="str">
        <f t="shared" si="24"/>
        <v>yes</v>
      </c>
      <c r="AA151" s="27" t="str">
        <f t="shared" si="25"/>
        <v>Yes</v>
      </c>
      <c r="AD151" s="24" t="str">
        <f t="shared" si="26"/>
        <v>Regular</v>
      </c>
      <c r="AF151" s="28" t="str">
        <f t="shared" si="27"/>
        <v>Discounted</v>
      </c>
    </row>
    <row r="152" spans="1:32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0">
        <v>6209.68</v>
      </c>
      <c r="P152" s="1">
        <f t="shared" si="20"/>
        <v>7305.5</v>
      </c>
      <c r="R152" s="19" t="str">
        <f t="shared" si="21"/>
        <v>NO</v>
      </c>
      <c r="S152" s="20" t="str">
        <f t="shared" si="22"/>
        <v>NO</v>
      </c>
      <c r="U152" s="23" t="str">
        <f t="shared" si="23"/>
        <v>NO</v>
      </c>
      <c r="W152" s="24" t="str">
        <f t="shared" si="19"/>
        <v>No</v>
      </c>
      <c r="Y152" s="26" t="str">
        <f t="shared" si="24"/>
        <v>No</v>
      </c>
      <c r="AA152" s="27" t="str">
        <f t="shared" si="25"/>
        <v>No</v>
      </c>
      <c r="AD152" s="24" t="str">
        <f t="shared" si="26"/>
        <v>Regular</v>
      </c>
      <c r="AF152" s="28" t="str">
        <f t="shared" si="27"/>
        <v>Discounted</v>
      </c>
    </row>
    <row r="153" spans="1:32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0">
        <v>2924.2</v>
      </c>
      <c r="P153" s="1">
        <f t="shared" si="20"/>
        <v>3249.11</v>
      </c>
      <c r="R153" s="19" t="str">
        <f t="shared" si="21"/>
        <v>NO</v>
      </c>
      <c r="S153" s="20" t="str">
        <f t="shared" si="22"/>
        <v>NO</v>
      </c>
      <c r="U153" s="23" t="str">
        <f t="shared" si="23"/>
        <v>YES</v>
      </c>
      <c r="W153" s="24" t="str">
        <f t="shared" si="19"/>
        <v>No</v>
      </c>
      <c r="Y153" s="26" t="str">
        <f t="shared" si="24"/>
        <v>yes</v>
      </c>
      <c r="AA153" s="27" t="str">
        <f t="shared" si="25"/>
        <v>Yes</v>
      </c>
      <c r="AD153" s="24" t="str">
        <f t="shared" si="26"/>
        <v>Regular</v>
      </c>
      <c r="AF153" s="28" t="str">
        <f t="shared" si="27"/>
        <v>Discounted</v>
      </c>
    </row>
    <row r="154" spans="1:32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0">
        <v>1899.23</v>
      </c>
      <c r="P154" s="1">
        <f t="shared" si="20"/>
        <v>2110.2599999999998</v>
      </c>
      <c r="R154" s="19" t="str">
        <f t="shared" si="21"/>
        <v>NO</v>
      </c>
      <c r="S154" s="20" t="str">
        <f t="shared" si="22"/>
        <v>NO</v>
      </c>
      <c r="U154" s="23" t="str">
        <f t="shared" si="23"/>
        <v>NO</v>
      </c>
      <c r="W154" s="24" t="str">
        <f t="shared" si="19"/>
        <v>No</v>
      </c>
      <c r="Y154" s="26" t="str">
        <f t="shared" si="24"/>
        <v>No</v>
      </c>
      <c r="AA154" s="27" t="str">
        <f t="shared" si="25"/>
        <v>No</v>
      </c>
      <c r="AD154" s="24" t="str">
        <f t="shared" si="26"/>
        <v>Regular</v>
      </c>
      <c r="AF154" s="28" t="str">
        <f t="shared" si="27"/>
        <v>Discounted</v>
      </c>
    </row>
    <row r="155" spans="1:32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0">
        <v>1529.12</v>
      </c>
      <c r="P155" s="1">
        <f t="shared" si="20"/>
        <v>1529.12</v>
      </c>
      <c r="R155" s="19" t="str">
        <f t="shared" si="21"/>
        <v>NO</v>
      </c>
      <c r="S155" s="20" t="str">
        <f t="shared" si="22"/>
        <v>NO</v>
      </c>
      <c r="U155" s="23" t="str">
        <f t="shared" si="23"/>
        <v>YES</v>
      </c>
      <c r="W155" s="24" t="str">
        <f t="shared" si="19"/>
        <v>No</v>
      </c>
      <c r="Y155" s="26" t="str">
        <f t="shared" si="24"/>
        <v>No</v>
      </c>
      <c r="AA155" s="27" t="str">
        <f t="shared" si="25"/>
        <v>No</v>
      </c>
      <c r="AD155" s="24" t="str">
        <f t="shared" si="26"/>
        <v>Regular</v>
      </c>
      <c r="AF155" s="28" t="str">
        <f t="shared" si="27"/>
        <v>Discounted</v>
      </c>
    </row>
    <row r="156" spans="1:32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0">
        <v>4903.3100000000004</v>
      </c>
      <c r="P156" s="1">
        <f t="shared" si="20"/>
        <v>5768.6</v>
      </c>
      <c r="R156" s="19" t="str">
        <f t="shared" si="21"/>
        <v>NO</v>
      </c>
      <c r="S156" s="20" t="str">
        <f t="shared" si="22"/>
        <v>NO</v>
      </c>
      <c r="U156" s="23" t="str">
        <f t="shared" si="23"/>
        <v>NO</v>
      </c>
      <c r="W156" s="24" t="str">
        <f t="shared" si="19"/>
        <v>No</v>
      </c>
      <c r="Y156" s="26" t="str">
        <f t="shared" si="24"/>
        <v>No</v>
      </c>
      <c r="AA156" s="27" t="str">
        <f t="shared" si="25"/>
        <v>No</v>
      </c>
      <c r="AD156" s="24" t="str">
        <f t="shared" si="26"/>
        <v>Regular</v>
      </c>
      <c r="AF156" s="28" t="str">
        <f t="shared" si="27"/>
        <v>Discounted</v>
      </c>
    </row>
    <row r="157" spans="1:32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0">
        <v>2273.12</v>
      </c>
      <c r="P157" s="1">
        <f t="shared" si="20"/>
        <v>2674.2599999999998</v>
      </c>
      <c r="R157" s="19" t="str">
        <f t="shared" si="21"/>
        <v>NO</v>
      </c>
      <c r="S157" s="20" t="str">
        <f t="shared" si="22"/>
        <v>NO</v>
      </c>
      <c r="U157" s="23" t="str">
        <f t="shared" si="23"/>
        <v>YES</v>
      </c>
      <c r="W157" s="24" t="str">
        <f t="shared" si="19"/>
        <v>No</v>
      </c>
      <c r="Y157" s="26" t="str">
        <f t="shared" si="24"/>
        <v>yes</v>
      </c>
      <c r="AA157" s="27" t="str">
        <f t="shared" si="25"/>
        <v>Yes</v>
      </c>
      <c r="AD157" s="24" t="str">
        <f t="shared" si="26"/>
        <v>Regular</v>
      </c>
      <c r="AF157" s="28" t="str">
        <f t="shared" si="27"/>
        <v>Discounted</v>
      </c>
    </row>
    <row r="158" spans="1:32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0">
        <v>8437.84</v>
      </c>
      <c r="P158" s="1">
        <f t="shared" si="20"/>
        <v>8437.84</v>
      </c>
      <c r="R158" s="19" t="str">
        <f t="shared" si="21"/>
        <v>NO</v>
      </c>
      <c r="S158" s="20" t="str">
        <f t="shared" si="22"/>
        <v>NO</v>
      </c>
      <c r="U158" s="23" t="str">
        <f t="shared" si="23"/>
        <v>NO</v>
      </c>
      <c r="W158" s="24" t="str">
        <f t="shared" si="19"/>
        <v>No</v>
      </c>
      <c r="Y158" s="26" t="str">
        <f t="shared" si="24"/>
        <v>No</v>
      </c>
      <c r="AA158" s="27" t="str">
        <f t="shared" si="25"/>
        <v>No</v>
      </c>
      <c r="AD158" s="24" t="str">
        <f t="shared" si="26"/>
        <v>Regular</v>
      </c>
      <c r="AF158" s="28" t="str">
        <f t="shared" si="27"/>
        <v>Discounted</v>
      </c>
    </row>
    <row r="159" spans="1:32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0">
        <v>22753.34</v>
      </c>
      <c r="P159" s="1">
        <f t="shared" si="20"/>
        <v>26768.639999999999</v>
      </c>
      <c r="R159" s="19" t="str">
        <f t="shared" si="21"/>
        <v>YES</v>
      </c>
      <c r="S159" s="20" t="str">
        <f t="shared" si="22"/>
        <v>YES</v>
      </c>
      <c r="U159" s="23" t="str">
        <f t="shared" si="23"/>
        <v>YES</v>
      </c>
      <c r="W159" s="24" t="str">
        <f t="shared" si="19"/>
        <v>No</v>
      </c>
      <c r="Y159" s="26" t="str">
        <f t="shared" si="24"/>
        <v>yes</v>
      </c>
      <c r="AA159" s="27" t="str">
        <f t="shared" si="25"/>
        <v>Yes</v>
      </c>
      <c r="AD159" s="24" t="str">
        <f t="shared" si="26"/>
        <v>Premium</v>
      </c>
      <c r="AF159" s="28" t="str">
        <f t="shared" si="27"/>
        <v>Non Disc</v>
      </c>
    </row>
    <row r="160" spans="1:32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0">
        <v>22804.62</v>
      </c>
      <c r="P160" s="1">
        <f t="shared" si="20"/>
        <v>22804.62</v>
      </c>
      <c r="R160" s="19" t="str">
        <f t="shared" si="21"/>
        <v>YES</v>
      </c>
      <c r="S160" s="20" t="str">
        <f t="shared" si="22"/>
        <v>NO</v>
      </c>
      <c r="U160" s="23" t="str">
        <f t="shared" si="23"/>
        <v>YES</v>
      </c>
      <c r="W160" s="24" t="str">
        <f t="shared" si="19"/>
        <v>No</v>
      </c>
      <c r="Y160" s="26" t="str">
        <f t="shared" si="24"/>
        <v>yes</v>
      </c>
      <c r="AA160" s="27" t="str">
        <f t="shared" si="25"/>
        <v>Yes</v>
      </c>
      <c r="AD160" s="24" t="str">
        <f t="shared" si="26"/>
        <v>Premium</v>
      </c>
      <c r="AF160" s="28" t="str">
        <f t="shared" si="27"/>
        <v>Discounted</v>
      </c>
    </row>
    <row r="161" spans="1:32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0">
        <v>5026.34</v>
      </c>
      <c r="P161" s="1">
        <f t="shared" si="20"/>
        <v>5290.88</v>
      </c>
      <c r="R161" s="19" t="str">
        <f t="shared" si="21"/>
        <v>NO</v>
      </c>
      <c r="S161" s="20" t="str">
        <f t="shared" si="22"/>
        <v>NO</v>
      </c>
      <c r="U161" s="23" t="str">
        <f t="shared" si="23"/>
        <v>YES</v>
      </c>
      <c r="W161" s="24" t="str">
        <f t="shared" si="19"/>
        <v>No</v>
      </c>
      <c r="Y161" s="26" t="str">
        <f t="shared" si="24"/>
        <v>No</v>
      </c>
      <c r="AA161" s="27" t="str">
        <f t="shared" si="25"/>
        <v>No</v>
      </c>
      <c r="AD161" s="24" t="str">
        <f t="shared" si="26"/>
        <v>Regular</v>
      </c>
      <c r="AF161" s="28" t="str">
        <f t="shared" si="27"/>
        <v>Discounted</v>
      </c>
    </row>
    <row r="162" spans="1:32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0">
        <v>8412.41</v>
      </c>
      <c r="P162" s="1">
        <f t="shared" si="20"/>
        <v>9347.1200000000008</v>
      </c>
      <c r="R162" s="19" t="str">
        <f t="shared" si="21"/>
        <v>NO</v>
      </c>
      <c r="S162" s="20" t="str">
        <f t="shared" si="22"/>
        <v>YES</v>
      </c>
      <c r="U162" s="23" t="str">
        <f t="shared" si="23"/>
        <v>YES</v>
      </c>
      <c r="W162" s="24" t="str">
        <f t="shared" si="19"/>
        <v>No</v>
      </c>
      <c r="Y162" s="26" t="str">
        <f t="shared" si="24"/>
        <v>No</v>
      </c>
      <c r="AA162" s="27" t="str">
        <f t="shared" si="25"/>
        <v>No</v>
      </c>
      <c r="AD162" s="24" t="str">
        <f t="shared" si="26"/>
        <v>Regular</v>
      </c>
      <c r="AF162" s="28" t="str">
        <f t="shared" si="27"/>
        <v>Non Disc</v>
      </c>
    </row>
    <row r="163" spans="1:32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0">
        <v>9329.68</v>
      </c>
      <c r="P163" s="1">
        <f t="shared" si="20"/>
        <v>9820.7199999999993</v>
      </c>
      <c r="R163" s="19" t="str">
        <f t="shared" si="21"/>
        <v>NO</v>
      </c>
      <c r="S163" s="20" t="str">
        <f t="shared" si="22"/>
        <v>NO</v>
      </c>
      <c r="U163" s="23" t="str">
        <f t="shared" si="23"/>
        <v>YES</v>
      </c>
      <c r="W163" s="24" t="str">
        <f t="shared" si="19"/>
        <v>No</v>
      </c>
      <c r="Y163" s="26" t="str">
        <f t="shared" si="24"/>
        <v>yes</v>
      </c>
      <c r="AA163" s="27" t="str">
        <f t="shared" si="25"/>
        <v>Yes</v>
      </c>
      <c r="AD163" s="24" t="str">
        <f t="shared" si="26"/>
        <v>Regular</v>
      </c>
      <c r="AF163" s="28" t="str">
        <f t="shared" si="27"/>
        <v>Non Disc</v>
      </c>
    </row>
    <row r="164" spans="1:32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0">
        <v>975.38</v>
      </c>
      <c r="P164" s="1">
        <f t="shared" si="20"/>
        <v>1219.22</v>
      </c>
      <c r="R164" s="19" t="str">
        <f t="shared" si="21"/>
        <v>NO</v>
      </c>
      <c r="S164" s="20" t="str">
        <f t="shared" si="22"/>
        <v>NO</v>
      </c>
      <c r="U164" s="23" t="str">
        <f t="shared" si="23"/>
        <v>NO</v>
      </c>
      <c r="W164" s="24" t="str">
        <f t="shared" si="19"/>
        <v>Special Attention</v>
      </c>
      <c r="Y164" s="26" t="str">
        <f t="shared" si="24"/>
        <v>No</v>
      </c>
      <c r="AA164" s="27" t="str">
        <f t="shared" si="25"/>
        <v>No</v>
      </c>
      <c r="AD164" s="24" t="str">
        <f t="shared" si="26"/>
        <v>Regular</v>
      </c>
      <c r="AF164" s="28" t="str">
        <f t="shared" si="27"/>
        <v>Discounted</v>
      </c>
    </row>
    <row r="165" spans="1:32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0">
        <v>922.66</v>
      </c>
      <c r="P165" s="1">
        <f t="shared" si="20"/>
        <v>1153.32</v>
      </c>
      <c r="R165" s="19" t="str">
        <f t="shared" si="21"/>
        <v>NO</v>
      </c>
      <c r="S165" s="20" t="str">
        <f t="shared" si="22"/>
        <v>NO</v>
      </c>
      <c r="U165" s="23" t="str">
        <f t="shared" si="23"/>
        <v>YES</v>
      </c>
      <c r="W165" s="24" t="str">
        <f t="shared" si="19"/>
        <v>No</v>
      </c>
      <c r="Y165" s="26" t="str">
        <f t="shared" si="24"/>
        <v>yes</v>
      </c>
      <c r="AA165" s="27" t="str">
        <f t="shared" si="25"/>
        <v>Yes</v>
      </c>
      <c r="AD165" s="24" t="str">
        <f t="shared" si="26"/>
        <v>Regular</v>
      </c>
      <c r="AF165" s="28" t="str">
        <f t="shared" si="27"/>
        <v>Discounted</v>
      </c>
    </row>
    <row r="166" spans="1:32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0">
        <v>11899.62</v>
      </c>
      <c r="P166" s="1">
        <f t="shared" si="20"/>
        <v>14874.52</v>
      </c>
      <c r="R166" s="19" t="str">
        <f t="shared" si="21"/>
        <v>NO</v>
      </c>
      <c r="S166" s="20" t="str">
        <f t="shared" si="22"/>
        <v>NO</v>
      </c>
      <c r="U166" s="23" t="str">
        <f t="shared" si="23"/>
        <v>YES</v>
      </c>
      <c r="W166" s="24" t="str">
        <f t="shared" si="19"/>
        <v>No</v>
      </c>
      <c r="Y166" s="26" t="str">
        <f t="shared" si="24"/>
        <v>yes</v>
      </c>
      <c r="AA166" s="27" t="str">
        <f t="shared" si="25"/>
        <v>Yes</v>
      </c>
      <c r="AD166" s="24" t="str">
        <f t="shared" si="26"/>
        <v>Regular</v>
      </c>
      <c r="AF166" s="28" t="str">
        <f t="shared" si="27"/>
        <v>Discounted</v>
      </c>
    </row>
    <row r="167" spans="1:32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0">
        <v>6809.18</v>
      </c>
      <c r="P167" s="1">
        <f t="shared" si="20"/>
        <v>6809.18</v>
      </c>
      <c r="R167" s="19" t="str">
        <f t="shared" si="21"/>
        <v>NO</v>
      </c>
      <c r="S167" s="20" t="str">
        <f t="shared" si="22"/>
        <v>NO</v>
      </c>
      <c r="U167" s="23" t="str">
        <f t="shared" si="23"/>
        <v>NO</v>
      </c>
      <c r="W167" s="24" t="str">
        <f t="shared" si="19"/>
        <v>No</v>
      </c>
      <c r="Y167" s="26" t="str">
        <f t="shared" si="24"/>
        <v>No</v>
      </c>
      <c r="AA167" s="27" t="str">
        <f t="shared" si="25"/>
        <v>No</v>
      </c>
      <c r="AD167" s="24" t="str">
        <f t="shared" si="26"/>
        <v>Regular</v>
      </c>
      <c r="AF167" s="28" t="str">
        <f t="shared" si="27"/>
        <v>Discounted</v>
      </c>
    </row>
    <row r="168" spans="1:32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0">
        <v>10513.77</v>
      </c>
      <c r="P168" s="1">
        <f t="shared" si="20"/>
        <v>12369.14</v>
      </c>
      <c r="R168" s="19" t="str">
        <f t="shared" si="21"/>
        <v>YES</v>
      </c>
      <c r="S168" s="20" t="str">
        <f t="shared" si="22"/>
        <v>NO</v>
      </c>
      <c r="U168" s="23" t="str">
        <f t="shared" si="23"/>
        <v>NO</v>
      </c>
      <c r="W168" s="24" t="str">
        <f t="shared" si="19"/>
        <v>No</v>
      </c>
      <c r="Y168" s="26" t="str">
        <f t="shared" si="24"/>
        <v>No</v>
      </c>
      <c r="AA168" s="27" t="str">
        <f t="shared" si="25"/>
        <v>No</v>
      </c>
      <c r="AD168" s="24" t="str">
        <f t="shared" si="26"/>
        <v>Regular</v>
      </c>
      <c r="AF168" s="28" t="str">
        <f t="shared" si="27"/>
        <v>Discounted</v>
      </c>
    </row>
    <row r="169" spans="1:32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0">
        <v>1423.4</v>
      </c>
      <c r="P169" s="1">
        <f t="shared" si="20"/>
        <v>1498.32</v>
      </c>
      <c r="R169" s="19" t="str">
        <f t="shared" si="21"/>
        <v>NO</v>
      </c>
      <c r="S169" s="20" t="str">
        <f t="shared" si="22"/>
        <v>NO</v>
      </c>
      <c r="U169" s="23" t="str">
        <f t="shared" si="23"/>
        <v>NO</v>
      </c>
      <c r="W169" s="24" t="str">
        <f t="shared" si="19"/>
        <v>No</v>
      </c>
      <c r="Y169" s="26" t="str">
        <f t="shared" si="24"/>
        <v>No</v>
      </c>
      <c r="AA169" s="27" t="str">
        <f t="shared" si="25"/>
        <v>No</v>
      </c>
      <c r="AD169" s="24" t="str">
        <f t="shared" si="26"/>
        <v>Regular</v>
      </c>
      <c r="AF169" s="28" t="str">
        <f t="shared" si="27"/>
        <v>Non Disc</v>
      </c>
    </row>
    <row r="170" spans="1:32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0">
        <v>16402.37</v>
      </c>
      <c r="P170" s="1">
        <f t="shared" si="20"/>
        <v>17265.650000000001</v>
      </c>
      <c r="R170" s="19" t="str">
        <f t="shared" si="21"/>
        <v>NO</v>
      </c>
      <c r="S170" s="20" t="str">
        <f t="shared" si="22"/>
        <v>NO</v>
      </c>
      <c r="U170" s="23" t="str">
        <f t="shared" si="23"/>
        <v>NO</v>
      </c>
      <c r="W170" s="24" t="str">
        <f t="shared" si="19"/>
        <v>No</v>
      </c>
      <c r="Y170" s="26" t="str">
        <f t="shared" si="24"/>
        <v>No</v>
      </c>
      <c r="AA170" s="27" t="str">
        <f t="shared" si="25"/>
        <v>No</v>
      </c>
      <c r="AD170" s="24" t="str">
        <f t="shared" si="26"/>
        <v>Regular</v>
      </c>
      <c r="AF170" s="28" t="str">
        <f t="shared" si="27"/>
        <v>Discounted</v>
      </c>
    </row>
    <row r="171" spans="1:32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0">
        <v>19716.98</v>
      </c>
      <c r="P171" s="1">
        <f t="shared" si="20"/>
        <v>20754.72</v>
      </c>
      <c r="R171" s="19" t="str">
        <f t="shared" si="21"/>
        <v>YES</v>
      </c>
      <c r="S171" s="20" t="str">
        <f t="shared" si="22"/>
        <v>NO</v>
      </c>
      <c r="U171" s="23" t="str">
        <f t="shared" si="23"/>
        <v>YES</v>
      </c>
      <c r="W171" s="24" t="str">
        <f t="shared" si="19"/>
        <v>No</v>
      </c>
      <c r="Y171" s="26" t="str">
        <f t="shared" si="24"/>
        <v>yes</v>
      </c>
      <c r="AA171" s="27" t="str">
        <f t="shared" si="25"/>
        <v>Yes</v>
      </c>
      <c r="AD171" s="24" t="str">
        <f t="shared" si="26"/>
        <v>Regular</v>
      </c>
      <c r="AF171" s="28" t="str">
        <f t="shared" si="27"/>
        <v>Discounted</v>
      </c>
    </row>
    <row r="172" spans="1:32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0">
        <v>28842.080000000002</v>
      </c>
      <c r="P172" s="1">
        <f t="shared" si="20"/>
        <v>30360.080000000002</v>
      </c>
      <c r="R172" s="19" t="str">
        <f t="shared" si="21"/>
        <v>YES</v>
      </c>
      <c r="S172" s="20" t="str">
        <f t="shared" si="22"/>
        <v>NO</v>
      </c>
      <c r="U172" s="23" t="str">
        <f t="shared" si="23"/>
        <v>YES</v>
      </c>
      <c r="W172" s="24" t="str">
        <f t="shared" si="19"/>
        <v>No</v>
      </c>
      <c r="Y172" s="26" t="str">
        <f t="shared" si="24"/>
        <v>yes</v>
      </c>
      <c r="AA172" s="27" t="str">
        <f t="shared" si="25"/>
        <v>Yes</v>
      </c>
      <c r="AD172" s="24" t="str">
        <f t="shared" si="26"/>
        <v>Regular</v>
      </c>
      <c r="AF172" s="28" t="str">
        <f t="shared" si="27"/>
        <v>Non Disc</v>
      </c>
    </row>
    <row r="173" spans="1:32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0">
        <v>22746.38</v>
      </c>
      <c r="P173" s="1">
        <f t="shared" si="20"/>
        <v>28432.98</v>
      </c>
      <c r="R173" s="19" t="str">
        <f t="shared" si="21"/>
        <v>YES</v>
      </c>
      <c r="S173" s="20" t="str">
        <f t="shared" si="22"/>
        <v>YES</v>
      </c>
      <c r="U173" s="23" t="str">
        <f t="shared" si="23"/>
        <v>YES</v>
      </c>
      <c r="W173" s="24" t="str">
        <f t="shared" si="19"/>
        <v>No</v>
      </c>
      <c r="Y173" s="26" t="str">
        <f t="shared" si="24"/>
        <v>No</v>
      </c>
      <c r="AA173" s="27" t="str">
        <f t="shared" si="25"/>
        <v>No</v>
      </c>
      <c r="AD173" s="24" t="str">
        <f t="shared" si="26"/>
        <v>Premium</v>
      </c>
      <c r="AF173" s="28" t="str">
        <f t="shared" si="27"/>
        <v>Non Disc</v>
      </c>
    </row>
    <row r="174" spans="1:32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0">
        <v>3869.64</v>
      </c>
      <c r="P174" s="1">
        <f t="shared" si="20"/>
        <v>4073.31</v>
      </c>
      <c r="R174" s="19" t="str">
        <f t="shared" si="21"/>
        <v>NO</v>
      </c>
      <c r="S174" s="20" t="str">
        <f t="shared" si="22"/>
        <v>NO</v>
      </c>
      <c r="U174" s="23" t="str">
        <f t="shared" si="23"/>
        <v>YES</v>
      </c>
      <c r="W174" s="24" t="str">
        <f t="shared" si="19"/>
        <v>No</v>
      </c>
      <c r="Y174" s="26" t="str">
        <f t="shared" si="24"/>
        <v>yes</v>
      </c>
      <c r="AA174" s="27" t="str">
        <f t="shared" si="25"/>
        <v>Yes</v>
      </c>
      <c r="AD174" s="24" t="str">
        <f t="shared" si="26"/>
        <v>Regular</v>
      </c>
      <c r="AF174" s="28" t="str">
        <f t="shared" si="27"/>
        <v>Discounted</v>
      </c>
    </row>
    <row r="175" spans="1:32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0">
        <v>2815.99</v>
      </c>
      <c r="P175" s="1">
        <f t="shared" si="20"/>
        <v>3312.93</v>
      </c>
      <c r="R175" s="19" t="str">
        <f t="shared" si="21"/>
        <v>NO</v>
      </c>
      <c r="S175" s="20" t="str">
        <f t="shared" si="22"/>
        <v>NO</v>
      </c>
      <c r="U175" s="23" t="str">
        <f t="shared" si="23"/>
        <v>NO</v>
      </c>
      <c r="W175" s="24" t="str">
        <f t="shared" si="19"/>
        <v>No</v>
      </c>
      <c r="Y175" s="26" t="str">
        <f t="shared" si="24"/>
        <v>No</v>
      </c>
      <c r="AA175" s="27" t="str">
        <f t="shared" si="25"/>
        <v>No</v>
      </c>
      <c r="AD175" s="24" t="str">
        <f t="shared" si="26"/>
        <v>Regular</v>
      </c>
      <c r="AF175" s="28" t="str">
        <f t="shared" si="27"/>
        <v>Discounted</v>
      </c>
    </row>
    <row r="176" spans="1:32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0">
        <v>9075.8700000000008</v>
      </c>
      <c r="P176" s="1">
        <f t="shared" si="20"/>
        <v>11344.84</v>
      </c>
      <c r="R176" s="19" t="str">
        <f t="shared" si="21"/>
        <v>NO</v>
      </c>
      <c r="S176" s="20" t="str">
        <f t="shared" si="22"/>
        <v>NO</v>
      </c>
      <c r="U176" s="23" t="str">
        <f t="shared" si="23"/>
        <v>YES</v>
      </c>
      <c r="W176" s="24" t="str">
        <f t="shared" si="19"/>
        <v>No</v>
      </c>
      <c r="Y176" s="26" t="str">
        <f t="shared" si="24"/>
        <v>No</v>
      </c>
      <c r="AA176" s="27" t="str">
        <f t="shared" si="25"/>
        <v>No</v>
      </c>
      <c r="AD176" s="24" t="str">
        <f t="shared" si="26"/>
        <v>Regular</v>
      </c>
      <c r="AF176" s="28" t="str">
        <f t="shared" si="27"/>
        <v>Discounted</v>
      </c>
    </row>
    <row r="177" spans="1:32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0">
        <v>7371.19</v>
      </c>
      <c r="P177" s="1">
        <f t="shared" si="20"/>
        <v>7759.15</v>
      </c>
      <c r="R177" s="19" t="str">
        <f t="shared" si="21"/>
        <v>NO</v>
      </c>
      <c r="S177" s="20" t="str">
        <f t="shared" si="22"/>
        <v>NO</v>
      </c>
      <c r="U177" s="23" t="str">
        <f t="shared" si="23"/>
        <v>NO</v>
      </c>
      <c r="W177" s="24" t="str">
        <f t="shared" si="19"/>
        <v>No</v>
      </c>
      <c r="Y177" s="26" t="str">
        <f t="shared" si="24"/>
        <v>No</v>
      </c>
      <c r="AA177" s="27" t="str">
        <f t="shared" si="25"/>
        <v>No</v>
      </c>
      <c r="AD177" s="24" t="str">
        <f t="shared" si="26"/>
        <v>Regular</v>
      </c>
      <c r="AF177" s="28" t="str">
        <f t="shared" si="27"/>
        <v>Discounted</v>
      </c>
    </row>
    <row r="178" spans="1:32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0">
        <v>2329.9299999999998</v>
      </c>
      <c r="P178" s="1">
        <f t="shared" si="20"/>
        <v>2329.9299999999998</v>
      </c>
      <c r="R178" s="19" t="str">
        <f t="shared" si="21"/>
        <v>NO</v>
      </c>
      <c r="S178" s="20" t="str">
        <f t="shared" si="22"/>
        <v>NO</v>
      </c>
      <c r="U178" s="23" t="str">
        <f t="shared" si="23"/>
        <v>YES</v>
      </c>
      <c r="W178" s="24" t="str">
        <f t="shared" si="19"/>
        <v>No</v>
      </c>
      <c r="Y178" s="26" t="str">
        <f t="shared" si="24"/>
        <v>yes</v>
      </c>
      <c r="AA178" s="27" t="str">
        <f t="shared" si="25"/>
        <v>Yes</v>
      </c>
      <c r="AD178" s="24" t="str">
        <f t="shared" si="26"/>
        <v>Regular</v>
      </c>
      <c r="AF178" s="28" t="str">
        <f t="shared" si="27"/>
        <v>Discounted</v>
      </c>
    </row>
    <row r="179" spans="1:32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0">
        <v>1096.77</v>
      </c>
      <c r="P179" s="1">
        <f t="shared" si="20"/>
        <v>1218.6300000000001</v>
      </c>
      <c r="R179" s="19" t="str">
        <f t="shared" si="21"/>
        <v>NO</v>
      </c>
      <c r="S179" s="20" t="str">
        <f t="shared" si="22"/>
        <v>NO</v>
      </c>
      <c r="U179" s="23" t="str">
        <f t="shared" si="23"/>
        <v>YES</v>
      </c>
      <c r="W179" s="24" t="str">
        <f t="shared" si="19"/>
        <v>No</v>
      </c>
      <c r="Y179" s="26" t="str">
        <f t="shared" si="24"/>
        <v>No</v>
      </c>
      <c r="AA179" s="27" t="str">
        <f t="shared" si="25"/>
        <v>No</v>
      </c>
      <c r="AD179" s="24" t="str">
        <f t="shared" si="26"/>
        <v>Regular</v>
      </c>
      <c r="AF179" s="28" t="str">
        <f t="shared" si="27"/>
        <v>Discounted</v>
      </c>
    </row>
    <row r="180" spans="1:32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0">
        <v>3144.91</v>
      </c>
      <c r="P180" s="1">
        <f t="shared" si="20"/>
        <v>3494.34</v>
      </c>
      <c r="R180" s="19" t="str">
        <f t="shared" si="21"/>
        <v>NO</v>
      </c>
      <c r="S180" s="20" t="str">
        <f t="shared" si="22"/>
        <v>YES</v>
      </c>
      <c r="U180" s="23" t="str">
        <f t="shared" si="23"/>
        <v>NO</v>
      </c>
      <c r="W180" s="24" t="str">
        <f t="shared" si="19"/>
        <v>No</v>
      </c>
      <c r="Y180" s="26" t="str">
        <f t="shared" si="24"/>
        <v>No</v>
      </c>
      <c r="AA180" s="27" t="str">
        <f t="shared" si="25"/>
        <v>No</v>
      </c>
      <c r="AD180" s="24" t="str">
        <f t="shared" si="26"/>
        <v>Regular</v>
      </c>
      <c r="AF180" s="28" t="str">
        <f t="shared" si="27"/>
        <v>Non Disc</v>
      </c>
    </row>
    <row r="181" spans="1:32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0">
        <v>15920.42</v>
      </c>
      <c r="P181" s="1">
        <f t="shared" si="20"/>
        <v>17689.36</v>
      </c>
      <c r="R181" s="19" t="str">
        <f t="shared" si="21"/>
        <v>YES</v>
      </c>
      <c r="S181" s="20" t="str">
        <f t="shared" si="22"/>
        <v>YES</v>
      </c>
      <c r="U181" s="23" t="str">
        <f t="shared" si="23"/>
        <v>YES</v>
      </c>
      <c r="W181" s="24" t="str">
        <f t="shared" si="19"/>
        <v>No</v>
      </c>
      <c r="Y181" s="26" t="str">
        <f t="shared" si="24"/>
        <v>No</v>
      </c>
      <c r="AA181" s="27" t="str">
        <f t="shared" si="25"/>
        <v>No</v>
      </c>
      <c r="AD181" s="24" t="str">
        <f t="shared" si="26"/>
        <v>Regular</v>
      </c>
      <c r="AF181" s="28" t="str">
        <f t="shared" si="27"/>
        <v>Non Disc</v>
      </c>
    </row>
    <row r="182" spans="1:32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0">
        <v>9317.52</v>
      </c>
      <c r="P182" s="1">
        <f t="shared" si="20"/>
        <v>11646.900000000001</v>
      </c>
      <c r="R182" s="19" t="str">
        <f t="shared" si="21"/>
        <v>NO</v>
      </c>
      <c r="S182" s="20" t="str">
        <f t="shared" si="22"/>
        <v>NO</v>
      </c>
      <c r="U182" s="23" t="str">
        <f t="shared" si="23"/>
        <v>YES</v>
      </c>
      <c r="W182" s="24" t="str">
        <f t="shared" si="19"/>
        <v>No</v>
      </c>
      <c r="Y182" s="26" t="str">
        <f t="shared" si="24"/>
        <v>No</v>
      </c>
      <c r="AA182" s="27" t="str">
        <f t="shared" si="25"/>
        <v>No</v>
      </c>
      <c r="AD182" s="24" t="str">
        <f t="shared" si="26"/>
        <v>Regular</v>
      </c>
      <c r="AF182" s="28" t="str">
        <f t="shared" si="27"/>
        <v>Discounted</v>
      </c>
    </row>
    <row r="183" spans="1:32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0">
        <v>11563.74</v>
      </c>
      <c r="P183" s="1">
        <f t="shared" si="20"/>
        <v>12172.36</v>
      </c>
      <c r="R183" s="19" t="str">
        <f t="shared" si="21"/>
        <v>NO</v>
      </c>
      <c r="S183" s="20" t="str">
        <f t="shared" si="22"/>
        <v>NO</v>
      </c>
      <c r="U183" s="23" t="str">
        <f t="shared" si="23"/>
        <v>YES</v>
      </c>
      <c r="W183" s="24" t="str">
        <f t="shared" si="19"/>
        <v>No</v>
      </c>
      <c r="Y183" s="26" t="str">
        <f t="shared" si="24"/>
        <v>yes</v>
      </c>
      <c r="AA183" s="27" t="str">
        <f t="shared" si="25"/>
        <v>Yes</v>
      </c>
      <c r="AD183" s="24" t="str">
        <f t="shared" si="26"/>
        <v>Regular</v>
      </c>
      <c r="AF183" s="28" t="str">
        <f t="shared" si="27"/>
        <v>Discounted</v>
      </c>
    </row>
    <row r="184" spans="1:32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0">
        <v>3685.19</v>
      </c>
      <c r="P184" s="1">
        <f t="shared" si="20"/>
        <v>4606.4900000000007</v>
      </c>
      <c r="R184" s="19" t="str">
        <f t="shared" si="21"/>
        <v>NO</v>
      </c>
      <c r="S184" s="20" t="str">
        <f t="shared" si="22"/>
        <v>NO</v>
      </c>
      <c r="U184" s="23" t="str">
        <f t="shared" si="23"/>
        <v>NO</v>
      </c>
      <c r="W184" s="24" t="str">
        <f t="shared" si="19"/>
        <v>No</v>
      </c>
      <c r="Y184" s="26" t="str">
        <f t="shared" si="24"/>
        <v>No</v>
      </c>
      <c r="AA184" s="27" t="str">
        <f t="shared" si="25"/>
        <v>No</v>
      </c>
      <c r="AD184" s="24" t="str">
        <f t="shared" si="26"/>
        <v>Regular</v>
      </c>
      <c r="AF184" s="28" t="str">
        <f t="shared" si="27"/>
        <v>Discounted</v>
      </c>
    </row>
    <row r="185" spans="1:32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0">
        <v>9034.44</v>
      </c>
      <c r="P185" s="1">
        <f t="shared" si="20"/>
        <v>10628.75</v>
      </c>
      <c r="R185" s="19" t="str">
        <f t="shared" si="21"/>
        <v>NO</v>
      </c>
      <c r="S185" s="20" t="str">
        <f t="shared" si="22"/>
        <v>NO</v>
      </c>
      <c r="U185" s="23" t="str">
        <f t="shared" si="23"/>
        <v>YES</v>
      </c>
      <c r="W185" s="24" t="str">
        <f t="shared" si="19"/>
        <v>No</v>
      </c>
      <c r="Y185" s="26" t="str">
        <f t="shared" si="24"/>
        <v>No</v>
      </c>
      <c r="AA185" s="27" t="str">
        <f t="shared" si="25"/>
        <v>No</v>
      </c>
      <c r="AD185" s="24" t="str">
        <f t="shared" si="26"/>
        <v>Regular</v>
      </c>
      <c r="AF185" s="28" t="str">
        <f t="shared" si="27"/>
        <v>Discounted</v>
      </c>
    </row>
    <row r="186" spans="1:32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0">
        <v>6290.34</v>
      </c>
      <c r="P186" s="1">
        <f t="shared" si="20"/>
        <v>6290.34</v>
      </c>
      <c r="R186" s="19" t="str">
        <f t="shared" si="21"/>
        <v>NO</v>
      </c>
      <c r="S186" s="20" t="str">
        <f t="shared" si="22"/>
        <v>NO</v>
      </c>
      <c r="U186" s="23" t="str">
        <f t="shared" si="23"/>
        <v>YES</v>
      </c>
      <c r="W186" s="24" t="str">
        <f t="shared" ref="W186:W249" si="28">IF(AND(L186&lt;3,O186&lt;=1000),"Special Attention","No")</f>
        <v>No</v>
      </c>
      <c r="Y186" s="26" t="str">
        <f t="shared" si="24"/>
        <v>No</v>
      </c>
      <c r="AA186" s="27" t="str">
        <f t="shared" si="25"/>
        <v>No</v>
      </c>
      <c r="AD186" s="24" t="str">
        <f t="shared" si="26"/>
        <v>Regular</v>
      </c>
      <c r="AF186" s="28" t="str">
        <f t="shared" si="27"/>
        <v>Discounted</v>
      </c>
    </row>
    <row r="187" spans="1:32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0">
        <v>508.81</v>
      </c>
      <c r="P187" s="1">
        <f t="shared" si="20"/>
        <v>508.81</v>
      </c>
      <c r="R187" s="19" t="str">
        <f t="shared" si="21"/>
        <v>NO</v>
      </c>
      <c r="S187" s="20" t="str">
        <f t="shared" si="22"/>
        <v>NO</v>
      </c>
      <c r="U187" s="23" t="str">
        <f t="shared" si="23"/>
        <v>NO</v>
      </c>
      <c r="W187" s="24" t="str">
        <f t="shared" si="28"/>
        <v>Special Attention</v>
      </c>
      <c r="Y187" s="26" t="str">
        <f t="shared" si="24"/>
        <v>No</v>
      </c>
      <c r="AA187" s="27" t="str">
        <f t="shared" si="25"/>
        <v>No</v>
      </c>
      <c r="AD187" s="24" t="str">
        <f t="shared" si="26"/>
        <v>Regular</v>
      </c>
      <c r="AF187" s="28" t="str">
        <f t="shared" si="27"/>
        <v>Discounted</v>
      </c>
    </row>
    <row r="188" spans="1:32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0">
        <v>1557.37</v>
      </c>
      <c r="P188" s="1">
        <f t="shared" si="20"/>
        <v>1730.41</v>
      </c>
      <c r="R188" s="19" t="str">
        <f t="shared" si="21"/>
        <v>NO</v>
      </c>
      <c r="S188" s="20" t="str">
        <f t="shared" si="22"/>
        <v>NO</v>
      </c>
      <c r="U188" s="23" t="str">
        <f t="shared" si="23"/>
        <v>YES</v>
      </c>
      <c r="W188" s="24" t="str">
        <f t="shared" si="28"/>
        <v>No</v>
      </c>
      <c r="Y188" s="26" t="str">
        <f t="shared" si="24"/>
        <v>No</v>
      </c>
      <c r="AA188" s="27" t="str">
        <f t="shared" si="25"/>
        <v>No</v>
      </c>
      <c r="AD188" s="24" t="str">
        <f t="shared" si="26"/>
        <v>Regular</v>
      </c>
      <c r="AF188" s="28" t="str">
        <f t="shared" si="27"/>
        <v>Discounted</v>
      </c>
    </row>
    <row r="189" spans="1:32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0">
        <v>2102.89</v>
      </c>
      <c r="P189" s="1">
        <f t="shared" si="20"/>
        <v>2336.5500000000002</v>
      </c>
      <c r="R189" s="19" t="str">
        <f t="shared" si="21"/>
        <v>NO</v>
      </c>
      <c r="S189" s="20" t="str">
        <f t="shared" si="22"/>
        <v>NO</v>
      </c>
      <c r="U189" s="23" t="str">
        <f t="shared" si="23"/>
        <v>YES</v>
      </c>
      <c r="W189" s="24" t="str">
        <f t="shared" si="28"/>
        <v>No</v>
      </c>
      <c r="Y189" s="26" t="str">
        <f t="shared" si="24"/>
        <v>No</v>
      </c>
      <c r="AA189" s="27" t="str">
        <f t="shared" si="25"/>
        <v>No</v>
      </c>
      <c r="AD189" s="24" t="str">
        <f t="shared" si="26"/>
        <v>Regular</v>
      </c>
      <c r="AF189" s="28" t="str">
        <f t="shared" si="27"/>
        <v>Discounted</v>
      </c>
    </row>
    <row r="190" spans="1:32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0">
        <v>1806.95</v>
      </c>
      <c r="P190" s="1">
        <f t="shared" si="20"/>
        <v>2007.72</v>
      </c>
      <c r="R190" s="19" t="str">
        <f t="shared" si="21"/>
        <v>NO</v>
      </c>
      <c r="S190" s="20" t="str">
        <f t="shared" si="22"/>
        <v>NO</v>
      </c>
      <c r="U190" s="23" t="str">
        <f t="shared" si="23"/>
        <v>YES</v>
      </c>
      <c r="W190" s="24" t="str">
        <f t="shared" si="28"/>
        <v>No</v>
      </c>
      <c r="Y190" s="26" t="str">
        <f t="shared" si="24"/>
        <v>No</v>
      </c>
      <c r="AA190" s="27" t="str">
        <f t="shared" si="25"/>
        <v>No</v>
      </c>
      <c r="AD190" s="24" t="str">
        <f t="shared" si="26"/>
        <v>Regular</v>
      </c>
      <c r="AF190" s="28" t="str">
        <f t="shared" si="27"/>
        <v>Discounted</v>
      </c>
    </row>
    <row r="191" spans="1:32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0">
        <v>2607.92</v>
      </c>
      <c r="P191" s="1">
        <f t="shared" si="20"/>
        <v>2745.18</v>
      </c>
      <c r="R191" s="19" t="str">
        <f t="shared" si="21"/>
        <v>NO</v>
      </c>
      <c r="S191" s="20" t="str">
        <f t="shared" si="22"/>
        <v>NO</v>
      </c>
      <c r="U191" s="23" t="str">
        <f t="shared" si="23"/>
        <v>NO</v>
      </c>
      <c r="W191" s="24" t="str">
        <f t="shared" si="28"/>
        <v>No</v>
      </c>
      <c r="Y191" s="26" t="str">
        <f t="shared" si="24"/>
        <v>No</v>
      </c>
      <c r="AA191" s="27" t="str">
        <f t="shared" si="25"/>
        <v>No</v>
      </c>
      <c r="AD191" s="24" t="str">
        <f t="shared" si="26"/>
        <v>Regular</v>
      </c>
      <c r="AF191" s="28" t="str">
        <f t="shared" si="27"/>
        <v>Discounted</v>
      </c>
    </row>
    <row r="192" spans="1:32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0">
        <v>6834.47</v>
      </c>
      <c r="P192" s="1">
        <f t="shared" si="20"/>
        <v>8040.5500000000011</v>
      </c>
      <c r="R192" s="19" t="str">
        <f t="shared" si="21"/>
        <v>NO</v>
      </c>
      <c r="S192" s="20" t="str">
        <f t="shared" si="22"/>
        <v>NO</v>
      </c>
      <c r="U192" s="23" t="str">
        <f t="shared" si="23"/>
        <v>NO</v>
      </c>
      <c r="W192" s="24" t="str">
        <f t="shared" si="28"/>
        <v>No</v>
      </c>
      <c r="Y192" s="26" t="str">
        <f t="shared" si="24"/>
        <v>No</v>
      </c>
      <c r="AA192" s="27" t="str">
        <f t="shared" si="25"/>
        <v>No</v>
      </c>
      <c r="AD192" s="24" t="str">
        <f t="shared" si="26"/>
        <v>Regular</v>
      </c>
      <c r="AF192" s="28" t="str">
        <f t="shared" si="27"/>
        <v>Discounted</v>
      </c>
    </row>
    <row r="193" spans="1:32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0">
        <v>828.29</v>
      </c>
      <c r="P193" s="1">
        <f t="shared" si="20"/>
        <v>974.46</v>
      </c>
      <c r="R193" s="19" t="str">
        <f t="shared" si="21"/>
        <v>NO</v>
      </c>
      <c r="S193" s="20" t="str">
        <f t="shared" si="22"/>
        <v>NO</v>
      </c>
      <c r="U193" s="23" t="str">
        <f t="shared" si="23"/>
        <v>NO</v>
      </c>
      <c r="W193" s="24" t="str">
        <f t="shared" si="28"/>
        <v>Special Attention</v>
      </c>
      <c r="Y193" s="26" t="str">
        <f t="shared" si="24"/>
        <v>No</v>
      </c>
      <c r="AA193" s="27" t="str">
        <f t="shared" si="25"/>
        <v>No</v>
      </c>
      <c r="AD193" s="24" t="str">
        <f t="shared" si="26"/>
        <v>Regular</v>
      </c>
      <c r="AF193" s="28" t="str">
        <f t="shared" si="27"/>
        <v>Discounted</v>
      </c>
    </row>
    <row r="194" spans="1:32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0">
        <v>1687.01</v>
      </c>
      <c r="P194" s="1">
        <f t="shared" si="20"/>
        <v>1984.72</v>
      </c>
      <c r="R194" s="19" t="str">
        <f t="shared" si="21"/>
        <v>NO</v>
      </c>
      <c r="S194" s="20" t="str">
        <f t="shared" si="22"/>
        <v>NO</v>
      </c>
      <c r="U194" s="23" t="str">
        <f t="shared" si="23"/>
        <v>NO</v>
      </c>
      <c r="W194" s="24" t="str">
        <f t="shared" si="28"/>
        <v>No</v>
      </c>
      <c r="Y194" s="26" t="str">
        <f t="shared" si="24"/>
        <v>No</v>
      </c>
      <c r="AA194" s="27" t="str">
        <f t="shared" si="25"/>
        <v>No</v>
      </c>
      <c r="AD194" s="24" t="str">
        <f t="shared" si="26"/>
        <v>Regular</v>
      </c>
      <c r="AF194" s="28" t="str">
        <f t="shared" si="27"/>
        <v>Discounted</v>
      </c>
    </row>
    <row r="195" spans="1:32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0">
        <v>1519.82</v>
      </c>
      <c r="P195" s="1">
        <f t="shared" ref="P195:P258" si="29">L195*M195</f>
        <v>1788.02</v>
      </c>
      <c r="R195" s="19" t="str">
        <f t="shared" ref="R195:R258" si="30">IF(AND(L195&gt;5,O195&gt;10000),"YES","NO")</f>
        <v>NO</v>
      </c>
      <c r="S195" s="20" t="str">
        <f t="shared" ref="S195:S258" si="31">IF(AND(L195&gt;=8,N195&gt;=10),"YES","NO")</f>
        <v>NO</v>
      </c>
      <c r="U195" s="23" t="str">
        <f t="shared" ref="U195:U258" si="32">IF(OR(G195="Mobile App",G195="Website"),"YES","NO")</f>
        <v>YES</v>
      </c>
      <c r="W195" s="24" t="str">
        <f t="shared" si="28"/>
        <v>No</v>
      </c>
      <c r="Y195" s="26" t="str">
        <f t="shared" ref="Y195:Y258" si="33">IF(NOT(G195="Website"),"No","yes")</f>
        <v>yes</v>
      </c>
      <c r="AA195" s="27" t="str">
        <f t="shared" ref="AA195:AA258" si="34">IF(G195&lt;&gt;"Website","No","Yes")</f>
        <v>Yes</v>
      </c>
      <c r="AD195" s="24" t="str">
        <f t="shared" ref="AD195:AD258" si="35">IF(AND(O195&gt;15000,OR(I195="Electronics",I195="Beauty")),"Premium","Regular")</f>
        <v>Regular</v>
      </c>
      <c r="AF195" s="28" t="str">
        <f t="shared" ref="AF195:AF258" si="36">IF(AND(L195&gt;=8,N195&lt;&gt;0),"Non Disc","Discounted")</f>
        <v>Discounted</v>
      </c>
    </row>
    <row r="196" spans="1:32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0">
        <v>1861.11</v>
      </c>
      <c r="P196" s="1">
        <f t="shared" si="29"/>
        <v>2067.8999999999996</v>
      </c>
      <c r="R196" s="19" t="str">
        <f t="shared" si="30"/>
        <v>NO</v>
      </c>
      <c r="S196" s="20" t="str">
        <f t="shared" si="31"/>
        <v>NO</v>
      </c>
      <c r="U196" s="23" t="str">
        <f t="shared" si="32"/>
        <v>YES</v>
      </c>
      <c r="W196" s="24" t="str">
        <f t="shared" si="28"/>
        <v>No</v>
      </c>
      <c r="Y196" s="26" t="str">
        <f t="shared" si="33"/>
        <v>No</v>
      </c>
      <c r="AA196" s="27" t="str">
        <f t="shared" si="34"/>
        <v>No</v>
      </c>
      <c r="AD196" s="24" t="str">
        <f t="shared" si="35"/>
        <v>Regular</v>
      </c>
      <c r="AF196" s="28" t="str">
        <f t="shared" si="36"/>
        <v>Discounted</v>
      </c>
    </row>
    <row r="197" spans="1:32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0">
        <v>20494.88</v>
      </c>
      <c r="P197" s="1">
        <f t="shared" si="29"/>
        <v>20494.88</v>
      </c>
      <c r="R197" s="19" t="str">
        <f t="shared" si="30"/>
        <v>YES</v>
      </c>
      <c r="S197" s="20" t="str">
        <f t="shared" si="31"/>
        <v>NO</v>
      </c>
      <c r="U197" s="23" t="str">
        <f t="shared" si="32"/>
        <v>NO</v>
      </c>
      <c r="W197" s="24" t="str">
        <f t="shared" si="28"/>
        <v>No</v>
      </c>
      <c r="Y197" s="26" t="str">
        <f t="shared" si="33"/>
        <v>No</v>
      </c>
      <c r="AA197" s="27" t="str">
        <f t="shared" si="34"/>
        <v>No</v>
      </c>
      <c r="AD197" s="24" t="str">
        <f t="shared" si="35"/>
        <v>Premium</v>
      </c>
      <c r="AF197" s="28" t="str">
        <f t="shared" si="36"/>
        <v>Discounted</v>
      </c>
    </row>
    <row r="198" spans="1:32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0">
        <v>4522.3599999999997</v>
      </c>
      <c r="P198" s="1">
        <f t="shared" si="29"/>
        <v>5024.84</v>
      </c>
      <c r="R198" s="19" t="str">
        <f t="shared" si="30"/>
        <v>NO</v>
      </c>
      <c r="S198" s="20" t="str">
        <f t="shared" si="31"/>
        <v>NO</v>
      </c>
      <c r="U198" s="23" t="str">
        <f t="shared" si="32"/>
        <v>YES</v>
      </c>
      <c r="W198" s="24" t="str">
        <f t="shared" si="28"/>
        <v>No</v>
      </c>
      <c r="Y198" s="26" t="str">
        <f t="shared" si="33"/>
        <v>No</v>
      </c>
      <c r="AA198" s="27" t="str">
        <f t="shared" si="34"/>
        <v>No</v>
      </c>
      <c r="AD198" s="24" t="str">
        <f t="shared" si="35"/>
        <v>Regular</v>
      </c>
      <c r="AF198" s="28" t="str">
        <f t="shared" si="36"/>
        <v>Discounted</v>
      </c>
    </row>
    <row r="199" spans="1:32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0">
        <v>5214.84</v>
      </c>
      <c r="P199" s="1">
        <f t="shared" si="29"/>
        <v>6135.1</v>
      </c>
      <c r="R199" s="19" t="str">
        <f t="shared" si="30"/>
        <v>NO</v>
      </c>
      <c r="S199" s="20" t="str">
        <f t="shared" si="31"/>
        <v>NO</v>
      </c>
      <c r="U199" s="23" t="str">
        <f t="shared" si="32"/>
        <v>YES</v>
      </c>
      <c r="W199" s="24" t="str">
        <f t="shared" si="28"/>
        <v>No</v>
      </c>
      <c r="Y199" s="26" t="str">
        <f t="shared" si="33"/>
        <v>No</v>
      </c>
      <c r="AA199" s="27" t="str">
        <f t="shared" si="34"/>
        <v>No</v>
      </c>
      <c r="AD199" s="24" t="str">
        <f t="shared" si="35"/>
        <v>Regular</v>
      </c>
      <c r="AF199" s="28" t="str">
        <f t="shared" si="36"/>
        <v>Discounted</v>
      </c>
    </row>
    <row r="200" spans="1:32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0">
        <v>5141.4799999999996</v>
      </c>
      <c r="P200" s="1">
        <f t="shared" si="29"/>
        <v>5712.76</v>
      </c>
      <c r="R200" s="19" t="str">
        <f t="shared" si="30"/>
        <v>NO</v>
      </c>
      <c r="S200" s="20" t="str">
        <f t="shared" si="31"/>
        <v>NO</v>
      </c>
      <c r="U200" s="23" t="str">
        <f t="shared" si="32"/>
        <v>YES</v>
      </c>
      <c r="W200" s="24" t="str">
        <f t="shared" si="28"/>
        <v>No</v>
      </c>
      <c r="Y200" s="26" t="str">
        <f t="shared" si="33"/>
        <v>yes</v>
      </c>
      <c r="AA200" s="27" t="str">
        <f t="shared" si="34"/>
        <v>Yes</v>
      </c>
      <c r="AD200" s="24" t="str">
        <f t="shared" si="35"/>
        <v>Regular</v>
      </c>
      <c r="AF200" s="28" t="str">
        <f t="shared" si="36"/>
        <v>Discounted</v>
      </c>
    </row>
    <row r="201" spans="1:32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0">
        <v>6889.51</v>
      </c>
      <c r="P201" s="1">
        <f t="shared" si="29"/>
        <v>8105.3099999999995</v>
      </c>
      <c r="R201" s="19" t="str">
        <f t="shared" si="30"/>
        <v>NO</v>
      </c>
      <c r="S201" s="20" t="str">
        <f t="shared" si="31"/>
        <v>NO</v>
      </c>
      <c r="U201" s="23" t="str">
        <f t="shared" si="32"/>
        <v>NO</v>
      </c>
      <c r="W201" s="24" t="str">
        <f t="shared" si="28"/>
        <v>No</v>
      </c>
      <c r="Y201" s="26" t="str">
        <f t="shared" si="33"/>
        <v>No</v>
      </c>
      <c r="AA201" s="27" t="str">
        <f t="shared" si="34"/>
        <v>No</v>
      </c>
      <c r="AD201" s="24" t="str">
        <f t="shared" si="35"/>
        <v>Regular</v>
      </c>
      <c r="AF201" s="28" t="str">
        <f t="shared" si="36"/>
        <v>Discounted</v>
      </c>
    </row>
    <row r="202" spans="1:32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0">
        <v>14007.76</v>
      </c>
      <c r="P202" s="1">
        <f t="shared" si="29"/>
        <v>17509.7</v>
      </c>
      <c r="R202" s="19" t="str">
        <f t="shared" si="30"/>
        <v>NO</v>
      </c>
      <c r="S202" s="20" t="str">
        <f t="shared" si="31"/>
        <v>NO</v>
      </c>
      <c r="U202" s="23" t="str">
        <f t="shared" si="32"/>
        <v>NO</v>
      </c>
      <c r="W202" s="24" t="str">
        <f t="shared" si="28"/>
        <v>No</v>
      </c>
      <c r="Y202" s="26" t="str">
        <f t="shared" si="33"/>
        <v>No</v>
      </c>
      <c r="AA202" s="27" t="str">
        <f t="shared" si="34"/>
        <v>No</v>
      </c>
      <c r="AD202" s="24" t="str">
        <f t="shared" si="35"/>
        <v>Regular</v>
      </c>
      <c r="AF202" s="28" t="str">
        <f t="shared" si="36"/>
        <v>Discounted</v>
      </c>
    </row>
    <row r="203" spans="1:32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0">
        <v>27652.32</v>
      </c>
      <c r="P203" s="1">
        <f t="shared" si="29"/>
        <v>27652.32</v>
      </c>
      <c r="R203" s="19" t="str">
        <f t="shared" si="30"/>
        <v>YES</v>
      </c>
      <c r="S203" s="20" t="str">
        <f t="shared" si="31"/>
        <v>NO</v>
      </c>
      <c r="U203" s="23" t="str">
        <f t="shared" si="32"/>
        <v>YES</v>
      </c>
      <c r="W203" s="24" t="str">
        <f t="shared" si="28"/>
        <v>No</v>
      </c>
      <c r="Y203" s="26" t="str">
        <f t="shared" si="33"/>
        <v>No</v>
      </c>
      <c r="AA203" s="27" t="str">
        <f t="shared" si="34"/>
        <v>No</v>
      </c>
      <c r="AD203" s="24" t="str">
        <f t="shared" si="35"/>
        <v>Regular</v>
      </c>
      <c r="AF203" s="28" t="str">
        <f t="shared" si="36"/>
        <v>Discounted</v>
      </c>
    </row>
    <row r="204" spans="1:32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0">
        <v>18886.34</v>
      </c>
      <c r="P204" s="1">
        <f t="shared" si="29"/>
        <v>23607.919999999998</v>
      </c>
      <c r="R204" s="19" t="str">
        <f t="shared" si="30"/>
        <v>YES</v>
      </c>
      <c r="S204" s="20" t="str">
        <f t="shared" si="31"/>
        <v>YES</v>
      </c>
      <c r="U204" s="23" t="str">
        <f t="shared" si="32"/>
        <v>NO</v>
      </c>
      <c r="W204" s="24" t="str">
        <f t="shared" si="28"/>
        <v>No</v>
      </c>
      <c r="Y204" s="26" t="str">
        <f t="shared" si="33"/>
        <v>No</v>
      </c>
      <c r="AA204" s="27" t="str">
        <f t="shared" si="34"/>
        <v>No</v>
      </c>
      <c r="AD204" s="24" t="str">
        <f t="shared" si="35"/>
        <v>Premium</v>
      </c>
      <c r="AF204" s="28" t="str">
        <f t="shared" si="36"/>
        <v>Non Disc</v>
      </c>
    </row>
    <row r="205" spans="1:32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0">
        <v>15313.32</v>
      </c>
      <c r="P205" s="1">
        <f t="shared" si="29"/>
        <v>16119.28</v>
      </c>
      <c r="R205" s="19" t="str">
        <f t="shared" si="30"/>
        <v>YES</v>
      </c>
      <c r="S205" s="20" t="str">
        <f t="shared" si="31"/>
        <v>NO</v>
      </c>
      <c r="U205" s="23" t="str">
        <f t="shared" si="32"/>
        <v>YES</v>
      </c>
      <c r="W205" s="24" t="str">
        <f t="shared" si="28"/>
        <v>No</v>
      </c>
      <c r="Y205" s="26" t="str">
        <f t="shared" si="33"/>
        <v>No</v>
      </c>
      <c r="AA205" s="27" t="str">
        <f t="shared" si="34"/>
        <v>No</v>
      </c>
      <c r="AD205" s="24" t="str">
        <f t="shared" si="35"/>
        <v>Regular</v>
      </c>
      <c r="AF205" s="28" t="str">
        <f t="shared" si="36"/>
        <v>Non Disc</v>
      </c>
    </row>
    <row r="206" spans="1:32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0">
        <v>20312.28</v>
      </c>
      <c r="P206" s="1">
        <f t="shared" si="29"/>
        <v>22569.200000000001</v>
      </c>
      <c r="R206" s="19" t="str">
        <f t="shared" si="30"/>
        <v>YES</v>
      </c>
      <c r="S206" s="20" t="str">
        <f t="shared" si="31"/>
        <v>YES</v>
      </c>
      <c r="U206" s="23" t="str">
        <f t="shared" si="32"/>
        <v>YES</v>
      </c>
      <c r="W206" s="24" t="str">
        <f t="shared" si="28"/>
        <v>No</v>
      </c>
      <c r="Y206" s="26" t="str">
        <f t="shared" si="33"/>
        <v>No</v>
      </c>
      <c r="AA206" s="27" t="str">
        <f t="shared" si="34"/>
        <v>No</v>
      </c>
      <c r="AD206" s="24" t="str">
        <f t="shared" si="35"/>
        <v>Premium</v>
      </c>
      <c r="AF206" s="28" t="str">
        <f t="shared" si="36"/>
        <v>Non Disc</v>
      </c>
    </row>
    <row r="207" spans="1:32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0">
        <v>17313.86</v>
      </c>
      <c r="P207" s="1">
        <f t="shared" si="29"/>
        <v>18225.12</v>
      </c>
      <c r="R207" s="19" t="str">
        <f t="shared" si="30"/>
        <v>YES</v>
      </c>
      <c r="S207" s="20" t="str">
        <f t="shared" si="31"/>
        <v>NO</v>
      </c>
      <c r="U207" s="23" t="str">
        <f t="shared" si="32"/>
        <v>YES</v>
      </c>
      <c r="W207" s="24" t="str">
        <f t="shared" si="28"/>
        <v>No</v>
      </c>
      <c r="Y207" s="26" t="str">
        <f t="shared" si="33"/>
        <v>yes</v>
      </c>
      <c r="AA207" s="27" t="str">
        <f t="shared" si="34"/>
        <v>Yes</v>
      </c>
      <c r="AD207" s="24" t="str">
        <f t="shared" si="35"/>
        <v>Regular</v>
      </c>
      <c r="AF207" s="28" t="str">
        <f t="shared" si="36"/>
        <v>Non Disc</v>
      </c>
    </row>
    <row r="208" spans="1:32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0">
        <v>6190.13</v>
      </c>
      <c r="P208" s="1">
        <f t="shared" si="29"/>
        <v>6877.92</v>
      </c>
      <c r="R208" s="19" t="str">
        <f t="shared" si="30"/>
        <v>NO</v>
      </c>
      <c r="S208" s="20" t="str">
        <f t="shared" si="31"/>
        <v>NO</v>
      </c>
      <c r="U208" s="23" t="str">
        <f t="shared" si="32"/>
        <v>YES</v>
      </c>
      <c r="W208" s="24" t="str">
        <f t="shared" si="28"/>
        <v>No</v>
      </c>
      <c r="Y208" s="26" t="str">
        <f t="shared" si="33"/>
        <v>yes</v>
      </c>
      <c r="AA208" s="27" t="str">
        <f t="shared" si="34"/>
        <v>Yes</v>
      </c>
      <c r="AD208" s="24" t="str">
        <f t="shared" si="35"/>
        <v>Regular</v>
      </c>
      <c r="AF208" s="28" t="str">
        <f t="shared" si="36"/>
        <v>Discounted</v>
      </c>
    </row>
    <row r="209" spans="1:32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0">
        <v>6099.65</v>
      </c>
      <c r="P209" s="1">
        <f t="shared" si="29"/>
        <v>7624.56</v>
      </c>
      <c r="R209" s="19" t="str">
        <f t="shared" si="30"/>
        <v>NO</v>
      </c>
      <c r="S209" s="20" t="str">
        <f t="shared" si="31"/>
        <v>YES</v>
      </c>
      <c r="U209" s="23" t="str">
        <f t="shared" si="32"/>
        <v>YES</v>
      </c>
      <c r="W209" s="24" t="str">
        <f t="shared" si="28"/>
        <v>No</v>
      </c>
      <c r="Y209" s="26" t="str">
        <f t="shared" si="33"/>
        <v>yes</v>
      </c>
      <c r="AA209" s="27" t="str">
        <f t="shared" si="34"/>
        <v>Yes</v>
      </c>
      <c r="AD209" s="24" t="str">
        <f t="shared" si="35"/>
        <v>Regular</v>
      </c>
      <c r="AF209" s="28" t="str">
        <f t="shared" si="36"/>
        <v>Non Disc</v>
      </c>
    </row>
    <row r="210" spans="1:32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0">
        <v>8779.5499999999993</v>
      </c>
      <c r="P210" s="1">
        <f t="shared" si="29"/>
        <v>10328.879999999999</v>
      </c>
      <c r="R210" s="19" t="str">
        <f t="shared" si="30"/>
        <v>NO</v>
      </c>
      <c r="S210" s="20" t="str">
        <f t="shared" si="31"/>
        <v>YES</v>
      </c>
      <c r="U210" s="23" t="str">
        <f t="shared" si="32"/>
        <v>YES</v>
      </c>
      <c r="W210" s="24" t="str">
        <f t="shared" si="28"/>
        <v>No</v>
      </c>
      <c r="Y210" s="26" t="str">
        <f t="shared" si="33"/>
        <v>No</v>
      </c>
      <c r="AA210" s="27" t="str">
        <f t="shared" si="34"/>
        <v>No</v>
      </c>
      <c r="AD210" s="24" t="str">
        <f t="shared" si="35"/>
        <v>Regular</v>
      </c>
      <c r="AF210" s="28" t="str">
        <f t="shared" si="36"/>
        <v>Non Disc</v>
      </c>
    </row>
    <row r="211" spans="1:32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0">
        <v>24864.81</v>
      </c>
      <c r="P211" s="1">
        <f t="shared" si="29"/>
        <v>29252.720000000001</v>
      </c>
      <c r="R211" s="19" t="str">
        <f t="shared" si="30"/>
        <v>YES</v>
      </c>
      <c r="S211" s="20" t="str">
        <f t="shared" si="31"/>
        <v>YES</v>
      </c>
      <c r="U211" s="23" t="str">
        <f t="shared" si="32"/>
        <v>NO</v>
      </c>
      <c r="W211" s="24" t="str">
        <f t="shared" si="28"/>
        <v>No</v>
      </c>
      <c r="Y211" s="26" t="str">
        <f t="shared" si="33"/>
        <v>No</v>
      </c>
      <c r="AA211" s="27" t="str">
        <f t="shared" si="34"/>
        <v>No</v>
      </c>
      <c r="AD211" s="24" t="str">
        <f t="shared" si="35"/>
        <v>Regular</v>
      </c>
      <c r="AF211" s="28" t="str">
        <f t="shared" si="36"/>
        <v>Non Disc</v>
      </c>
    </row>
    <row r="212" spans="1:32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0">
        <v>14222.56</v>
      </c>
      <c r="P212" s="1">
        <f t="shared" si="29"/>
        <v>15802.850000000002</v>
      </c>
      <c r="R212" s="19" t="str">
        <f t="shared" si="30"/>
        <v>YES</v>
      </c>
      <c r="S212" s="20" t="str">
        <f t="shared" si="31"/>
        <v>NO</v>
      </c>
      <c r="U212" s="23" t="str">
        <f t="shared" si="32"/>
        <v>YES</v>
      </c>
      <c r="W212" s="24" t="str">
        <f t="shared" si="28"/>
        <v>No</v>
      </c>
      <c r="Y212" s="26" t="str">
        <f t="shared" si="33"/>
        <v>yes</v>
      </c>
      <c r="AA212" s="27" t="str">
        <f t="shared" si="34"/>
        <v>Yes</v>
      </c>
      <c r="AD212" s="24" t="str">
        <f t="shared" si="35"/>
        <v>Regular</v>
      </c>
      <c r="AF212" s="28" t="str">
        <f t="shared" si="36"/>
        <v>Discounted</v>
      </c>
    </row>
    <row r="213" spans="1:32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0">
        <v>2529.21</v>
      </c>
      <c r="P213" s="1">
        <f t="shared" si="29"/>
        <v>2975.54</v>
      </c>
      <c r="R213" s="19" t="str">
        <f t="shared" si="30"/>
        <v>NO</v>
      </c>
      <c r="S213" s="20" t="str">
        <f t="shared" si="31"/>
        <v>NO</v>
      </c>
      <c r="U213" s="23" t="str">
        <f t="shared" si="32"/>
        <v>NO</v>
      </c>
      <c r="W213" s="24" t="str">
        <f t="shared" si="28"/>
        <v>No</v>
      </c>
      <c r="Y213" s="26" t="str">
        <f t="shared" si="33"/>
        <v>No</v>
      </c>
      <c r="AA213" s="27" t="str">
        <f t="shared" si="34"/>
        <v>No</v>
      </c>
      <c r="AD213" s="24" t="str">
        <f t="shared" si="35"/>
        <v>Regular</v>
      </c>
      <c r="AF213" s="28" t="str">
        <f t="shared" si="36"/>
        <v>Discounted</v>
      </c>
    </row>
    <row r="214" spans="1:32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0">
        <v>4749.6000000000004</v>
      </c>
      <c r="P214" s="1">
        <f t="shared" si="29"/>
        <v>5937</v>
      </c>
      <c r="R214" s="19" t="str">
        <f t="shared" si="30"/>
        <v>NO</v>
      </c>
      <c r="S214" s="20" t="str">
        <f t="shared" si="31"/>
        <v>NO</v>
      </c>
      <c r="U214" s="23" t="str">
        <f t="shared" si="32"/>
        <v>YES</v>
      </c>
      <c r="W214" s="24" t="str">
        <f t="shared" si="28"/>
        <v>No</v>
      </c>
      <c r="Y214" s="26" t="str">
        <f t="shared" si="33"/>
        <v>yes</v>
      </c>
      <c r="AA214" s="27" t="str">
        <f t="shared" si="34"/>
        <v>Yes</v>
      </c>
      <c r="AD214" s="24" t="str">
        <f t="shared" si="35"/>
        <v>Regular</v>
      </c>
      <c r="AF214" s="28" t="str">
        <f t="shared" si="36"/>
        <v>Discounted</v>
      </c>
    </row>
    <row r="215" spans="1:32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0">
        <v>5847.01</v>
      </c>
      <c r="P215" s="1">
        <f t="shared" si="29"/>
        <v>6878.84</v>
      </c>
      <c r="R215" s="19" t="str">
        <f t="shared" si="30"/>
        <v>NO</v>
      </c>
      <c r="S215" s="20" t="str">
        <f t="shared" si="31"/>
        <v>NO</v>
      </c>
      <c r="U215" s="23" t="str">
        <f t="shared" si="32"/>
        <v>YES</v>
      </c>
      <c r="W215" s="24" t="str">
        <f t="shared" si="28"/>
        <v>No</v>
      </c>
      <c r="Y215" s="26" t="str">
        <f t="shared" si="33"/>
        <v>yes</v>
      </c>
      <c r="AA215" s="27" t="str">
        <f t="shared" si="34"/>
        <v>Yes</v>
      </c>
      <c r="AD215" s="24" t="str">
        <f t="shared" si="35"/>
        <v>Regular</v>
      </c>
      <c r="AF215" s="28" t="str">
        <f t="shared" si="36"/>
        <v>Discounted</v>
      </c>
    </row>
    <row r="216" spans="1:32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0">
        <v>2533.7199999999998</v>
      </c>
      <c r="P216" s="1">
        <f t="shared" si="29"/>
        <v>3167.1499999999996</v>
      </c>
      <c r="R216" s="19" t="str">
        <f t="shared" si="30"/>
        <v>NO</v>
      </c>
      <c r="S216" s="20" t="str">
        <f t="shared" si="31"/>
        <v>NO</v>
      </c>
      <c r="U216" s="23" t="str">
        <f t="shared" si="32"/>
        <v>YES</v>
      </c>
      <c r="W216" s="24" t="str">
        <f t="shared" si="28"/>
        <v>No</v>
      </c>
      <c r="Y216" s="26" t="str">
        <f t="shared" si="33"/>
        <v>No</v>
      </c>
      <c r="AA216" s="27" t="str">
        <f t="shared" si="34"/>
        <v>No</v>
      </c>
      <c r="AD216" s="24" t="str">
        <f t="shared" si="35"/>
        <v>Regular</v>
      </c>
      <c r="AF216" s="28" t="str">
        <f t="shared" si="36"/>
        <v>Discounted</v>
      </c>
    </row>
    <row r="217" spans="1:32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0">
        <v>4614.09</v>
      </c>
      <c r="P217" s="1">
        <f t="shared" si="29"/>
        <v>4856.9400000000005</v>
      </c>
      <c r="R217" s="19" t="str">
        <f t="shared" si="30"/>
        <v>NO</v>
      </c>
      <c r="S217" s="20" t="str">
        <f t="shared" si="31"/>
        <v>NO</v>
      </c>
      <c r="U217" s="23" t="str">
        <f t="shared" si="32"/>
        <v>YES</v>
      </c>
      <c r="W217" s="24" t="str">
        <f t="shared" si="28"/>
        <v>No</v>
      </c>
      <c r="Y217" s="26" t="str">
        <f t="shared" si="33"/>
        <v>yes</v>
      </c>
      <c r="AA217" s="27" t="str">
        <f t="shared" si="34"/>
        <v>Yes</v>
      </c>
      <c r="AD217" s="24" t="str">
        <f t="shared" si="35"/>
        <v>Regular</v>
      </c>
      <c r="AF217" s="28" t="str">
        <f t="shared" si="36"/>
        <v>Discounted</v>
      </c>
    </row>
    <row r="218" spans="1:32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0">
        <v>10673.02</v>
      </c>
      <c r="P218" s="1">
        <f t="shared" si="29"/>
        <v>13341.28</v>
      </c>
      <c r="R218" s="19" t="str">
        <f t="shared" si="30"/>
        <v>NO</v>
      </c>
      <c r="S218" s="20" t="str">
        <f t="shared" si="31"/>
        <v>NO</v>
      </c>
      <c r="U218" s="23" t="str">
        <f t="shared" si="32"/>
        <v>YES</v>
      </c>
      <c r="W218" s="24" t="str">
        <f t="shared" si="28"/>
        <v>No</v>
      </c>
      <c r="Y218" s="26" t="str">
        <f t="shared" si="33"/>
        <v>yes</v>
      </c>
      <c r="AA218" s="27" t="str">
        <f t="shared" si="34"/>
        <v>Yes</v>
      </c>
      <c r="AD218" s="24" t="str">
        <f t="shared" si="35"/>
        <v>Regular</v>
      </c>
      <c r="AF218" s="28" t="str">
        <f t="shared" si="36"/>
        <v>Discounted</v>
      </c>
    </row>
    <row r="219" spans="1:32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0">
        <v>4803.26</v>
      </c>
      <c r="P219" s="1">
        <f t="shared" si="29"/>
        <v>4803.26</v>
      </c>
      <c r="R219" s="19" t="str">
        <f t="shared" si="30"/>
        <v>NO</v>
      </c>
      <c r="S219" s="20" t="str">
        <f t="shared" si="31"/>
        <v>NO</v>
      </c>
      <c r="U219" s="23" t="str">
        <f t="shared" si="32"/>
        <v>YES</v>
      </c>
      <c r="W219" s="24" t="str">
        <f t="shared" si="28"/>
        <v>No</v>
      </c>
      <c r="Y219" s="26" t="str">
        <f t="shared" si="33"/>
        <v>No</v>
      </c>
      <c r="AA219" s="27" t="str">
        <f t="shared" si="34"/>
        <v>No</v>
      </c>
      <c r="AD219" s="24" t="str">
        <f t="shared" si="35"/>
        <v>Regular</v>
      </c>
      <c r="AF219" s="28" t="str">
        <f t="shared" si="36"/>
        <v>Discounted</v>
      </c>
    </row>
    <row r="220" spans="1:32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0">
        <v>8697</v>
      </c>
      <c r="P220" s="1">
        <f t="shared" si="29"/>
        <v>8697</v>
      </c>
      <c r="R220" s="19" t="str">
        <f t="shared" si="30"/>
        <v>NO</v>
      </c>
      <c r="S220" s="20" t="str">
        <f t="shared" si="31"/>
        <v>NO</v>
      </c>
      <c r="U220" s="23" t="str">
        <f t="shared" si="32"/>
        <v>NO</v>
      </c>
      <c r="W220" s="24" t="str">
        <f t="shared" si="28"/>
        <v>No</v>
      </c>
      <c r="Y220" s="26" t="str">
        <f t="shared" si="33"/>
        <v>No</v>
      </c>
      <c r="AA220" s="27" t="str">
        <f t="shared" si="34"/>
        <v>No</v>
      </c>
      <c r="AD220" s="24" t="str">
        <f t="shared" si="35"/>
        <v>Regular</v>
      </c>
      <c r="AF220" s="28" t="str">
        <f t="shared" si="36"/>
        <v>Discounted</v>
      </c>
    </row>
    <row r="221" spans="1:32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0">
        <v>25927.84</v>
      </c>
      <c r="P221" s="1">
        <f t="shared" si="29"/>
        <v>25927.84</v>
      </c>
      <c r="R221" s="19" t="str">
        <f t="shared" si="30"/>
        <v>YES</v>
      </c>
      <c r="S221" s="20" t="str">
        <f t="shared" si="31"/>
        <v>NO</v>
      </c>
      <c r="U221" s="23" t="str">
        <f t="shared" si="32"/>
        <v>YES</v>
      </c>
      <c r="W221" s="24" t="str">
        <f t="shared" si="28"/>
        <v>No</v>
      </c>
      <c r="Y221" s="26" t="str">
        <f t="shared" si="33"/>
        <v>yes</v>
      </c>
      <c r="AA221" s="27" t="str">
        <f t="shared" si="34"/>
        <v>Yes</v>
      </c>
      <c r="AD221" s="24" t="str">
        <f t="shared" si="35"/>
        <v>Regular</v>
      </c>
      <c r="AF221" s="28" t="str">
        <f t="shared" si="36"/>
        <v>Discounted</v>
      </c>
    </row>
    <row r="222" spans="1:32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0">
        <v>7913.52</v>
      </c>
      <c r="P222" s="1">
        <f t="shared" si="29"/>
        <v>8792.7999999999993</v>
      </c>
      <c r="R222" s="19" t="str">
        <f t="shared" si="30"/>
        <v>NO</v>
      </c>
      <c r="S222" s="20" t="str">
        <f t="shared" si="31"/>
        <v>YES</v>
      </c>
      <c r="U222" s="23" t="str">
        <f t="shared" si="32"/>
        <v>YES</v>
      </c>
      <c r="W222" s="24" t="str">
        <f t="shared" si="28"/>
        <v>No</v>
      </c>
      <c r="Y222" s="26" t="str">
        <f t="shared" si="33"/>
        <v>No</v>
      </c>
      <c r="AA222" s="27" t="str">
        <f t="shared" si="34"/>
        <v>No</v>
      </c>
      <c r="AD222" s="24" t="str">
        <f t="shared" si="35"/>
        <v>Regular</v>
      </c>
      <c r="AF222" s="28" t="str">
        <f t="shared" si="36"/>
        <v>Non Disc</v>
      </c>
    </row>
    <row r="223" spans="1:32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0">
        <v>24618.7</v>
      </c>
      <c r="P223" s="1">
        <f t="shared" si="29"/>
        <v>27354.11</v>
      </c>
      <c r="R223" s="19" t="str">
        <f t="shared" si="30"/>
        <v>YES</v>
      </c>
      <c r="S223" s="20" t="str">
        <f t="shared" si="31"/>
        <v>NO</v>
      </c>
      <c r="U223" s="23" t="str">
        <f t="shared" si="32"/>
        <v>YES</v>
      </c>
      <c r="W223" s="24" t="str">
        <f t="shared" si="28"/>
        <v>No</v>
      </c>
      <c r="Y223" s="26" t="str">
        <f t="shared" si="33"/>
        <v>yes</v>
      </c>
      <c r="AA223" s="27" t="str">
        <f t="shared" si="34"/>
        <v>Yes</v>
      </c>
      <c r="AD223" s="24" t="str">
        <f t="shared" si="35"/>
        <v>Premium</v>
      </c>
      <c r="AF223" s="28" t="str">
        <f t="shared" si="36"/>
        <v>Discounted</v>
      </c>
    </row>
    <row r="224" spans="1:32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0">
        <v>7978.77</v>
      </c>
      <c r="P224" s="1">
        <f t="shared" si="29"/>
        <v>8865.2999999999993</v>
      </c>
      <c r="R224" s="19" t="str">
        <f t="shared" si="30"/>
        <v>NO</v>
      </c>
      <c r="S224" s="20" t="str">
        <f t="shared" si="31"/>
        <v>NO</v>
      </c>
      <c r="U224" s="23" t="str">
        <f t="shared" si="32"/>
        <v>YES</v>
      </c>
      <c r="W224" s="24" t="str">
        <f t="shared" si="28"/>
        <v>No</v>
      </c>
      <c r="Y224" s="26" t="str">
        <f t="shared" si="33"/>
        <v>No</v>
      </c>
      <c r="AA224" s="27" t="str">
        <f t="shared" si="34"/>
        <v>No</v>
      </c>
      <c r="AD224" s="24" t="str">
        <f t="shared" si="35"/>
        <v>Regular</v>
      </c>
      <c r="AF224" s="28" t="str">
        <f t="shared" si="36"/>
        <v>Discounted</v>
      </c>
    </row>
    <row r="225" spans="1:32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0">
        <v>2317.84</v>
      </c>
      <c r="P225" s="1">
        <f t="shared" si="29"/>
        <v>2897.3</v>
      </c>
      <c r="R225" s="19" t="str">
        <f t="shared" si="30"/>
        <v>NO</v>
      </c>
      <c r="S225" s="20" t="str">
        <f t="shared" si="31"/>
        <v>NO</v>
      </c>
      <c r="U225" s="23" t="str">
        <f t="shared" si="32"/>
        <v>NO</v>
      </c>
      <c r="W225" s="24" t="str">
        <f t="shared" si="28"/>
        <v>No</v>
      </c>
      <c r="Y225" s="26" t="str">
        <f t="shared" si="33"/>
        <v>No</v>
      </c>
      <c r="AA225" s="27" t="str">
        <f t="shared" si="34"/>
        <v>No</v>
      </c>
      <c r="AD225" s="24" t="str">
        <f t="shared" si="35"/>
        <v>Regular</v>
      </c>
      <c r="AF225" s="28" t="str">
        <f t="shared" si="36"/>
        <v>Discounted</v>
      </c>
    </row>
    <row r="226" spans="1:32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0">
        <v>8510.42</v>
      </c>
      <c r="P226" s="1">
        <f t="shared" si="29"/>
        <v>9456.0199999999986</v>
      </c>
      <c r="R226" s="19" t="str">
        <f t="shared" si="30"/>
        <v>NO</v>
      </c>
      <c r="S226" s="20" t="str">
        <f t="shared" si="31"/>
        <v>NO</v>
      </c>
      <c r="U226" s="23" t="str">
        <f t="shared" si="32"/>
        <v>NO</v>
      </c>
      <c r="W226" s="24" t="str">
        <f t="shared" si="28"/>
        <v>No</v>
      </c>
      <c r="Y226" s="26" t="str">
        <f t="shared" si="33"/>
        <v>No</v>
      </c>
      <c r="AA226" s="27" t="str">
        <f t="shared" si="34"/>
        <v>No</v>
      </c>
      <c r="AD226" s="24" t="str">
        <f t="shared" si="35"/>
        <v>Regular</v>
      </c>
      <c r="AF226" s="28" t="str">
        <f t="shared" si="36"/>
        <v>Discounted</v>
      </c>
    </row>
    <row r="227" spans="1:32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0">
        <v>2945.62</v>
      </c>
      <c r="P227" s="1">
        <f t="shared" si="29"/>
        <v>3100.65</v>
      </c>
      <c r="R227" s="19" t="str">
        <f t="shared" si="30"/>
        <v>NO</v>
      </c>
      <c r="S227" s="20" t="str">
        <f t="shared" si="31"/>
        <v>NO</v>
      </c>
      <c r="U227" s="23" t="str">
        <f t="shared" si="32"/>
        <v>YES</v>
      </c>
      <c r="W227" s="24" t="str">
        <f t="shared" si="28"/>
        <v>No</v>
      </c>
      <c r="Y227" s="26" t="str">
        <f t="shared" si="33"/>
        <v>No</v>
      </c>
      <c r="AA227" s="27" t="str">
        <f t="shared" si="34"/>
        <v>No</v>
      </c>
      <c r="AD227" s="24" t="str">
        <f t="shared" si="35"/>
        <v>Regular</v>
      </c>
      <c r="AF227" s="28" t="str">
        <f t="shared" si="36"/>
        <v>Discounted</v>
      </c>
    </row>
    <row r="228" spans="1:32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0">
        <v>3467.28</v>
      </c>
      <c r="P228" s="1">
        <f t="shared" si="29"/>
        <v>3467.2799999999997</v>
      </c>
      <c r="R228" s="19" t="str">
        <f t="shared" si="30"/>
        <v>NO</v>
      </c>
      <c r="S228" s="20" t="str">
        <f t="shared" si="31"/>
        <v>NO</v>
      </c>
      <c r="U228" s="23" t="str">
        <f t="shared" si="32"/>
        <v>YES</v>
      </c>
      <c r="W228" s="24" t="str">
        <f t="shared" si="28"/>
        <v>No</v>
      </c>
      <c r="Y228" s="26" t="str">
        <f t="shared" si="33"/>
        <v>No</v>
      </c>
      <c r="AA228" s="27" t="str">
        <f t="shared" si="34"/>
        <v>No</v>
      </c>
      <c r="AD228" s="24" t="str">
        <f t="shared" si="35"/>
        <v>Regular</v>
      </c>
      <c r="AF228" s="28" t="str">
        <f t="shared" si="36"/>
        <v>Discounted</v>
      </c>
    </row>
    <row r="229" spans="1:32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0">
        <v>16929.28</v>
      </c>
      <c r="P229" s="1">
        <f t="shared" si="29"/>
        <v>21161.599999999999</v>
      </c>
      <c r="R229" s="19" t="str">
        <f t="shared" si="30"/>
        <v>YES</v>
      </c>
      <c r="S229" s="20" t="str">
        <f t="shared" si="31"/>
        <v>YES</v>
      </c>
      <c r="U229" s="23" t="str">
        <f t="shared" si="32"/>
        <v>YES</v>
      </c>
      <c r="W229" s="24" t="str">
        <f t="shared" si="28"/>
        <v>No</v>
      </c>
      <c r="Y229" s="26" t="str">
        <f t="shared" si="33"/>
        <v>No</v>
      </c>
      <c r="AA229" s="27" t="str">
        <f t="shared" si="34"/>
        <v>No</v>
      </c>
      <c r="AD229" s="24" t="str">
        <f t="shared" si="35"/>
        <v>Regular</v>
      </c>
      <c r="AF229" s="28" t="str">
        <f t="shared" si="36"/>
        <v>Non Disc</v>
      </c>
    </row>
    <row r="230" spans="1:32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0">
        <v>28153.599999999999</v>
      </c>
      <c r="P230" s="1">
        <f t="shared" si="29"/>
        <v>28153.599999999999</v>
      </c>
      <c r="R230" s="19" t="str">
        <f t="shared" si="30"/>
        <v>YES</v>
      </c>
      <c r="S230" s="20" t="str">
        <f t="shared" si="31"/>
        <v>NO</v>
      </c>
      <c r="U230" s="23" t="str">
        <f t="shared" si="32"/>
        <v>NO</v>
      </c>
      <c r="W230" s="24" t="str">
        <f t="shared" si="28"/>
        <v>No</v>
      </c>
      <c r="Y230" s="26" t="str">
        <f t="shared" si="33"/>
        <v>No</v>
      </c>
      <c r="AA230" s="27" t="str">
        <f t="shared" si="34"/>
        <v>No</v>
      </c>
      <c r="AD230" s="24" t="str">
        <f t="shared" si="35"/>
        <v>Premium</v>
      </c>
      <c r="AF230" s="28" t="str">
        <f t="shared" si="36"/>
        <v>Discounted</v>
      </c>
    </row>
    <row r="231" spans="1:32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0">
        <v>8622.4500000000007</v>
      </c>
      <c r="P231" s="1">
        <f t="shared" si="29"/>
        <v>9580.5</v>
      </c>
      <c r="R231" s="19" t="str">
        <f t="shared" si="30"/>
        <v>NO</v>
      </c>
      <c r="S231" s="20" t="str">
        <f t="shared" si="31"/>
        <v>NO</v>
      </c>
      <c r="U231" s="23" t="str">
        <f t="shared" si="32"/>
        <v>YES</v>
      </c>
      <c r="W231" s="24" t="str">
        <f t="shared" si="28"/>
        <v>No</v>
      </c>
      <c r="Y231" s="26" t="str">
        <f t="shared" si="33"/>
        <v>yes</v>
      </c>
      <c r="AA231" s="27" t="str">
        <f t="shared" si="34"/>
        <v>Yes</v>
      </c>
      <c r="AD231" s="24" t="str">
        <f t="shared" si="35"/>
        <v>Regular</v>
      </c>
      <c r="AF231" s="28" t="str">
        <f t="shared" si="36"/>
        <v>Discounted</v>
      </c>
    </row>
    <row r="232" spans="1:32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0">
        <v>3882.26</v>
      </c>
      <c r="P232" s="1">
        <f t="shared" si="29"/>
        <v>4852.82</v>
      </c>
      <c r="R232" s="19" t="str">
        <f t="shared" si="30"/>
        <v>NO</v>
      </c>
      <c r="S232" s="20" t="str">
        <f t="shared" si="31"/>
        <v>NO</v>
      </c>
      <c r="U232" s="23" t="str">
        <f t="shared" si="32"/>
        <v>NO</v>
      </c>
      <c r="W232" s="24" t="str">
        <f t="shared" si="28"/>
        <v>No</v>
      </c>
      <c r="Y232" s="26" t="str">
        <f t="shared" si="33"/>
        <v>No</v>
      </c>
      <c r="AA232" s="27" t="str">
        <f t="shared" si="34"/>
        <v>No</v>
      </c>
      <c r="AD232" s="24" t="str">
        <f t="shared" si="35"/>
        <v>Regular</v>
      </c>
      <c r="AF232" s="28" t="str">
        <f t="shared" si="36"/>
        <v>Discounted</v>
      </c>
    </row>
    <row r="233" spans="1:32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0">
        <v>1912.92</v>
      </c>
      <c r="P233" s="1">
        <f t="shared" si="29"/>
        <v>2250.4899999999998</v>
      </c>
      <c r="R233" s="19" t="str">
        <f t="shared" si="30"/>
        <v>NO</v>
      </c>
      <c r="S233" s="20" t="str">
        <f t="shared" si="31"/>
        <v>NO</v>
      </c>
      <c r="U233" s="23" t="str">
        <f t="shared" si="32"/>
        <v>YES</v>
      </c>
      <c r="W233" s="24" t="str">
        <f t="shared" si="28"/>
        <v>No</v>
      </c>
      <c r="Y233" s="26" t="str">
        <f t="shared" si="33"/>
        <v>No</v>
      </c>
      <c r="AA233" s="27" t="str">
        <f t="shared" si="34"/>
        <v>No</v>
      </c>
      <c r="AD233" s="24" t="str">
        <f t="shared" si="35"/>
        <v>Regular</v>
      </c>
      <c r="AF233" s="28" t="str">
        <f t="shared" si="36"/>
        <v>Discounted</v>
      </c>
    </row>
    <row r="234" spans="1:32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0">
        <v>528.70000000000005</v>
      </c>
      <c r="P234" s="1">
        <f t="shared" si="29"/>
        <v>556.53</v>
      </c>
      <c r="R234" s="19" t="str">
        <f t="shared" si="30"/>
        <v>NO</v>
      </c>
      <c r="S234" s="20" t="str">
        <f t="shared" si="31"/>
        <v>NO</v>
      </c>
      <c r="U234" s="23" t="str">
        <f t="shared" si="32"/>
        <v>YES</v>
      </c>
      <c r="W234" s="24" t="str">
        <f t="shared" si="28"/>
        <v>Special Attention</v>
      </c>
      <c r="Y234" s="26" t="str">
        <f t="shared" si="33"/>
        <v>No</v>
      </c>
      <c r="AA234" s="27" t="str">
        <f t="shared" si="34"/>
        <v>No</v>
      </c>
      <c r="AD234" s="24" t="str">
        <f t="shared" si="35"/>
        <v>Regular</v>
      </c>
      <c r="AF234" s="28" t="str">
        <f t="shared" si="36"/>
        <v>Discounted</v>
      </c>
    </row>
    <row r="235" spans="1:32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0">
        <v>2043.59</v>
      </c>
      <c r="P235" s="1">
        <f t="shared" si="29"/>
        <v>2270.66</v>
      </c>
      <c r="R235" s="19" t="str">
        <f t="shared" si="30"/>
        <v>NO</v>
      </c>
      <c r="S235" s="20" t="str">
        <f t="shared" si="31"/>
        <v>NO</v>
      </c>
      <c r="U235" s="23" t="str">
        <f t="shared" si="32"/>
        <v>NO</v>
      </c>
      <c r="W235" s="24" t="str">
        <f t="shared" si="28"/>
        <v>No</v>
      </c>
      <c r="Y235" s="26" t="str">
        <f t="shared" si="33"/>
        <v>No</v>
      </c>
      <c r="AA235" s="27" t="str">
        <f t="shared" si="34"/>
        <v>No</v>
      </c>
      <c r="AD235" s="24" t="str">
        <f t="shared" si="35"/>
        <v>Regular</v>
      </c>
      <c r="AF235" s="28" t="str">
        <f t="shared" si="36"/>
        <v>Discounted</v>
      </c>
    </row>
    <row r="236" spans="1:32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0">
        <v>21684.43</v>
      </c>
      <c r="P236" s="1">
        <f t="shared" si="29"/>
        <v>24093.81</v>
      </c>
      <c r="R236" s="19" t="str">
        <f t="shared" si="30"/>
        <v>YES</v>
      </c>
      <c r="S236" s="20" t="str">
        <f t="shared" si="31"/>
        <v>YES</v>
      </c>
      <c r="U236" s="23" t="str">
        <f t="shared" si="32"/>
        <v>YES</v>
      </c>
      <c r="W236" s="24" t="str">
        <f t="shared" si="28"/>
        <v>No</v>
      </c>
      <c r="Y236" s="26" t="str">
        <f t="shared" si="33"/>
        <v>No</v>
      </c>
      <c r="AA236" s="27" t="str">
        <f t="shared" si="34"/>
        <v>No</v>
      </c>
      <c r="AD236" s="24" t="str">
        <f t="shared" si="35"/>
        <v>Premium</v>
      </c>
      <c r="AF236" s="28" t="str">
        <f t="shared" si="36"/>
        <v>Non Disc</v>
      </c>
    </row>
    <row r="237" spans="1:32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0">
        <v>14698.76</v>
      </c>
      <c r="P237" s="1">
        <f t="shared" si="29"/>
        <v>15472.380000000001</v>
      </c>
      <c r="R237" s="19" t="str">
        <f t="shared" si="30"/>
        <v>YES</v>
      </c>
      <c r="S237" s="20" t="str">
        <f t="shared" si="31"/>
        <v>NO</v>
      </c>
      <c r="U237" s="23" t="str">
        <f t="shared" si="32"/>
        <v>NO</v>
      </c>
      <c r="W237" s="24" t="str">
        <f t="shared" si="28"/>
        <v>No</v>
      </c>
      <c r="Y237" s="26" t="str">
        <f t="shared" si="33"/>
        <v>No</v>
      </c>
      <c r="AA237" s="27" t="str">
        <f t="shared" si="34"/>
        <v>No</v>
      </c>
      <c r="AD237" s="24" t="str">
        <f t="shared" si="35"/>
        <v>Regular</v>
      </c>
      <c r="AF237" s="28" t="str">
        <f t="shared" si="36"/>
        <v>Discounted</v>
      </c>
    </row>
    <row r="238" spans="1:32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0">
        <v>2212.5</v>
      </c>
      <c r="P238" s="1">
        <f t="shared" si="29"/>
        <v>2328.9500000000003</v>
      </c>
      <c r="R238" s="19" t="str">
        <f t="shared" si="30"/>
        <v>NO</v>
      </c>
      <c r="S238" s="20" t="str">
        <f t="shared" si="31"/>
        <v>NO</v>
      </c>
      <c r="U238" s="23" t="str">
        <f t="shared" si="32"/>
        <v>YES</v>
      </c>
      <c r="W238" s="24" t="str">
        <f t="shared" si="28"/>
        <v>No</v>
      </c>
      <c r="Y238" s="26" t="str">
        <f t="shared" si="33"/>
        <v>No</v>
      </c>
      <c r="AA238" s="27" t="str">
        <f t="shared" si="34"/>
        <v>No</v>
      </c>
      <c r="AD238" s="24" t="str">
        <f t="shared" si="35"/>
        <v>Regular</v>
      </c>
      <c r="AF238" s="28" t="str">
        <f t="shared" si="36"/>
        <v>Discounted</v>
      </c>
    </row>
    <row r="239" spans="1:32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0">
        <v>1934.74</v>
      </c>
      <c r="P239" s="1">
        <f t="shared" si="29"/>
        <v>2276.16</v>
      </c>
      <c r="R239" s="19" t="str">
        <f t="shared" si="30"/>
        <v>NO</v>
      </c>
      <c r="S239" s="20" t="str">
        <f t="shared" si="31"/>
        <v>YES</v>
      </c>
      <c r="U239" s="23" t="str">
        <f t="shared" si="32"/>
        <v>YES</v>
      </c>
      <c r="W239" s="24" t="str">
        <f t="shared" si="28"/>
        <v>No</v>
      </c>
      <c r="Y239" s="26" t="str">
        <f t="shared" si="33"/>
        <v>yes</v>
      </c>
      <c r="AA239" s="27" t="str">
        <f t="shared" si="34"/>
        <v>Yes</v>
      </c>
      <c r="AD239" s="24" t="str">
        <f t="shared" si="35"/>
        <v>Regular</v>
      </c>
      <c r="AF239" s="28" t="str">
        <f t="shared" si="36"/>
        <v>Non Disc</v>
      </c>
    </row>
    <row r="240" spans="1:32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0">
        <v>7129.01</v>
      </c>
      <c r="P240" s="1">
        <f t="shared" si="29"/>
        <v>7921.12</v>
      </c>
      <c r="R240" s="19" t="str">
        <f t="shared" si="30"/>
        <v>NO</v>
      </c>
      <c r="S240" s="20" t="str">
        <f t="shared" si="31"/>
        <v>NO</v>
      </c>
      <c r="U240" s="23" t="str">
        <f t="shared" si="32"/>
        <v>YES</v>
      </c>
      <c r="W240" s="24" t="str">
        <f t="shared" si="28"/>
        <v>No</v>
      </c>
      <c r="Y240" s="26" t="str">
        <f t="shared" si="33"/>
        <v>yes</v>
      </c>
      <c r="AA240" s="27" t="str">
        <f t="shared" si="34"/>
        <v>Yes</v>
      </c>
      <c r="AD240" s="24" t="str">
        <f t="shared" si="35"/>
        <v>Regular</v>
      </c>
      <c r="AF240" s="28" t="str">
        <f t="shared" si="36"/>
        <v>Discounted</v>
      </c>
    </row>
    <row r="241" spans="1:32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0">
        <v>2151.1999999999998</v>
      </c>
      <c r="P241" s="1">
        <f t="shared" si="29"/>
        <v>2390.2199999999998</v>
      </c>
      <c r="R241" s="19" t="str">
        <f t="shared" si="30"/>
        <v>NO</v>
      </c>
      <c r="S241" s="20" t="str">
        <f t="shared" si="31"/>
        <v>YES</v>
      </c>
      <c r="U241" s="23" t="str">
        <f t="shared" si="32"/>
        <v>YES</v>
      </c>
      <c r="W241" s="24" t="str">
        <f t="shared" si="28"/>
        <v>No</v>
      </c>
      <c r="Y241" s="26" t="str">
        <f t="shared" si="33"/>
        <v>No</v>
      </c>
      <c r="AA241" s="27" t="str">
        <f t="shared" si="34"/>
        <v>No</v>
      </c>
      <c r="AD241" s="24" t="str">
        <f t="shared" si="35"/>
        <v>Regular</v>
      </c>
      <c r="AF241" s="28" t="str">
        <f t="shared" si="36"/>
        <v>Non Disc</v>
      </c>
    </row>
    <row r="242" spans="1:32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0">
        <v>11168.58</v>
      </c>
      <c r="P242" s="1">
        <f t="shared" si="29"/>
        <v>11168.58</v>
      </c>
      <c r="R242" s="19" t="str">
        <f t="shared" si="30"/>
        <v>YES</v>
      </c>
      <c r="S242" s="20" t="str">
        <f t="shared" si="31"/>
        <v>NO</v>
      </c>
      <c r="U242" s="23" t="str">
        <f t="shared" si="32"/>
        <v>NO</v>
      </c>
      <c r="W242" s="24" t="str">
        <f t="shared" si="28"/>
        <v>No</v>
      </c>
      <c r="Y242" s="26" t="str">
        <f t="shared" si="33"/>
        <v>No</v>
      </c>
      <c r="AA242" s="27" t="str">
        <f t="shared" si="34"/>
        <v>No</v>
      </c>
      <c r="AD242" s="24" t="str">
        <f t="shared" si="35"/>
        <v>Regular</v>
      </c>
      <c r="AF242" s="28" t="str">
        <f t="shared" si="36"/>
        <v>Discounted</v>
      </c>
    </row>
    <row r="243" spans="1:32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0">
        <v>15068.02</v>
      </c>
      <c r="P243" s="1">
        <f t="shared" si="29"/>
        <v>18835.02</v>
      </c>
      <c r="R243" s="19" t="str">
        <f t="shared" si="30"/>
        <v>YES</v>
      </c>
      <c r="S243" s="20" t="str">
        <f t="shared" si="31"/>
        <v>YES</v>
      </c>
      <c r="U243" s="23" t="str">
        <f t="shared" si="32"/>
        <v>YES</v>
      </c>
      <c r="W243" s="24" t="str">
        <f t="shared" si="28"/>
        <v>No</v>
      </c>
      <c r="Y243" s="26" t="str">
        <f t="shared" si="33"/>
        <v>yes</v>
      </c>
      <c r="AA243" s="27" t="str">
        <f t="shared" si="34"/>
        <v>Yes</v>
      </c>
      <c r="AD243" s="24" t="str">
        <f t="shared" si="35"/>
        <v>Premium</v>
      </c>
      <c r="AF243" s="28" t="str">
        <f t="shared" si="36"/>
        <v>Non Disc</v>
      </c>
    </row>
    <row r="244" spans="1:32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0">
        <v>962.45</v>
      </c>
      <c r="P244" s="1">
        <f t="shared" si="29"/>
        <v>1203.06</v>
      </c>
      <c r="R244" s="19" t="str">
        <f t="shared" si="30"/>
        <v>NO</v>
      </c>
      <c r="S244" s="20" t="str">
        <f t="shared" si="31"/>
        <v>NO</v>
      </c>
      <c r="U244" s="23" t="str">
        <f t="shared" si="32"/>
        <v>NO</v>
      </c>
      <c r="W244" s="24" t="str">
        <f t="shared" si="28"/>
        <v>Special Attention</v>
      </c>
      <c r="Y244" s="26" t="str">
        <f t="shared" si="33"/>
        <v>No</v>
      </c>
      <c r="AA244" s="27" t="str">
        <f t="shared" si="34"/>
        <v>No</v>
      </c>
      <c r="AD244" s="24" t="str">
        <f t="shared" si="35"/>
        <v>Regular</v>
      </c>
      <c r="AF244" s="28" t="str">
        <f t="shared" si="36"/>
        <v>Discounted</v>
      </c>
    </row>
    <row r="245" spans="1:32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0">
        <v>2402.67</v>
      </c>
      <c r="P245" s="1">
        <f t="shared" si="29"/>
        <v>2402.67</v>
      </c>
      <c r="R245" s="19" t="str">
        <f t="shared" si="30"/>
        <v>NO</v>
      </c>
      <c r="S245" s="20" t="str">
        <f t="shared" si="31"/>
        <v>NO</v>
      </c>
      <c r="U245" s="23" t="str">
        <f t="shared" si="32"/>
        <v>YES</v>
      </c>
      <c r="W245" s="24" t="str">
        <f t="shared" si="28"/>
        <v>No</v>
      </c>
      <c r="Y245" s="26" t="str">
        <f t="shared" si="33"/>
        <v>No</v>
      </c>
      <c r="AA245" s="27" t="str">
        <f t="shared" si="34"/>
        <v>No</v>
      </c>
      <c r="AD245" s="24" t="str">
        <f t="shared" si="35"/>
        <v>Regular</v>
      </c>
      <c r="AF245" s="28" t="str">
        <f t="shared" si="36"/>
        <v>Discounted</v>
      </c>
    </row>
    <row r="246" spans="1:32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0">
        <v>9628.48</v>
      </c>
      <c r="P246" s="1">
        <f t="shared" si="29"/>
        <v>12035.6</v>
      </c>
      <c r="R246" s="19" t="str">
        <f t="shared" si="30"/>
        <v>NO</v>
      </c>
      <c r="S246" s="20" t="str">
        <f t="shared" si="31"/>
        <v>YES</v>
      </c>
      <c r="U246" s="23" t="str">
        <f t="shared" si="32"/>
        <v>NO</v>
      </c>
      <c r="W246" s="24" t="str">
        <f t="shared" si="28"/>
        <v>No</v>
      </c>
      <c r="Y246" s="26" t="str">
        <f t="shared" si="33"/>
        <v>No</v>
      </c>
      <c r="AA246" s="27" t="str">
        <f t="shared" si="34"/>
        <v>No</v>
      </c>
      <c r="AD246" s="24" t="str">
        <f t="shared" si="35"/>
        <v>Regular</v>
      </c>
      <c r="AF246" s="28" t="str">
        <f t="shared" si="36"/>
        <v>Non Disc</v>
      </c>
    </row>
    <row r="247" spans="1:32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0">
        <v>2928.33</v>
      </c>
      <c r="P247" s="1">
        <f t="shared" si="29"/>
        <v>3082.45</v>
      </c>
      <c r="R247" s="19" t="str">
        <f t="shared" si="30"/>
        <v>NO</v>
      </c>
      <c r="S247" s="20" t="str">
        <f t="shared" si="31"/>
        <v>NO</v>
      </c>
      <c r="U247" s="23" t="str">
        <f t="shared" si="32"/>
        <v>YES</v>
      </c>
      <c r="W247" s="24" t="str">
        <f t="shared" si="28"/>
        <v>No</v>
      </c>
      <c r="Y247" s="26" t="str">
        <f t="shared" si="33"/>
        <v>yes</v>
      </c>
      <c r="AA247" s="27" t="str">
        <f t="shared" si="34"/>
        <v>Yes</v>
      </c>
      <c r="AD247" s="24" t="str">
        <f t="shared" si="35"/>
        <v>Regular</v>
      </c>
      <c r="AF247" s="28" t="str">
        <f t="shared" si="36"/>
        <v>Discounted</v>
      </c>
    </row>
    <row r="248" spans="1:32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0">
        <v>11772.71</v>
      </c>
      <c r="P248" s="1">
        <f t="shared" si="29"/>
        <v>14715.89</v>
      </c>
      <c r="R248" s="19" t="str">
        <f t="shared" si="30"/>
        <v>YES</v>
      </c>
      <c r="S248" s="20" t="str">
        <f t="shared" si="31"/>
        <v>NO</v>
      </c>
      <c r="U248" s="23" t="str">
        <f t="shared" si="32"/>
        <v>NO</v>
      </c>
      <c r="W248" s="24" t="str">
        <f t="shared" si="28"/>
        <v>No</v>
      </c>
      <c r="Y248" s="26" t="str">
        <f t="shared" si="33"/>
        <v>No</v>
      </c>
      <c r="AA248" s="27" t="str">
        <f t="shared" si="34"/>
        <v>No</v>
      </c>
      <c r="AD248" s="24" t="str">
        <f t="shared" si="35"/>
        <v>Regular</v>
      </c>
      <c r="AF248" s="28" t="str">
        <f t="shared" si="36"/>
        <v>Discounted</v>
      </c>
    </row>
    <row r="249" spans="1:32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0">
        <v>14593.15</v>
      </c>
      <c r="P249" s="1">
        <f t="shared" si="29"/>
        <v>18241.440000000002</v>
      </c>
      <c r="R249" s="19" t="str">
        <f t="shared" si="30"/>
        <v>YES</v>
      </c>
      <c r="S249" s="20" t="str">
        <f t="shared" si="31"/>
        <v>NO</v>
      </c>
      <c r="U249" s="23" t="str">
        <f t="shared" si="32"/>
        <v>NO</v>
      </c>
      <c r="W249" s="24" t="str">
        <f t="shared" si="28"/>
        <v>No</v>
      </c>
      <c r="Y249" s="26" t="str">
        <f t="shared" si="33"/>
        <v>No</v>
      </c>
      <c r="AA249" s="27" t="str">
        <f t="shared" si="34"/>
        <v>No</v>
      </c>
      <c r="AD249" s="24" t="str">
        <f t="shared" si="35"/>
        <v>Regular</v>
      </c>
      <c r="AF249" s="28" t="str">
        <f t="shared" si="36"/>
        <v>Discounted</v>
      </c>
    </row>
    <row r="250" spans="1:32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0">
        <v>3942.92</v>
      </c>
      <c r="P250" s="1">
        <f t="shared" si="29"/>
        <v>3942.92</v>
      </c>
      <c r="R250" s="19" t="str">
        <f t="shared" si="30"/>
        <v>NO</v>
      </c>
      <c r="S250" s="20" t="str">
        <f t="shared" si="31"/>
        <v>NO</v>
      </c>
      <c r="U250" s="23" t="str">
        <f t="shared" si="32"/>
        <v>YES</v>
      </c>
      <c r="W250" s="24" t="str">
        <f t="shared" ref="W250:W313" si="37">IF(AND(L250&lt;3,O250&lt;=1000),"Special Attention","No")</f>
        <v>No</v>
      </c>
      <c r="Y250" s="26" t="str">
        <f t="shared" si="33"/>
        <v>No</v>
      </c>
      <c r="AA250" s="27" t="str">
        <f t="shared" si="34"/>
        <v>No</v>
      </c>
      <c r="AD250" s="24" t="str">
        <f t="shared" si="35"/>
        <v>Regular</v>
      </c>
      <c r="AF250" s="28" t="str">
        <f t="shared" si="36"/>
        <v>Discounted</v>
      </c>
    </row>
    <row r="251" spans="1:32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0">
        <v>23767.17</v>
      </c>
      <c r="P251" s="1">
        <f t="shared" si="29"/>
        <v>27961.38</v>
      </c>
      <c r="R251" s="19" t="str">
        <f t="shared" si="30"/>
        <v>YES</v>
      </c>
      <c r="S251" s="20" t="str">
        <f t="shared" si="31"/>
        <v>YES</v>
      </c>
      <c r="U251" s="23" t="str">
        <f t="shared" si="32"/>
        <v>YES</v>
      </c>
      <c r="W251" s="24" t="str">
        <f t="shared" si="37"/>
        <v>No</v>
      </c>
      <c r="Y251" s="26" t="str">
        <f t="shared" si="33"/>
        <v>No</v>
      </c>
      <c r="AA251" s="27" t="str">
        <f t="shared" si="34"/>
        <v>No</v>
      </c>
      <c r="AD251" s="24" t="str">
        <f t="shared" si="35"/>
        <v>Regular</v>
      </c>
      <c r="AF251" s="28" t="str">
        <f t="shared" si="36"/>
        <v>Non Disc</v>
      </c>
    </row>
    <row r="252" spans="1:32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0">
        <v>11662.66</v>
      </c>
      <c r="P252" s="1">
        <f t="shared" si="29"/>
        <v>14578.32</v>
      </c>
      <c r="R252" s="19" t="str">
        <f t="shared" si="30"/>
        <v>YES</v>
      </c>
      <c r="S252" s="20" t="str">
        <f t="shared" si="31"/>
        <v>YES</v>
      </c>
      <c r="U252" s="23" t="str">
        <f t="shared" si="32"/>
        <v>YES</v>
      </c>
      <c r="W252" s="24" t="str">
        <f t="shared" si="37"/>
        <v>No</v>
      </c>
      <c r="Y252" s="26" t="str">
        <f t="shared" si="33"/>
        <v>No</v>
      </c>
      <c r="AA252" s="27" t="str">
        <f t="shared" si="34"/>
        <v>No</v>
      </c>
      <c r="AD252" s="24" t="str">
        <f t="shared" si="35"/>
        <v>Regular</v>
      </c>
      <c r="AF252" s="28" t="str">
        <f t="shared" si="36"/>
        <v>Non Disc</v>
      </c>
    </row>
    <row r="253" spans="1:32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0">
        <v>5980.16</v>
      </c>
      <c r="P253" s="1">
        <f t="shared" si="29"/>
        <v>7475.2</v>
      </c>
      <c r="R253" s="19" t="str">
        <f t="shared" si="30"/>
        <v>NO</v>
      </c>
      <c r="S253" s="20" t="str">
        <f t="shared" si="31"/>
        <v>NO</v>
      </c>
      <c r="U253" s="23" t="str">
        <f t="shared" si="32"/>
        <v>YES</v>
      </c>
      <c r="W253" s="24" t="str">
        <f t="shared" si="37"/>
        <v>No</v>
      </c>
      <c r="Y253" s="26" t="str">
        <f t="shared" si="33"/>
        <v>yes</v>
      </c>
      <c r="AA253" s="27" t="str">
        <f t="shared" si="34"/>
        <v>Yes</v>
      </c>
      <c r="AD253" s="24" t="str">
        <f t="shared" si="35"/>
        <v>Regular</v>
      </c>
      <c r="AF253" s="28" t="str">
        <f t="shared" si="36"/>
        <v>Discounted</v>
      </c>
    </row>
    <row r="254" spans="1:32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0">
        <v>10762.15</v>
      </c>
      <c r="P254" s="1">
        <f t="shared" si="29"/>
        <v>12661.35</v>
      </c>
      <c r="R254" s="19" t="str">
        <f t="shared" si="30"/>
        <v>NO</v>
      </c>
      <c r="S254" s="20" t="str">
        <f t="shared" si="31"/>
        <v>NO</v>
      </c>
      <c r="U254" s="23" t="str">
        <f t="shared" si="32"/>
        <v>YES</v>
      </c>
      <c r="W254" s="24" t="str">
        <f t="shared" si="37"/>
        <v>No</v>
      </c>
      <c r="Y254" s="26" t="str">
        <f t="shared" si="33"/>
        <v>yes</v>
      </c>
      <c r="AA254" s="27" t="str">
        <f t="shared" si="34"/>
        <v>Yes</v>
      </c>
      <c r="AD254" s="24" t="str">
        <f t="shared" si="35"/>
        <v>Regular</v>
      </c>
      <c r="AF254" s="28" t="str">
        <f t="shared" si="36"/>
        <v>Discounted</v>
      </c>
    </row>
    <row r="255" spans="1:32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0">
        <v>5423.32</v>
      </c>
      <c r="P255" s="1">
        <f t="shared" si="29"/>
        <v>5423.32</v>
      </c>
      <c r="R255" s="19" t="str">
        <f t="shared" si="30"/>
        <v>NO</v>
      </c>
      <c r="S255" s="20" t="str">
        <f t="shared" si="31"/>
        <v>NO</v>
      </c>
      <c r="U255" s="23" t="str">
        <f t="shared" si="32"/>
        <v>YES</v>
      </c>
      <c r="W255" s="24" t="str">
        <f t="shared" si="37"/>
        <v>No</v>
      </c>
      <c r="Y255" s="26" t="str">
        <f t="shared" si="33"/>
        <v>No</v>
      </c>
      <c r="AA255" s="27" t="str">
        <f t="shared" si="34"/>
        <v>No</v>
      </c>
      <c r="AD255" s="24" t="str">
        <f t="shared" si="35"/>
        <v>Regular</v>
      </c>
      <c r="AF255" s="28" t="str">
        <f t="shared" si="36"/>
        <v>Discounted</v>
      </c>
    </row>
    <row r="256" spans="1:32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0">
        <v>15894.71</v>
      </c>
      <c r="P256" s="1">
        <f t="shared" si="29"/>
        <v>18699.659999999996</v>
      </c>
      <c r="R256" s="19" t="str">
        <f t="shared" si="30"/>
        <v>YES</v>
      </c>
      <c r="S256" s="20" t="str">
        <f t="shared" si="31"/>
        <v>YES</v>
      </c>
      <c r="U256" s="23" t="str">
        <f t="shared" si="32"/>
        <v>YES</v>
      </c>
      <c r="W256" s="24" t="str">
        <f t="shared" si="37"/>
        <v>No</v>
      </c>
      <c r="Y256" s="26" t="str">
        <f t="shared" si="33"/>
        <v>No</v>
      </c>
      <c r="AA256" s="27" t="str">
        <f t="shared" si="34"/>
        <v>No</v>
      </c>
      <c r="AD256" s="24" t="str">
        <f t="shared" si="35"/>
        <v>Regular</v>
      </c>
      <c r="AF256" s="28" t="str">
        <f t="shared" si="36"/>
        <v>Non Disc</v>
      </c>
    </row>
    <row r="257" spans="1:32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0">
        <v>15796.32</v>
      </c>
      <c r="P257" s="1">
        <f t="shared" si="29"/>
        <v>15796.32</v>
      </c>
      <c r="R257" s="19" t="str">
        <f t="shared" si="30"/>
        <v>YES</v>
      </c>
      <c r="S257" s="20" t="str">
        <f t="shared" si="31"/>
        <v>NO</v>
      </c>
      <c r="U257" s="23" t="str">
        <f t="shared" si="32"/>
        <v>YES</v>
      </c>
      <c r="W257" s="24" t="str">
        <f t="shared" si="37"/>
        <v>No</v>
      </c>
      <c r="Y257" s="26" t="str">
        <f t="shared" si="33"/>
        <v>yes</v>
      </c>
      <c r="AA257" s="27" t="str">
        <f t="shared" si="34"/>
        <v>Yes</v>
      </c>
      <c r="AD257" s="24" t="str">
        <f t="shared" si="35"/>
        <v>Regular</v>
      </c>
      <c r="AF257" s="28" t="str">
        <f t="shared" si="36"/>
        <v>Discounted</v>
      </c>
    </row>
    <row r="258" spans="1:32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0">
        <v>685.71</v>
      </c>
      <c r="P258" s="1">
        <f t="shared" si="29"/>
        <v>721.8</v>
      </c>
      <c r="R258" s="19" t="str">
        <f t="shared" si="30"/>
        <v>NO</v>
      </c>
      <c r="S258" s="20" t="str">
        <f t="shared" si="31"/>
        <v>NO</v>
      </c>
      <c r="U258" s="23" t="str">
        <f t="shared" si="32"/>
        <v>YES</v>
      </c>
      <c r="W258" s="24" t="str">
        <f t="shared" si="37"/>
        <v>No</v>
      </c>
      <c r="Y258" s="26" t="str">
        <f t="shared" si="33"/>
        <v>yes</v>
      </c>
      <c r="AA258" s="27" t="str">
        <f t="shared" si="34"/>
        <v>Yes</v>
      </c>
      <c r="AD258" s="24" t="str">
        <f t="shared" si="35"/>
        <v>Regular</v>
      </c>
      <c r="AF258" s="28" t="str">
        <f t="shared" si="36"/>
        <v>Discounted</v>
      </c>
    </row>
    <row r="259" spans="1:32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0">
        <v>12628.35</v>
      </c>
      <c r="P259" s="1">
        <f t="shared" ref="P259:P322" si="38">L259*M259</f>
        <v>12628.35</v>
      </c>
      <c r="R259" s="19" t="str">
        <f t="shared" ref="R259:R322" si="39">IF(AND(L259&gt;5,O259&gt;10000),"YES","NO")</f>
        <v>YES</v>
      </c>
      <c r="S259" s="20" t="str">
        <f t="shared" ref="S259:S322" si="40">IF(AND(L259&gt;=8,N259&gt;=10),"YES","NO")</f>
        <v>NO</v>
      </c>
      <c r="U259" s="23" t="str">
        <f t="shared" ref="U259:U322" si="41">IF(OR(G259="Mobile App",G259="Website"),"YES","NO")</f>
        <v>YES</v>
      </c>
      <c r="W259" s="24" t="str">
        <f t="shared" si="37"/>
        <v>No</v>
      </c>
      <c r="Y259" s="26" t="str">
        <f t="shared" ref="Y259:Y322" si="42">IF(NOT(G259="Website"),"No","yes")</f>
        <v>yes</v>
      </c>
      <c r="AA259" s="27" t="str">
        <f t="shared" ref="AA259:AA322" si="43">IF(G259&lt;&gt;"Website","No","Yes")</f>
        <v>Yes</v>
      </c>
      <c r="AD259" s="24" t="str">
        <f t="shared" ref="AD259:AD322" si="44">IF(AND(O259&gt;15000,OR(I259="Electronics",I259="Beauty")),"Premium","Regular")</f>
        <v>Regular</v>
      </c>
      <c r="AF259" s="28" t="str">
        <f t="shared" ref="AF259:AF322" si="45">IF(AND(L259&gt;=8,N259&lt;&gt;0),"Non Disc","Discounted")</f>
        <v>Discounted</v>
      </c>
    </row>
    <row r="260" spans="1:32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0">
        <v>10464.43</v>
      </c>
      <c r="P260" s="1">
        <f t="shared" si="38"/>
        <v>11015.19</v>
      </c>
      <c r="R260" s="19" t="str">
        <f t="shared" si="39"/>
        <v>YES</v>
      </c>
      <c r="S260" s="20" t="str">
        <f t="shared" si="40"/>
        <v>NO</v>
      </c>
      <c r="U260" s="23" t="str">
        <f t="shared" si="41"/>
        <v>YES</v>
      </c>
      <c r="W260" s="24" t="str">
        <f t="shared" si="37"/>
        <v>No</v>
      </c>
      <c r="Y260" s="26" t="str">
        <f t="shared" si="42"/>
        <v>yes</v>
      </c>
      <c r="AA260" s="27" t="str">
        <f t="shared" si="43"/>
        <v>Yes</v>
      </c>
      <c r="AD260" s="24" t="str">
        <f t="shared" si="44"/>
        <v>Regular</v>
      </c>
      <c r="AF260" s="28" t="str">
        <f t="shared" si="45"/>
        <v>Non Disc</v>
      </c>
    </row>
    <row r="261" spans="1:32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0">
        <v>1844.86</v>
      </c>
      <c r="P261" s="1">
        <f t="shared" si="38"/>
        <v>1941.96</v>
      </c>
      <c r="R261" s="19" t="str">
        <f t="shared" si="39"/>
        <v>NO</v>
      </c>
      <c r="S261" s="20" t="str">
        <f t="shared" si="40"/>
        <v>NO</v>
      </c>
      <c r="U261" s="23" t="str">
        <f t="shared" si="41"/>
        <v>YES</v>
      </c>
      <c r="W261" s="24" t="str">
        <f t="shared" si="37"/>
        <v>No</v>
      </c>
      <c r="Y261" s="26" t="str">
        <f t="shared" si="42"/>
        <v>No</v>
      </c>
      <c r="AA261" s="27" t="str">
        <f t="shared" si="43"/>
        <v>No</v>
      </c>
      <c r="AD261" s="24" t="str">
        <f t="shared" si="44"/>
        <v>Regular</v>
      </c>
      <c r="AF261" s="28" t="str">
        <f t="shared" si="45"/>
        <v>Discounted</v>
      </c>
    </row>
    <row r="262" spans="1:32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0">
        <v>1066.5</v>
      </c>
      <c r="P262" s="1">
        <f t="shared" si="38"/>
        <v>1066.5</v>
      </c>
      <c r="R262" s="19" t="str">
        <f t="shared" si="39"/>
        <v>NO</v>
      </c>
      <c r="S262" s="20" t="str">
        <f t="shared" si="40"/>
        <v>NO</v>
      </c>
      <c r="U262" s="23" t="str">
        <f t="shared" si="41"/>
        <v>YES</v>
      </c>
      <c r="W262" s="24" t="str">
        <f t="shared" si="37"/>
        <v>No</v>
      </c>
      <c r="Y262" s="26" t="str">
        <f t="shared" si="42"/>
        <v>yes</v>
      </c>
      <c r="AA262" s="27" t="str">
        <f t="shared" si="43"/>
        <v>Yes</v>
      </c>
      <c r="AD262" s="24" t="str">
        <f t="shared" si="44"/>
        <v>Regular</v>
      </c>
      <c r="AF262" s="28" t="str">
        <f t="shared" si="45"/>
        <v>Discounted</v>
      </c>
    </row>
    <row r="263" spans="1:32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0">
        <v>15575.43</v>
      </c>
      <c r="P263" s="1">
        <f t="shared" si="38"/>
        <v>17306.03</v>
      </c>
      <c r="R263" s="19" t="str">
        <f t="shared" si="39"/>
        <v>YES</v>
      </c>
      <c r="S263" s="20" t="str">
        <f t="shared" si="40"/>
        <v>NO</v>
      </c>
      <c r="U263" s="23" t="str">
        <f t="shared" si="41"/>
        <v>YES</v>
      </c>
      <c r="W263" s="24" t="str">
        <f t="shared" si="37"/>
        <v>No</v>
      </c>
      <c r="Y263" s="26" t="str">
        <f t="shared" si="42"/>
        <v>No</v>
      </c>
      <c r="AA263" s="27" t="str">
        <f t="shared" si="43"/>
        <v>No</v>
      </c>
      <c r="AD263" s="24" t="str">
        <f t="shared" si="44"/>
        <v>Regular</v>
      </c>
      <c r="AF263" s="28" t="str">
        <f t="shared" si="45"/>
        <v>Discounted</v>
      </c>
    </row>
    <row r="264" spans="1:32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0">
        <v>15161.02</v>
      </c>
      <c r="P264" s="1">
        <f t="shared" si="38"/>
        <v>15161.02</v>
      </c>
      <c r="R264" s="19" t="str">
        <f t="shared" si="39"/>
        <v>YES</v>
      </c>
      <c r="S264" s="20" t="str">
        <f t="shared" si="40"/>
        <v>NO</v>
      </c>
      <c r="U264" s="23" t="str">
        <f t="shared" si="41"/>
        <v>NO</v>
      </c>
      <c r="W264" s="24" t="str">
        <f t="shared" si="37"/>
        <v>No</v>
      </c>
      <c r="Y264" s="26" t="str">
        <f t="shared" si="42"/>
        <v>No</v>
      </c>
      <c r="AA264" s="27" t="str">
        <f t="shared" si="43"/>
        <v>No</v>
      </c>
      <c r="AD264" s="24" t="str">
        <f t="shared" si="44"/>
        <v>Premium</v>
      </c>
      <c r="AF264" s="28" t="str">
        <f t="shared" si="45"/>
        <v>Discounted</v>
      </c>
    </row>
    <row r="265" spans="1:32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0">
        <v>3604.16</v>
      </c>
      <c r="P265" s="1">
        <f t="shared" si="38"/>
        <v>4505.2</v>
      </c>
      <c r="R265" s="19" t="str">
        <f t="shared" si="39"/>
        <v>NO</v>
      </c>
      <c r="S265" s="20" t="str">
        <f t="shared" si="40"/>
        <v>NO</v>
      </c>
      <c r="U265" s="23" t="str">
        <f t="shared" si="41"/>
        <v>NO</v>
      </c>
      <c r="W265" s="24" t="str">
        <f t="shared" si="37"/>
        <v>No</v>
      </c>
      <c r="Y265" s="26" t="str">
        <f t="shared" si="42"/>
        <v>No</v>
      </c>
      <c r="AA265" s="27" t="str">
        <f t="shared" si="43"/>
        <v>No</v>
      </c>
      <c r="AD265" s="24" t="str">
        <f t="shared" si="44"/>
        <v>Regular</v>
      </c>
      <c r="AF265" s="28" t="str">
        <f t="shared" si="45"/>
        <v>Discounted</v>
      </c>
    </row>
    <row r="266" spans="1:32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0">
        <v>14134.75</v>
      </c>
      <c r="P266" s="1">
        <f t="shared" si="38"/>
        <v>17668.440000000002</v>
      </c>
      <c r="R266" s="19" t="str">
        <f t="shared" si="39"/>
        <v>YES</v>
      </c>
      <c r="S266" s="20" t="str">
        <f t="shared" si="40"/>
        <v>YES</v>
      </c>
      <c r="U266" s="23" t="str">
        <f t="shared" si="41"/>
        <v>YES</v>
      </c>
      <c r="W266" s="24" t="str">
        <f t="shared" si="37"/>
        <v>No</v>
      </c>
      <c r="Y266" s="26" t="str">
        <f t="shared" si="42"/>
        <v>yes</v>
      </c>
      <c r="AA266" s="27" t="str">
        <f t="shared" si="43"/>
        <v>Yes</v>
      </c>
      <c r="AD266" s="24" t="str">
        <f t="shared" si="44"/>
        <v>Regular</v>
      </c>
      <c r="AF266" s="28" t="str">
        <f t="shared" si="45"/>
        <v>Non Disc</v>
      </c>
    </row>
    <row r="267" spans="1:32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0">
        <v>14724.65</v>
      </c>
      <c r="P267" s="1">
        <f t="shared" si="38"/>
        <v>16360.72</v>
      </c>
      <c r="R267" s="19" t="str">
        <f t="shared" si="39"/>
        <v>YES</v>
      </c>
      <c r="S267" s="20" t="str">
        <f t="shared" si="40"/>
        <v>YES</v>
      </c>
      <c r="U267" s="23" t="str">
        <f t="shared" si="41"/>
        <v>NO</v>
      </c>
      <c r="W267" s="24" t="str">
        <f t="shared" si="37"/>
        <v>No</v>
      </c>
      <c r="Y267" s="26" t="str">
        <f t="shared" si="42"/>
        <v>No</v>
      </c>
      <c r="AA267" s="27" t="str">
        <f t="shared" si="43"/>
        <v>No</v>
      </c>
      <c r="AD267" s="24" t="str">
        <f t="shared" si="44"/>
        <v>Regular</v>
      </c>
      <c r="AF267" s="28" t="str">
        <f t="shared" si="45"/>
        <v>Non Disc</v>
      </c>
    </row>
    <row r="268" spans="1:32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0">
        <v>855.74</v>
      </c>
      <c r="P268" s="1">
        <f t="shared" si="38"/>
        <v>900.78</v>
      </c>
      <c r="R268" s="19" t="str">
        <f t="shared" si="39"/>
        <v>NO</v>
      </c>
      <c r="S268" s="20" t="str">
        <f t="shared" si="40"/>
        <v>NO</v>
      </c>
      <c r="U268" s="23" t="str">
        <f t="shared" si="41"/>
        <v>NO</v>
      </c>
      <c r="W268" s="24" t="str">
        <f t="shared" si="37"/>
        <v>Special Attention</v>
      </c>
      <c r="Y268" s="26" t="str">
        <f t="shared" si="42"/>
        <v>No</v>
      </c>
      <c r="AA268" s="27" t="str">
        <f t="shared" si="43"/>
        <v>No</v>
      </c>
      <c r="AD268" s="24" t="str">
        <f t="shared" si="44"/>
        <v>Regular</v>
      </c>
      <c r="AF268" s="28" t="str">
        <f t="shared" si="45"/>
        <v>Discounted</v>
      </c>
    </row>
    <row r="269" spans="1:32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0">
        <v>2394.5</v>
      </c>
      <c r="P269" s="1">
        <f t="shared" si="38"/>
        <v>2660.56</v>
      </c>
      <c r="R269" s="19" t="str">
        <f t="shared" si="39"/>
        <v>NO</v>
      </c>
      <c r="S269" s="20" t="str">
        <f t="shared" si="40"/>
        <v>NO</v>
      </c>
      <c r="U269" s="23" t="str">
        <f t="shared" si="41"/>
        <v>NO</v>
      </c>
      <c r="W269" s="24" t="str">
        <f t="shared" si="37"/>
        <v>No</v>
      </c>
      <c r="Y269" s="26" t="str">
        <f t="shared" si="42"/>
        <v>No</v>
      </c>
      <c r="AA269" s="27" t="str">
        <f t="shared" si="43"/>
        <v>No</v>
      </c>
      <c r="AD269" s="24" t="str">
        <f t="shared" si="44"/>
        <v>Regular</v>
      </c>
      <c r="AF269" s="28" t="str">
        <f t="shared" si="45"/>
        <v>Discounted</v>
      </c>
    </row>
    <row r="270" spans="1:32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0">
        <v>12626.16</v>
      </c>
      <c r="P270" s="1">
        <f t="shared" si="38"/>
        <v>15782.7</v>
      </c>
      <c r="R270" s="19" t="str">
        <f t="shared" si="39"/>
        <v>NO</v>
      </c>
      <c r="S270" s="20" t="str">
        <f t="shared" si="40"/>
        <v>NO</v>
      </c>
      <c r="U270" s="23" t="str">
        <f t="shared" si="41"/>
        <v>YES</v>
      </c>
      <c r="W270" s="24" t="str">
        <f t="shared" si="37"/>
        <v>No</v>
      </c>
      <c r="Y270" s="26" t="str">
        <f t="shared" si="42"/>
        <v>yes</v>
      </c>
      <c r="AA270" s="27" t="str">
        <f t="shared" si="43"/>
        <v>Yes</v>
      </c>
      <c r="AD270" s="24" t="str">
        <f t="shared" si="44"/>
        <v>Regular</v>
      </c>
      <c r="AF270" s="28" t="str">
        <f t="shared" si="45"/>
        <v>Discounted</v>
      </c>
    </row>
    <row r="271" spans="1:32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0">
        <v>17264.5</v>
      </c>
      <c r="P271" s="1">
        <f t="shared" si="38"/>
        <v>19182.78</v>
      </c>
      <c r="R271" s="19" t="str">
        <f t="shared" si="39"/>
        <v>YES</v>
      </c>
      <c r="S271" s="20" t="str">
        <f t="shared" si="40"/>
        <v>NO</v>
      </c>
      <c r="U271" s="23" t="str">
        <f t="shared" si="41"/>
        <v>YES</v>
      </c>
      <c r="W271" s="24" t="str">
        <f t="shared" si="37"/>
        <v>No</v>
      </c>
      <c r="Y271" s="26" t="str">
        <f t="shared" si="42"/>
        <v>yes</v>
      </c>
      <c r="AA271" s="27" t="str">
        <f t="shared" si="43"/>
        <v>Yes</v>
      </c>
      <c r="AD271" s="24" t="str">
        <f t="shared" si="44"/>
        <v>Regular</v>
      </c>
      <c r="AF271" s="28" t="str">
        <f t="shared" si="45"/>
        <v>Discounted</v>
      </c>
    </row>
    <row r="272" spans="1:32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0">
        <v>7408.53</v>
      </c>
      <c r="P272" s="1">
        <f t="shared" si="38"/>
        <v>7408.5300000000007</v>
      </c>
      <c r="R272" s="19" t="str">
        <f t="shared" si="39"/>
        <v>NO</v>
      </c>
      <c r="S272" s="20" t="str">
        <f t="shared" si="40"/>
        <v>NO</v>
      </c>
      <c r="U272" s="23" t="str">
        <f t="shared" si="41"/>
        <v>NO</v>
      </c>
      <c r="W272" s="24" t="str">
        <f t="shared" si="37"/>
        <v>No</v>
      </c>
      <c r="Y272" s="26" t="str">
        <f t="shared" si="42"/>
        <v>No</v>
      </c>
      <c r="AA272" s="27" t="str">
        <f t="shared" si="43"/>
        <v>No</v>
      </c>
      <c r="AD272" s="24" t="str">
        <f t="shared" si="44"/>
        <v>Regular</v>
      </c>
      <c r="AF272" s="28" t="str">
        <f t="shared" si="45"/>
        <v>Discounted</v>
      </c>
    </row>
    <row r="273" spans="1:32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0">
        <v>17170.46</v>
      </c>
      <c r="P273" s="1">
        <f t="shared" si="38"/>
        <v>19078.29</v>
      </c>
      <c r="R273" s="19" t="str">
        <f t="shared" si="39"/>
        <v>YES</v>
      </c>
      <c r="S273" s="20" t="str">
        <f t="shared" si="40"/>
        <v>YES</v>
      </c>
      <c r="U273" s="23" t="str">
        <f t="shared" si="41"/>
        <v>YES</v>
      </c>
      <c r="W273" s="24" t="str">
        <f t="shared" si="37"/>
        <v>No</v>
      </c>
      <c r="Y273" s="26" t="str">
        <f t="shared" si="42"/>
        <v>No</v>
      </c>
      <c r="AA273" s="27" t="str">
        <f t="shared" si="43"/>
        <v>No</v>
      </c>
      <c r="AD273" s="24" t="str">
        <f t="shared" si="44"/>
        <v>Regular</v>
      </c>
      <c r="AF273" s="28" t="str">
        <f t="shared" si="45"/>
        <v>Non Disc</v>
      </c>
    </row>
    <row r="274" spans="1:32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0">
        <v>2193.8200000000002</v>
      </c>
      <c r="P274" s="1">
        <f t="shared" si="38"/>
        <v>2309.2799999999997</v>
      </c>
      <c r="R274" s="19" t="str">
        <f t="shared" si="39"/>
        <v>NO</v>
      </c>
      <c r="S274" s="20" t="str">
        <f t="shared" si="40"/>
        <v>NO</v>
      </c>
      <c r="U274" s="23" t="str">
        <f t="shared" si="41"/>
        <v>NO</v>
      </c>
      <c r="W274" s="24" t="str">
        <f t="shared" si="37"/>
        <v>No</v>
      </c>
      <c r="Y274" s="26" t="str">
        <f t="shared" si="42"/>
        <v>No</v>
      </c>
      <c r="AA274" s="27" t="str">
        <f t="shared" si="43"/>
        <v>No</v>
      </c>
      <c r="AD274" s="24" t="str">
        <f t="shared" si="44"/>
        <v>Regular</v>
      </c>
      <c r="AF274" s="28" t="str">
        <f t="shared" si="45"/>
        <v>Discounted</v>
      </c>
    </row>
    <row r="275" spans="1:32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0">
        <v>5032.6000000000004</v>
      </c>
      <c r="P275" s="1">
        <f t="shared" si="38"/>
        <v>5032.6000000000004</v>
      </c>
      <c r="R275" s="19" t="str">
        <f t="shared" si="39"/>
        <v>NO</v>
      </c>
      <c r="S275" s="20" t="str">
        <f t="shared" si="40"/>
        <v>NO</v>
      </c>
      <c r="U275" s="23" t="str">
        <f t="shared" si="41"/>
        <v>YES</v>
      </c>
      <c r="W275" s="24" t="str">
        <f t="shared" si="37"/>
        <v>No</v>
      </c>
      <c r="Y275" s="26" t="str">
        <f t="shared" si="42"/>
        <v>yes</v>
      </c>
      <c r="AA275" s="27" t="str">
        <f t="shared" si="43"/>
        <v>Yes</v>
      </c>
      <c r="AD275" s="24" t="str">
        <f t="shared" si="44"/>
        <v>Regular</v>
      </c>
      <c r="AF275" s="28" t="str">
        <f t="shared" si="45"/>
        <v>Discounted</v>
      </c>
    </row>
    <row r="276" spans="1:32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0">
        <v>3029.14</v>
      </c>
      <c r="P276" s="1">
        <f t="shared" si="38"/>
        <v>3563.7000000000003</v>
      </c>
      <c r="R276" s="19" t="str">
        <f t="shared" si="39"/>
        <v>NO</v>
      </c>
      <c r="S276" s="20" t="str">
        <f t="shared" si="40"/>
        <v>NO</v>
      </c>
      <c r="U276" s="23" t="str">
        <f t="shared" si="41"/>
        <v>YES</v>
      </c>
      <c r="W276" s="24" t="str">
        <f t="shared" si="37"/>
        <v>No</v>
      </c>
      <c r="Y276" s="26" t="str">
        <f t="shared" si="42"/>
        <v>yes</v>
      </c>
      <c r="AA276" s="27" t="str">
        <f t="shared" si="43"/>
        <v>Yes</v>
      </c>
      <c r="AD276" s="24" t="str">
        <f t="shared" si="44"/>
        <v>Regular</v>
      </c>
      <c r="AF276" s="28" t="str">
        <f t="shared" si="45"/>
        <v>Discounted</v>
      </c>
    </row>
    <row r="277" spans="1:32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0">
        <v>24708.61</v>
      </c>
      <c r="P277" s="1">
        <f t="shared" si="38"/>
        <v>30885.759999999998</v>
      </c>
      <c r="R277" s="19" t="str">
        <f t="shared" si="39"/>
        <v>YES</v>
      </c>
      <c r="S277" s="20" t="str">
        <f t="shared" si="40"/>
        <v>YES</v>
      </c>
      <c r="U277" s="23" t="str">
        <f t="shared" si="41"/>
        <v>YES</v>
      </c>
      <c r="W277" s="24" t="str">
        <f t="shared" si="37"/>
        <v>No</v>
      </c>
      <c r="Y277" s="26" t="str">
        <f t="shared" si="42"/>
        <v>yes</v>
      </c>
      <c r="AA277" s="27" t="str">
        <f t="shared" si="43"/>
        <v>Yes</v>
      </c>
      <c r="AD277" s="24" t="str">
        <f t="shared" si="44"/>
        <v>Premium</v>
      </c>
      <c r="AF277" s="28" t="str">
        <f t="shared" si="45"/>
        <v>Non Disc</v>
      </c>
    </row>
    <row r="278" spans="1:32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0">
        <v>4824.43</v>
      </c>
      <c r="P278" s="1">
        <f t="shared" si="38"/>
        <v>6030.5399999999991</v>
      </c>
      <c r="R278" s="19" t="str">
        <f t="shared" si="39"/>
        <v>NO</v>
      </c>
      <c r="S278" s="20" t="str">
        <f t="shared" si="40"/>
        <v>YES</v>
      </c>
      <c r="U278" s="23" t="str">
        <f t="shared" si="41"/>
        <v>NO</v>
      </c>
      <c r="W278" s="24" t="str">
        <f t="shared" si="37"/>
        <v>No</v>
      </c>
      <c r="Y278" s="26" t="str">
        <f t="shared" si="42"/>
        <v>No</v>
      </c>
      <c r="AA278" s="27" t="str">
        <f t="shared" si="43"/>
        <v>No</v>
      </c>
      <c r="AD278" s="24" t="str">
        <f t="shared" si="44"/>
        <v>Regular</v>
      </c>
      <c r="AF278" s="28" t="str">
        <f t="shared" si="45"/>
        <v>Non Disc</v>
      </c>
    </row>
    <row r="279" spans="1:32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0">
        <v>3965.44</v>
      </c>
      <c r="P279" s="1">
        <f t="shared" si="38"/>
        <v>4406.04</v>
      </c>
      <c r="R279" s="19" t="str">
        <f t="shared" si="39"/>
        <v>NO</v>
      </c>
      <c r="S279" s="20" t="str">
        <f t="shared" si="40"/>
        <v>NO</v>
      </c>
      <c r="U279" s="23" t="str">
        <f t="shared" si="41"/>
        <v>YES</v>
      </c>
      <c r="W279" s="24" t="str">
        <f t="shared" si="37"/>
        <v>No</v>
      </c>
      <c r="Y279" s="26" t="str">
        <f t="shared" si="42"/>
        <v>No</v>
      </c>
      <c r="AA279" s="27" t="str">
        <f t="shared" si="43"/>
        <v>No</v>
      </c>
      <c r="AD279" s="24" t="str">
        <f t="shared" si="44"/>
        <v>Regular</v>
      </c>
      <c r="AF279" s="28" t="str">
        <f t="shared" si="45"/>
        <v>Discounted</v>
      </c>
    </row>
    <row r="280" spans="1:32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0">
        <v>21449.22</v>
      </c>
      <c r="P280" s="1">
        <f t="shared" si="38"/>
        <v>21449.22</v>
      </c>
      <c r="R280" s="19" t="str">
        <f t="shared" si="39"/>
        <v>YES</v>
      </c>
      <c r="S280" s="20" t="str">
        <f t="shared" si="40"/>
        <v>NO</v>
      </c>
      <c r="U280" s="23" t="str">
        <f t="shared" si="41"/>
        <v>YES</v>
      </c>
      <c r="W280" s="24" t="str">
        <f t="shared" si="37"/>
        <v>No</v>
      </c>
      <c r="Y280" s="26" t="str">
        <f t="shared" si="42"/>
        <v>yes</v>
      </c>
      <c r="AA280" s="27" t="str">
        <f t="shared" si="43"/>
        <v>Yes</v>
      </c>
      <c r="AD280" s="24" t="str">
        <f t="shared" si="44"/>
        <v>Premium</v>
      </c>
      <c r="AF280" s="28" t="str">
        <f t="shared" si="45"/>
        <v>Discounted</v>
      </c>
    </row>
    <row r="281" spans="1:32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0">
        <v>25732.02</v>
      </c>
      <c r="P281" s="1">
        <f t="shared" si="38"/>
        <v>30272.959999999999</v>
      </c>
      <c r="R281" s="19" t="str">
        <f t="shared" si="39"/>
        <v>YES</v>
      </c>
      <c r="S281" s="20" t="str">
        <f t="shared" si="40"/>
        <v>YES</v>
      </c>
      <c r="U281" s="23" t="str">
        <f t="shared" si="41"/>
        <v>YES</v>
      </c>
      <c r="W281" s="24" t="str">
        <f t="shared" si="37"/>
        <v>No</v>
      </c>
      <c r="Y281" s="26" t="str">
        <f t="shared" si="42"/>
        <v>yes</v>
      </c>
      <c r="AA281" s="27" t="str">
        <f t="shared" si="43"/>
        <v>Yes</v>
      </c>
      <c r="AD281" s="24" t="str">
        <f t="shared" si="44"/>
        <v>Premium</v>
      </c>
      <c r="AF281" s="28" t="str">
        <f t="shared" si="45"/>
        <v>Non Disc</v>
      </c>
    </row>
    <row r="282" spans="1:32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0">
        <v>15492.2</v>
      </c>
      <c r="P282" s="1">
        <f t="shared" si="38"/>
        <v>15492.2</v>
      </c>
      <c r="R282" s="19" t="str">
        <f t="shared" si="39"/>
        <v>NO</v>
      </c>
      <c r="S282" s="20" t="str">
        <f t="shared" si="40"/>
        <v>NO</v>
      </c>
      <c r="U282" s="23" t="str">
        <f t="shared" si="41"/>
        <v>NO</v>
      </c>
      <c r="W282" s="24" t="str">
        <f t="shared" si="37"/>
        <v>No</v>
      </c>
      <c r="Y282" s="26" t="str">
        <f t="shared" si="42"/>
        <v>No</v>
      </c>
      <c r="AA282" s="27" t="str">
        <f t="shared" si="43"/>
        <v>No</v>
      </c>
      <c r="AD282" s="24" t="str">
        <f t="shared" si="44"/>
        <v>Regular</v>
      </c>
      <c r="AF282" s="28" t="str">
        <f t="shared" si="45"/>
        <v>Discounted</v>
      </c>
    </row>
    <row r="283" spans="1:32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0">
        <v>409.94</v>
      </c>
      <c r="P283" s="1">
        <f t="shared" si="38"/>
        <v>512.43000000000006</v>
      </c>
      <c r="R283" s="19" t="str">
        <f t="shared" si="39"/>
        <v>NO</v>
      </c>
      <c r="S283" s="20" t="str">
        <f t="shared" si="40"/>
        <v>NO</v>
      </c>
      <c r="U283" s="23" t="str">
        <f t="shared" si="41"/>
        <v>YES</v>
      </c>
      <c r="W283" s="24" t="str">
        <f t="shared" si="37"/>
        <v>No</v>
      </c>
      <c r="Y283" s="26" t="str">
        <f t="shared" si="42"/>
        <v>No</v>
      </c>
      <c r="AA283" s="27" t="str">
        <f t="shared" si="43"/>
        <v>No</v>
      </c>
      <c r="AD283" s="24" t="str">
        <f t="shared" si="44"/>
        <v>Regular</v>
      </c>
      <c r="AF283" s="28" t="str">
        <f t="shared" si="45"/>
        <v>Discounted</v>
      </c>
    </row>
    <row r="284" spans="1:32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0">
        <v>465.54</v>
      </c>
      <c r="P284" s="1">
        <f t="shared" si="38"/>
        <v>465.54</v>
      </c>
      <c r="R284" s="19" t="str">
        <f t="shared" si="39"/>
        <v>NO</v>
      </c>
      <c r="S284" s="20" t="str">
        <f t="shared" si="40"/>
        <v>NO</v>
      </c>
      <c r="U284" s="23" t="str">
        <f t="shared" si="41"/>
        <v>NO</v>
      </c>
      <c r="W284" s="24" t="str">
        <f t="shared" si="37"/>
        <v>No</v>
      </c>
      <c r="Y284" s="26" t="str">
        <f t="shared" si="42"/>
        <v>No</v>
      </c>
      <c r="AA284" s="27" t="str">
        <f t="shared" si="43"/>
        <v>No</v>
      </c>
      <c r="AD284" s="24" t="str">
        <f t="shared" si="44"/>
        <v>Regular</v>
      </c>
      <c r="AF284" s="28" t="str">
        <f t="shared" si="45"/>
        <v>Discounted</v>
      </c>
    </row>
    <row r="285" spans="1:32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0">
        <v>8189.02</v>
      </c>
      <c r="P285" s="1">
        <f t="shared" si="38"/>
        <v>9634.14</v>
      </c>
      <c r="R285" s="19" t="str">
        <f t="shared" si="39"/>
        <v>NO</v>
      </c>
      <c r="S285" s="20" t="str">
        <f t="shared" si="40"/>
        <v>NO</v>
      </c>
      <c r="U285" s="23" t="str">
        <f t="shared" si="41"/>
        <v>YES</v>
      </c>
      <c r="W285" s="24" t="str">
        <f t="shared" si="37"/>
        <v>No</v>
      </c>
      <c r="Y285" s="26" t="str">
        <f t="shared" si="42"/>
        <v>yes</v>
      </c>
      <c r="AA285" s="27" t="str">
        <f t="shared" si="43"/>
        <v>Yes</v>
      </c>
      <c r="AD285" s="24" t="str">
        <f t="shared" si="44"/>
        <v>Regular</v>
      </c>
      <c r="AF285" s="28" t="str">
        <f t="shared" si="45"/>
        <v>Discounted</v>
      </c>
    </row>
    <row r="286" spans="1:32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0">
        <v>1263.73</v>
      </c>
      <c r="P286" s="1">
        <f t="shared" si="38"/>
        <v>1404.14</v>
      </c>
      <c r="R286" s="19" t="str">
        <f t="shared" si="39"/>
        <v>NO</v>
      </c>
      <c r="S286" s="20" t="str">
        <f t="shared" si="40"/>
        <v>NO</v>
      </c>
      <c r="U286" s="23" t="str">
        <f t="shared" si="41"/>
        <v>YES</v>
      </c>
      <c r="W286" s="24" t="str">
        <f t="shared" si="37"/>
        <v>No</v>
      </c>
      <c r="Y286" s="26" t="str">
        <f t="shared" si="42"/>
        <v>No</v>
      </c>
      <c r="AA286" s="27" t="str">
        <f t="shared" si="43"/>
        <v>No</v>
      </c>
      <c r="AD286" s="24" t="str">
        <f t="shared" si="44"/>
        <v>Regular</v>
      </c>
      <c r="AF286" s="28" t="str">
        <f t="shared" si="45"/>
        <v>Discounted</v>
      </c>
    </row>
    <row r="287" spans="1:32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0">
        <v>1258.5</v>
      </c>
      <c r="P287" s="1">
        <f t="shared" si="38"/>
        <v>1324.74</v>
      </c>
      <c r="R287" s="19" t="str">
        <f t="shared" si="39"/>
        <v>NO</v>
      </c>
      <c r="S287" s="20" t="str">
        <f t="shared" si="40"/>
        <v>NO</v>
      </c>
      <c r="U287" s="23" t="str">
        <f t="shared" si="41"/>
        <v>YES</v>
      </c>
      <c r="W287" s="24" t="str">
        <f t="shared" si="37"/>
        <v>No</v>
      </c>
      <c r="Y287" s="26" t="str">
        <f t="shared" si="42"/>
        <v>No</v>
      </c>
      <c r="AA287" s="27" t="str">
        <f t="shared" si="43"/>
        <v>No</v>
      </c>
      <c r="AD287" s="24" t="str">
        <f t="shared" si="44"/>
        <v>Regular</v>
      </c>
      <c r="AF287" s="28" t="str">
        <f t="shared" si="45"/>
        <v>Discounted</v>
      </c>
    </row>
    <row r="288" spans="1:32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0">
        <v>11619.96</v>
      </c>
      <c r="P288" s="1">
        <f t="shared" si="38"/>
        <v>11619.960000000001</v>
      </c>
      <c r="R288" s="19" t="str">
        <f t="shared" si="39"/>
        <v>YES</v>
      </c>
      <c r="S288" s="20" t="str">
        <f t="shared" si="40"/>
        <v>NO</v>
      </c>
      <c r="U288" s="23" t="str">
        <f t="shared" si="41"/>
        <v>YES</v>
      </c>
      <c r="W288" s="24" t="str">
        <f t="shared" si="37"/>
        <v>No</v>
      </c>
      <c r="Y288" s="26" t="str">
        <f t="shared" si="42"/>
        <v>yes</v>
      </c>
      <c r="AA288" s="27" t="str">
        <f t="shared" si="43"/>
        <v>Yes</v>
      </c>
      <c r="AD288" s="24" t="str">
        <f t="shared" si="44"/>
        <v>Regular</v>
      </c>
      <c r="AF288" s="28" t="str">
        <f t="shared" si="45"/>
        <v>Discounted</v>
      </c>
    </row>
    <row r="289" spans="1:32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0">
        <v>28734</v>
      </c>
      <c r="P289" s="1">
        <f t="shared" si="38"/>
        <v>30246.32</v>
      </c>
      <c r="R289" s="19" t="str">
        <f t="shared" si="39"/>
        <v>YES</v>
      </c>
      <c r="S289" s="20" t="str">
        <f t="shared" si="40"/>
        <v>NO</v>
      </c>
      <c r="U289" s="23" t="str">
        <f t="shared" si="41"/>
        <v>YES</v>
      </c>
      <c r="W289" s="24" t="str">
        <f t="shared" si="37"/>
        <v>No</v>
      </c>
      <c r="Y289" s="26" t="str">
        <f t="shared" si="42"/>
        <v>No</v>
      </c>
      <c r="AA289" s="27" t="str">
        <f t="shared" si="43"/>
        <v>No</v>
      </c>
      <c r="AD289" s="24" t="str">
        <f t="shared" si="44"/>
        <v>Regular</v>
      </c>
      <c r="AF289" s="28" t="str">
        <f t="shared" si="45"/>
        <v>Non Disc</v>
      </c>
    </row>
    <row r="290" spans="1:32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0">
        <v>7821.58</v>
      </c>
      <c r="P290" s="1">
        <f t="shared" si="38"/>
        <v>9776.9700000000012</v>
      </c>
      <c r="R290" s="19" t="str">
        <f t="shared" si="39"/>
        <v>NO</v>
      </c>
      <c r="S290" s="20" t="str">
        <f t="shared" si="40"/>
        <v>NO</v>
      </c>
      <c r="U290" s="23" t="str">
        <f t="shared" si="41"/>
        <v>YES</v>
      </c>
      <c r="W290" s="24" t="str">
        <f t="shared" si="37"/>
        <v>No</v>
      </c>
      <c r="Y290" s="26" t="str">
        <f t="shared" si="42"/>
        <v>No</v>
      </c>
      <c r="AA290" s="27" t="str">
        <f t="shared" si="43"/>
        <v>No</v>
      </c>
      <c r="AD290" s="24" t="str">
        <f t="shared" si="44"/>
        <v>Regular</v>
      </c>
      <c r="AF290" s="28" t="str">
        <f t="shared" si="45"/>
        <v>Discounted</v>
      </c>
    </row>
    <row r="291" spans="1:32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0">
        <v>19406.810000000001</v>
      </c>
      <c r="P291" s="1">
        <f t="shared" si="38"/>
        <v>21563.119999999999</v>
      </c>
      <c r="R291" s="19" t="str">
        <f t="shared" si="39"/>
        <v>YES</v>
      </c>
      <c r="S291" s="20" t="str">
        <f t="shared" si="40"/>
        <v>YES</v>
      </c>
      <c r="U291" s="23" t="str">
        <f t="shared" si="41"/>
        <v>NO</v>
      </c>
      <c r="W291" s="24" t="str">
        <f t="shared" si="37"/>
        <v>No</v>
      </c>
      <c r="Y291" s="26" t="str">
        <f t="shared" si="42"/>
        <v>No</v>
      </c>
      <c r="AA291" s="27" t="str">
        <f t="shared" si="43"/>
        <v>No</v>
      </c>
      <c r="AD291" s="24" t="str">
        <f t="shared" si="44"/>
        <v>Regular</v>
      </c>
      <c r="AF291" s="28" t="str">
        <f t="shared" si="45"/>
        <v>Non Disc</v>
      </c>
    </row>
    <row r="292" spans="1:32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0">
        <v>21554.99</v>
      </c>
      <c r="P292" s="1">
        <f t="shared" si="38"/>
        <v>23949.99</v>
      </c>
      <c r="R292" s="19" t="str">
        <f t="shared" si="39"/>
        <v>YES</v>
      </c>
      <c r="S292" s="20" t="str">
        <f t="shared" si="40"/>
        <v>YES</v>
      </c>
      <c r="U292" s="23" t="str">
        <f t="shared" si="41"/>
        <v>YES</v>
      </c>
      <c r="W292" s="24" t="str">
        <f t="shared" si="37"/>
        <v>No</v>
      </c>
      <c r="Y292" s="26" t="str">
        <f t="shared" si="42"/>
        <v>yes</v>
      </c>
      <c r="AA292" s="27" t="str">
        <f t="shared" si="43"/>
        <v>Yes</v>
      </c>
      <c r="AD292" s="24" t="str">
        <f t="shared" si="44"/>
        <v>Premium</v>
      </c>
      <c r="AF292" s="28" t="str">
        <f t="shared" si="45"/>
        <v>Non Disc</v>
      </c>
    </row>
    <row r="293" spans="1:32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0">
        <v>6699.96</v>
      </c>
      <c r="P293" s="1">
        <f t="shared" si="38"/>
        <v>6699.9600000000009</v>
      </c>
      <c r="R293" s="19" t="str">
        <f t="shared" si="39"/>
        <v>NO</v>
      </c>
      <c r="S293" s="20" t="str">
        <f t="shared" si="40"/>
        <v>NO</v>
      </c>
      <c r="U293" s="23" t="str">
        <f t="shared" si="41"/>
        <v>YES</v>
      </c>
      <c r="W293" s="24" t="str">
        <f t="shared" si="37"/>
        <v>No</v>
      </c>
      <c r="Y293" s="26" t="str">
        <f t="shared" si="42"/>
        <v>yes</v>
      </c>
      <c r="AA293" s="27" t="str">
        <f t="shared" si="43"/>
        <v>Yes</v>
      </c>
      <c r="AD293" s="24" t="str">
        <f t="shared" si="44"/>
        <v>Regular</v>
      </c>
      <c r="AF293" s="28" t="str">
        <f t="shared" si="45"/>
        <v>Discounted</v>
      </c>
    </row>
    <row r="294" spans="1:32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0">
        <v>7166.18</v>
      </c>
      <c r="P294" s="1">
        <f t="shared" si="38"/>
        <v>7962.42</v>
      </c>
      <c r="R294" s="19" t="str">
        <f t="shared" si="39"/>
        <v>NO</v>
      </c>
      <c r="S294" s="20" t="str">
        <f t="shared" si="40"/>
        <v>NO</v>
      </c>
      <c r="U294" s="23" t="str">
        <f t="shared" si="41"/>
        <v>YES</v>
      </c>
      <c r="W294" s="24" t="str">
        <f t="shared" si="37"/>
        <v>No</v>
      </c>
      <c r="Y294" s="26" t="str">
        <f t="shared" si="42"/>
        <v>yes</v>
      </c>
      <c r="AA294" s="27" t="str">
        <f t="shared" si="43"/>
        <v>Yes</v>
      </c>
      <c r="AD294" s="24" t="str">
        <f t="shared" si="44"/>
        <v>Regular</v>
      </c>
      <c r="AF294" s="28" t="str">
        <f t="shared" si="45"/>
        <v>Discounted</v>
      </c>
    </row>
    <row r="295" spans="1:32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0">
        <v>2902.47</v>
      </c>
      <c r="P295" s="1">
        <f t="shared" si="38"/>
        <v>2902.4700000000003</v>
      </c>
      <c r="R295" s="19" t="str">
        <f t="shared" si="39"/>
        <v>NO</v>
      </c>
      <c r="S295" s="20" t="str">
        <f t="shared" si="40"/>
        <v>NO</v>
      </c>
      <c r="U295" s="23" t="str">
        <f t="shared" si="41"/>
        <v>YES</v>
      </c>
      <c r="W295" s="24" t="str">
        <f t="shared" si="37"/>
        <v>No</v>
      </c>
      <c r="Y295" s="26" t="str">
        <f t="shared" si="42"/>
        <v>yes</v>
      </c>
      <c r="AA295" s="27" t="str">
        <f t="shared" si="43"/>
        <v>Yes</v>
      </c>
      <c r="AD295" s="24" t="str">
        <f t="shared" si="44"/>
        <v>Regular</v>
      </c>
      <c r="AF295" s="28" t="str">
        <f t="shared" si="45"/>
        <v>Discounted</v>
      </c>
    </row>
    <row r="296" spans="1:32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0">
        <v>619.73</v>
      </c>
      <c r="P296" s="1">
        <f t="shared" si="38"/>
        <v>619.73</v>
      </c>
      <c r="R296" s="19" t="str">
        <f t="shared" si="39"/>
        <v>NO</v>
      </c>
      <c r="S296" s="20" t="str">
        <f t="shared" si="40"/>
        <v>NO</v>
      </c>
      <c r="U296" s="23" t="str">
        <f t="shared" si="41"/>
        <v>YES</v>
      </c>
      <c r="W296" s="24" t="str">
        <f t="shared" si="37"/>
        <v>Special Attention</v>
      </c>
      <c r="Y296" s="26" t="str">
        <f t="shared" si="42"/>
        <v>yes</v>
      </c>
      <c r="AA296" s="27" t="str">
        <f t="shared" si="43"/>
        <v>Yes</v>
      </c>
      <c r="AD296" s="24" t="str">
        <f t="shared" si="44"/>
        <v>Regular</v>
      </c>
      <c r="AF296" s="28" t="str">
        <f t="shared" si="45"/>
        <v>Discounted</v>
      </c>
    </row>
    <row r="297" spans="1:32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0">
        <v>13539.07</v>
      </c>
      <c r="P297" s="1">
        <f t="shared" si="38"/>
        <v>14251.65</v>
      </c>
      <c r="R297" s="19" t="str">
        <f t="shared" si="39"/>
        <v>NO</v>
      </c>
      <c r="S297" s="20" t="str">
        <f t="shared" si="40"/>
        <v>NO</v>
      </c>
      <c r="U297" s="23" t="str">
        <f t="shared" si="41"/>
        <v>YES</v>
      </c>
      <c r="W297" s="24" t="str">
        <f t="shared" si="37"/>
        <v>No</v>
      </c>
      <c r="Y297" s="26" t="str">
        <f t="shared" si="42"/>
        <v>No</v>
      </c>
      <c r="AA297" s="27" t="str">
        <f t="shared" si="43"/>
        <v>No</v>
      </c>
      <c r="AD297" s="24" t="str">
        <f t="shared" si="44"/>
        <v>Regular</v>
      </c>
      <c r="AF297" s="28" t="str">
        <f t="shared" si="45"/>
        <v>Discounted</v>
      </c>
    </row>
    <row r="298" spans="1:32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0">
        <v>2112.3000000000002</v>
      </c>
      <c r="P298" s="1">
        <f t="shared" si="38"/>
        <v>2347</v>
      </c>
      <c r="R298" s="19" t="str">
        <f t="shared" si="39"/>
        <v>NO</v>
      </c>
      <c r="S298" s="20" t="str">
        <f t="shared" si="40"/>
        <v>NO</v>
      </c>
      <c r="U298" s="23" t="str">
        <f t="shared" si="41"/>
        <v>NO</v>
      </c>
      <c r="W298" s="24" t="str">
        <f t="shared" si="37"/>
        <v>No</v>
      </c>
      <c r="Y298" s="26" t="str">
        <f t="shared" si="42"/>
        <v>No</v>
      </c>
      <c r="AA298" s="27" t="str">
        <f t="shared" si="43"/>
        <v>No</v>
      </c>
      <c r="AD298" s="24" t="str">
        <f t="shared" si="44"/>
        <v>Regular</v>
      </c>
      <c r="AF298" s="28" t="str">
        <f t="shared" si="45"/>
        <v>Discounted</v>
      </c>
    </row>
    <row r="299" spans="1:32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0">
        <v>35892.9</v>
      </c>
      <c r="P299" s="1">
        <f t="shared" si="38"/>
        <v>35892.9</v>
      </c>
      <c r="R299" s="19" t="str">
        <f t="shared" si="39"/>
        <v>YES</v>
      </c>
      <c r="S299" s="20" t="str">
        <f t="shared" si="40"/>
        <v>NO</v>
      </c>
      <c r="U299" s="23" t="str">
        <f t="shared" si="41"/>
        <v>YES</v>
      </c>
      <c r="W299" s="24" t="str">
        <f t="shared" si="37"/>
        <v>No</v>
      </c>
      <c r="Y299" s="26" t="str">
        <f t="shared" si="42"/>
        <v>yes</v>
      </c>
      <c r="AA299" s="27" t="str">
        <f t="shared" si="43"/>
        <v>Yes</v>
      </c>
      <c r="AD299" s="24" t="str">
        <f t="shared" si="44"/>
        <v>Regular</v>
      </c>
      <c r="AF299" s="28" t="str">
        <f t="shared" si="45"/>
        <v>Discounted</v>
      </c>
    </row>
    <row r="300" spans="1:32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0">
        <v>7321.28</v>
      </c>
      <c r="P300" s="1">
        <f t="shared" si="38"/>
        <v>7706.61</v>
      </c>
      <c r="R300" s="19" t="str">
        <f t="shared" si="39"/>
        <v>NO</v>
      </c>
      <c r="S300" s="20" t="str">
        <f t="shared" si="40"/>
        <v>NO</v>
      </c>
      <c r="U300" s="23" t="str">
        <f t="shared" si="41"/>
        <v>NO</v>
      </c>
      <c r="W300" s="24" t="str">
        <f t="shared" si="37"/>
        <v>No</v>
      </c>
      <c r="Y300" s="26" t="str">
        <f t="shared" si="42"/>
        <v>No</v>
      </c>
      <c r="AA300" s="27" t="str">
        <f t="shared" si="43"/>
        <v>No</v>
      </c>
      <c r="AD300" s="24" t="str">
        <f t="shared" si="44"/>
        <v>Regular</v>
      </c>
      <c r="AF300" s="28" t="str">
        <f t="shared" si="45"/>
        <v>Non Disc</v>
      </c>
    </row>
    <row r="301" spans="1:32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0">
        <v>10359.16</v>
      </c>
      <c r="P301" s="1">
        <f t="shared" si="38"/>
        <v>12187.25</v>
      </c>
      <c r="R301" s="19" t="str">
        <f t="shared" si="39"/>
        <v>NO</v>
      </c>
      <c r="S301" s="20" t="str">
        <f t="shared" si="40"/>
        <v>NO</v>
      </c>
      <c r="U301" s="23" t="str">
        <f t="shared" si="41"/>
        <v>NO</v>
      </c>
      <c r="W301" s="24" t="str">
        <f t="shared" si="37"/>
        <v>No</v>
      </c>
      <c r="Y301" s="26" t="str">
        <f t="shared" si="42"/>
        <v>No</v>
      </c>
      <c r="AA301" s="27" t="str">
        <f t="shared" si="43"/>
        <v>No</v>
      </c>
      <c r="AD301" s="24" t="str">
        <f t="shared" si="44"/>
        <v>Regular</v>
      </c>
      <c r="AF301" s="28" t="str">
        <f t="shared" si="45"/>
        <v>Discounted</v>
      </c>
    </row>
    <row r="302" spans="1:32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0">
        <v>6588.4</v>
      </c>
      <c r="P302" s="1">
        <f t="shared" si="38"/>
        <v>6935.16</v>
      </c>
      <c r="R302" s="19" t="str">
        <f t="shared" si="39"/>
        <v>NO</v>
      </c>
      <c r="S302" s="20" t="str">
        <f t="shared" si="40"/>
        <v>NO</v>
      </c>
      <c r="U302" s="23" t="str">
        <f t="shared" si="41"/>
        <v>YES</v>
      </c>
      <c r="W302" s="24" t="str">
        <f t="shared" si="37"/>
        <v>No</v>
      </c>
      <c r="Y302" s="26" t="str">
        <f t="shared" si="42"/>
        <v>No</v>
      </c>
      <c r="AA302" s="27" t="str">
        <f t="shared" si="43"/>
        <v>No</v>
      </c>
      <c r="AD302" s="24" t="str">
        <f t="shared" si="44"/>
        <v>Regular</v>
      </c>
      <c r="AF302" s="28" t="str">
        <f t="shared" si="45"/>
        <v>Discounted</v>
      </c>
    </row>
    <row r="303" spans="1:32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0">
        <v>4233.32</v>
      </c>
      <c r="P303" s="1">
        <f t="shared" si="38"/>
        <v>4456.13</v>
      </c>
      <c r="R303" s="19" t="str">
        <f t="shared" si="39"/>
        <v>NO</v>
      </c>
      <c r="S303" s="20" t="str">
        <f t="shared" si="40"/>
        <v>NO</v>
      </c>
      <c r="U303" s="23" t="str">
        <f t="shared" si="41"/>
        <v>YES</v>
      </c>
      <c r="W303" s="24" t="str">
        <f t="shared" si="37"/>
        <v>No</v>
      </c>
      <c r="Y303" s="26" t="str">
        <f t="shared" si="42"/>
        <v>yes</v>
      </c>
      <c r="AA303" s="27" t="str">
        <f t="shared" si="43"/>
        <v>Yes</v>
      </c>
      <c r="AD303" s="24" t="str">
        <f t="shared" si="44"/>
        <v>Regular</v>
      </c>
      <c r="AF303" s="28" t="str">
        <f t="shared" si="45"/>
        <v>Discounted</v>
      </c>
    </row>
    <row r="304" spans="1:32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0">
        <v>1543.2</v>
      </c>
      <c r="P304" s="1">
        <f t="shared" si="38"/>
        <v>1543.1999999999998</v>
      </c>
      <c r="R304" s="19" t="str">
        <f t="shared" si="39"/>
        <v>NO</v>
      </c>
      <c r="S304" s="20" t="str">
        <f t="shared" si="40"/>
        <v>NO</v>
      </c>
      <c r="U304" s="23" t="str">
        <f t="shared" si="41"/>
        <v>YES</v>
      </c>
      <c r="W304" s="24" t="str">
        <f t="shared" si="37"/>
        <v>No</v>
      </c>
      <c r="Y304" s="26" t="str">
        <f t="shared" si="42"/>
        <v>No</v>
      </c>
      <c r="AA304" s="27" t="str">
        <f t="shared" si="43"/>
        <v>No</v>
      </c>
      <c r="AD304" s="24" t="str">
        <f t="shared" si="44"/>
        <v>Regular</v>
      </c>
      <c r="AF304" s="28" t="str">
        <f t="shared" si="45"/>
        <v>Discounted</v>
      </c>
    </row>
    <row r="305" spans="1:32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0">
        <v>8152.06</v>
      </c>
      <c r="P305" s="1">
        <f t="shared" si="38"/>
        <v>10190.08</v>
      </c>
      <c r="R305" s="19" t="str">
        <f t="shared" si="39"/>
        <v>NO</v>
      </c>
      <c r="S305" s="20" t="str">
        <f t="shared" si="40"/>
        <v>NO</v>
      </c>
      <c r="U305" s="23" t="str">
        <f t="shared" si="41"/>
        <v>YES</v>
      </c>
      <c r="W305" s="24" t="str">
        <f t="shared" si="37"/>
        <v>No</v>
      </c>
      <c r="Y305" s="26" t="str">
        <f t="shared" si="42"/>
        <v>yes</v>
      </c>
      <c r="AA305" s="27" t="str">
        <f t="shared" si="43"/>
        <v>Yes</v>
      </c>
      <c r="AD305" s="24" t="str">
        <f t="shared" si="44"/>
        <v>Regular</v>
      </c>
      <c r="AF305" s="28" t="str">
        <f t="shared" si="45"/>
        <v>Discounted</v>
      </c>
    </row>
    <row r="306" spans="1:32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0">
        <v>5209.63</v>
      </c>
      <c r="P306" s="1">
        <f t="shared" si="38"/>
        <v>6512.04</v>
      </c>
      <c r="R306" s="19" t="str">
        <f t="shared" si="39"/>
        <v>NO</v>
      </c>
      <c r="S306" s="20" t="str">
        <f t="shared" si="40"/>
        <v>NO</v>
      </c>
      <c r="U306" s="23" t="str">
        <f t="shared" si="41"/>
        <v>YES</v>
      </c>
      <c r="W306" s="24" t="str">
        <f t="shared" si="37"/>
        <v>No</v>
      </c>
      <c r="Y306" s="26" t="str">
        <f t="shared" si="42"/>
        <v>No</v>
      </c>
      <c r="AA306" s="27" t="str">
        <f t="shared" si="43"/>
        <v>No</v>
      </c>
      <c r="AD306" s="24" t="str">
        <f t="shared" si="44"/>
        <v>Regular</v>
      </c>
      <c r="AF306" s="28" t="str">
        <f t="shared" si="45"/>
        <v>Discounted</v>
      </c>
    </row>
    <row r="307" spans="1:32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0">
        <v>2713.41</v>
      </c>
      <c r="P307" s="1">
        <f t="shared" si="38"/>
        <v>3391.76</v>
      </c>
      <c r="R307" s="19" t="str">
        <f t="shared" si="39"/>
        <v>NO</v>
      </c>
      <c r="S307" s="20" t="str">
        <f t="shared" si="40"/>
        <v>NO</v>
      </c>
      <c r="U307" s="23" t="str">
        <f t="shared" si="41"/>
        <v>NO</v>
      </c>
      <c r="W307" s="24" t="str">
        <f t="shared" si="37"/>
        <v>No</v>
      </c>
      <c r="Y307" s="26" t="str">
        <f t="shared" si="42"/>
        <v>No</v>
      </c>
      <c r="AA307" s="27" t="str">
        <f t="shared" si="43"/>
        <v>No</v>
      </c>
      <c r="AD307" s="24" t="str">
        <f t="shared" si="44"/>
        <v>Regular</v>
      </c>
      <c r="AF307" s="28" t="str">
        <f t="shared" si="45"/>
        <v>Discounted</v>
      </c>
    </row>
    <row r="308" spans="1:32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0">
        <v>7632.11</v>
      </c>
      <c r="P308" s="1">
        <f t="shared" si="38"/>
        <v>8033.8</v>
      </c>
      <c r="R308" s="19" t="str">
        <f t="shared" si="39"/>
        <v>NO</v>
      </c>
      <c r="S308" s="20" t="str">
        <f t="shared" si="40"/>
        <v>NO</v>
      </c>
      <c r="U308" s="23" t="str">
        <f t="shared" si="41"/>
        <v>YES</v>
      </c>
      <c r="W308" s="24" t="str">
        <f t="shared" si="37"/>
        <v>No</v>
      </c>
      <c r="Y308" s="26" t="str">
        <f t="shared" si="42"/>
        <v>yes</v>
      </c>
      <c r="AA308" s="27" t="str">
        <f t="shared" si="43"/>
        <v>Yes</v>
      </c>
      <c r="AD308" s="24" t="str">
        <f t="shared" si="44"/>
        <v>Regular</v>
      </c>
      <c r="AF308" s="28" t="str">
        <f t="shared" si="45"/>
        <v>Discounted</v>
      </c>
    </row>
    <row r="309" spans="1:32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0">
        <v>12572.8</v>
      </c>
      <c r="P309" s="1">
        <f t="shared" si="38"/>
        <v>12572.8</v>
      </c>
      <c r="R309" s="19" t="str">
        <f t="shared" si="39"/>
        <v>NO</v>
      </c>
      <c r="S309" s="20" t="str">
        <f t="shared" si="40"/>
        <v>NO</v>
      </c>
      <c r="U309" s="23" t="str">
        <f t="shared" si="41"/>
        <v>NO</v>
      </c>
      <c r="W309" s="24" t="str">
        <f t="shared" si="37"/>
        <v>No</v>
      </c>
      <c r="Y309" s="26" t="str">
        <f t="shared" si="42"/>
        <v>No</v>
      </c>
      <c r="AA309" s="27" t="str">
        <f t="shared" si="43"/>
        <v>No</v>
      </c>
      <c r="AD309" s="24" t="str">
        <f t="shared" si="44"/>
        <v>Regular</v>
      </c>
      <c r="AF309" s="28" t="str">
        <f t="shared" si="45"/>
        <v>Discounted</v>
      </c>
    </row>
    <row r="310" spans="1:32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0">
        <v>2466.41</v>
      </c>
      <c r="P310" s="1">
        <f t="shared" si="38"/>
        <v>2740.46</v>
      </c>
      <c r="R310" s="19" t="str">
        <f t="shared" si="39"/>
        <v>NO</v>
      </c>
      <c r="S310" s="20" t="str">
        <f t="shared" si="40"/>
        <v>NO</v>
      </c>
      <c r="U310" s="23" t="str">
        <f t="shared" si="41"/>
        <v>NO</v>
      </c>
      <c r="W310" s="24" t="str">
        <f t="shared" si="37"/>
        <v>No</v>
      </c>
      <c r="Y310" s="26" t="str">
        <f t="shared" si="42"/>
        <v>No</v>
      </c>
      <c r="AA310" s="27" t="str">
        <f t="shared" si="43"/>
        <v>No</v>
      </c>
      <c r="AD310" s="24" t="str">
        <f t="shared" si="44"/>
        <v>Regular</v>
      </c>
      <c r="AF310" s="28" t="str">
        <f t="shared" si="45"/>
        <v>Discounted</v>
      </c>
    </row>
    <row r="311" spans="1:32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0">
        <v>16748.77</v>
      </c>
      <c r="P311" s="1">
        <f t="shared" si="38"/>
        <v>17630.28</v>
      </c>
      <c r="R311" s="19" t="str">
        <f t="shared" si="39"/>
        <v>YES</v>
      </c>
      <c r="S311" s="20" t="str">
        <f t="shared" si="40"/>
        <v>NO</v>
      </c>
      <c r="U311" s="23" t="str">
        <f t="shared" si="41"/>
        <v>YES</v>
      </c>
      <c r="W311" s="24" t="str">
        <f t="shared" si="37"/>
        <v>No</v>
      </c>
      <c r="Y311" s="26" t="str">
        <f t="shared" si="42"/>
        <v>No</v>
      </c>
      <c r="AA311" s="27" t="str">
        <f t="shared" si="43"/>
        <v>No</v>
      </c>
      <c r="AD311" s="24" t="str">
        <f t="shared" si="44"/>
        <v>Premium</v>
      </c>
      <c r="AF311" s="28" t="str">
        <f t="shared" si="45"/>
        <v>Discounted</v>
      </c>
    </row>
    <row r="312" spans="1:32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0">
        <v>7776.74</v>
      </c>
      <c r="P312" s="1">
        <f t="shared" si="38"/>
        <v>8186.04</v>
      </c>
      <c r="R312" s="19" t="str">
        <f t="shared" si="39"/>
        <v>NO</v>
      </c>
      <c r="S312" s="20" t="str">
        <f t="shared" si="40"/>
        <v>NO</v>
      </c>
      <c r="U312" s="23" t="str">
        <f t="shared" si="41"/>
        <v>YES</v>
      </c>
      <c r="W312" s="24" t="str">
        <f t="shared" si="37"/>
        <v>No</v>
      </c>
      <c r="Y312" s="26" t="str">
        <f t="shared" si="42"/>
        <v>yes</v>
      </c>
      <c r="AA312" s="27" t="str">
        <f t="shared" si="43"/>
        <v>Yes</v>
      </c>
      <c r="AD312" s="24" t="str">
        <f t="shared" si="44"/>
        <v>Regular</v>
      </c>
      <c r="AF312" s="28" t="str">
        <f t="shared" si="45"/>
        <v>Discounted</v>
      </c>
    </row>
    <row r="313" spans="1:32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0">
        <v>2588.64</v>
      </c>
      <c r="P313" s="1">
        <f t="shared" si="38"/>
        <v>2588.64</v>
      </c>
      <c r="R313" s="19" t="str">
        <f t="shared" si="39"/>
        <v>NO</v>
      </c>
      <c r="S313" s="20" t="str">
        <f t="shared" si="40"/>
        <v>NO</v>
      </c>
      <c r="U313" s="23" t="str">
        <f t="shared" si="41"/>
        <v>NO</v>
      </c>
      <c r="W313" s="24" t="str">
        <f t="shared" si="37"/>
        <v>No</v>
      </c>
      <c r="Y313" s="26" t="str">
        <f t="shared" si="42"/>
        <v>No</v>
      </c>
      <c r="AA313" s="27" t="str">
        <f t="shared" si="43"/>
        <v>No</v>
      </c>
      <c r="AD313" s="24" t="str">
        <f t="shared" si="44"/>
        <v>Regular</v>
      </c>
      <c r="AF313" s="28" t="str">
        <f t="shared" si="45"/>
        <v>Discounted</v>
      </c>
    </row>
    <row r="314" spans="1:32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0">
        <v>2763.58</v>
      </c>
      <c r="P314" s="1">
        <f t="shared" si="38"/>
        <v>3251.27</v>
      </c>
      <c r="R314" s="19" t="str">
        <f t="shared" si="39"/>
        <v>NO</v>
      </c>
      <c r="S314" s="20" t="str">
        <f t="shared" si="40"/>
        <v>NO</v>
      </c>
      <c r="U314" s="23" t="str">
        <f t="shared" si="41"/>
        <v>YES</v>
      </c>
      <c r="W314" s="24" t="str">
        <f t="shared" ref="W314:W377" si="46">IF(AND(L314&lt;3,O314&lt;=1000),"Special Attention","No")</f>
        <v>No</v>
      </c>
      <c r="Y314" s="26" t="str">
        <f t="shared" si="42"/>
        <v>No</v>
      </c>
      <c r="AA314" s="27" t="str">
        <f t="shared" si="43"/>
        <v>No</v>
      </c>
      <c r="AD314" s="24" t="str">
        <f t="shared" si="44"/>
        <v>Regular</v>
      </c>
      <c r="AF314" s="28" t="str">
        <f t="shared" si="45"/>
        <v>Discounted</v>
      </c>
    </row>
    <row r="315" spans="1:32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0">
        <v>1597.76</v>
      </c>
      <c r="P315" s="1">
        <f t="shared" si="38"/>
        <v>1681.85</v>
      </c>
      <c r="R315" s="19" t="str">
        <f t="shared" si="39"/>
        <v>NO</v>
      </c>
      <c r="S315" s="20" t="str">
        <f t="shared" si="40"/>
        <v>NO</v>
      </c>
      <c r="U315" s="23" t="str">
        <f t="shared" si="41"/>
        <v>YES</v>
      </c>
      <c r="W315" s="24" t="str">
        <f t="shared" si="46"/>
        <v>No</v>
      </c>
      <c r="Y315" s="26" t="str">
        <f t="shared" si="42"/>
        <v>yes</v>
      </c>
      <c r="AA315" s="27" t="str">
        <f t="shared" si="43"/>
        <v>Yes</v>
      </c>
      <c r="AD315" s="24" t="str">
        <f t="shared" si="44"/>
        <v>Regular</v>
      </c>
      <c r="AF315" s="28" t="str">
        <f t="shared" si="45"/>
        <v>Discounted</v>
      </c>
    </row>
    <row r="316" spans="1:32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0">
        <v>22120.54</v>
      </c>
      <c r="P316" s="1">
        <f t="shared" si="38"/>
        <v>26024.16</v>
      </c>
      <c r="R316" s="19" t="str">
        <f t="shared" si="39"/>
        <v>YES</v>
      </c>
      <c r="S316" s="20" t="str">
        <f t="shared" si="40"/>
        <v>YES</v>
      </c>
      <c r="U316" s="23" t="str">
        <f t="shared" si="41"/>
        <v>YES</v>
      </c>
      <c r="W316" s="24" t="str">
        <f t="shared" si="46"/>
        <v>No</v>
      </c>
      <c r="Y316" s="26" t="str">
        <f t="shared" si="42"/>
        <v>yes</v>
      </c>
      <c r="AA316" s="27" t="str">
        <f t="shared" si="43"/>
        <v>Yes</v>
      </c>
      <c r="AD316" s="24" t="str">
        <f t="shared" si="44"/>
        <v>Premium</v>
      </c>
      <c r="AF316" s="28" t="str">
        <f t="shared" si="45"/>
        <v>Non Disc</v>
      </c>
    </row>
    <row r="317" spans="1:32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0">
        <v>16518.97</v>
      </c>
      <c r="P317" s="1">
        <f t="shared" si="38"/>
        <v>19434.080000000002</v>
      </c>
      <c r="R317" s="19" t="str">
        <f t="shared" si="39"/>
        <v>YES</v>
      </c>
      <c r="S317" s="20" t="str">
        <f t="shared" si="40"/>
        <v>YES</v>
      </c>
      <c r="U317" s="23" t="str">
        <f t="shared" si="41"/>
        <v>NO</v>
      </c>
      <c r="W317" s="24" t="str">
        <f t="shared" si="46"/>
        <v>No</v>
      </c>
      <c r="Y317" s="26" t="str">
        <f t="shared" si="42"/>
        <v>No</v>
      </c>
      <c r="AA317" s="27" t="str">
        <f t="shared" si="43"/>
        <v>No</v>
      </c>
      <c r="AD317" s="24" t="str">
        <f t="shared" si="44"/>
        <v>Regular</v>
      </c>
      <c r="AF317" s="28" t="str">
        <f t="shared" si="45"/>
        <v>Non Disc</v>
      </c>
    </row>
    <row r="318" spans="1:32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0">
        <v>1261.95</v>
      </c>
      <c r="P318" s="1">
        <f t="shared" si="38"/>
        <v>1577.44</v>
      </c>
      <c r="R318" s="19" t="str">
        <f t="shared" si="39"/>
        <v>NO</v>
      </c>
      <c r="S318" s="20" t="str">
        <f t="shared" si="40"/>
        <v>NO</v>
      </c>
      <c r="U318" s="23" t="str">
        <f t="shared" si="41"/>
        <v>YES</v>
      </c>
      <c r="W318" s="24" t="str">
        <f t="shared" si="46"/>
        <v>No</v>
      </c>
      <c r="Y318" s="26" t="str">
        <f t="shared" si="42"/>
        <v>yes</v>
      </c>
      <c r="AA318" s="27" t="str">
        <f t="shared" si="43"/>
        <v>Yes</v>
      </c>
      <c r="AD318" s="24" t="str">
        <f t="shared" si="44"/>
        <v>Regular</v>
      </c>
      <c r="AF318" s="28" t="str">
        <f t="shared" si="45"/>
        <v>Discounted</v>
      </c>
    </row>
    <row r="319" spans="1:32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0">
        <v>1715.21</v>
      </c>
      <c r="P319" s="1">
        <f t="shared" si="38"/>
        <v>1715.21</v>
      </c>
      <c r="R319" s="19" t="str">
        <f t="shared" si="39"/>
        <v>NO</v>
      </c>
      <c r="S319" s="20" t="str">
        <f t="shared" si="40"/>
        <v>NO</v>
      </c>
      <c r="U319" s="23" t="str">
        <f t="shared" si="41"/>
        <v>NO</v>
      </c>
      <c r="W319" s="24" t="str">
        <f t="shared" si="46"/>
        <v>No</v>
      </c>
      <c r="Y319" s="26" t="str">
        <f t="shared" si="42"/>
        <v>No</v>
      </c>
      <c r="AA319" s="27" t="str">
        <f t="shared" si="43"/>
        <v>No</v>
      </c>
      <c r="AD319" s="24" t="str">
        <f t="shared" si="44"/>
        <v>Regular</v>
      </c>
      <c r="AF319" s="28" t="str">
        <f t="shared" si="45"/>
        <v>Discounted</v>
      </c>
    </row>
    <row r="320" spans="1:32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0">
        <v>10516.88</v>
      </c>
      <c r="P320" s="1">
        <f t="shared" si="38"/>
        <v>12372.8</v>
      </c>
      <c r="R320" s="19" t="str">
        <f t="shared" si="39"/>
        <v>YES</v>
      </c>
      <c r="S320" s="20" t="str">
        <f t="shared" si="40"/>
        <v>YES</v>
      </c>
      <c r="U320" s="23" t="str">
        <f t="shared" si="41"/>
        <v>YES</v>
      </c>
      <c r="W320" s="24" t="str">
        <f t="shared" si="46"/>
        <v>No</v>
      </c>
      <c r="Y320" s="26" t="str">
        <f t="shared" si="42"/>
        <v>yes</v>
      </c>
      <c r="AA320" s="27" t="str">
        <f t="shared" si="43"/>
        <v>Yes</v>
      </c>
      <c r="AD320" s="24" t="str">
        <f t="shared" si="44"/>
        <v>Regular</v>
      </c>
      <c r="AF320" s="28" t="str">
        <f t="shared" si="45"/>
        <v>Non Disc</v>
      </c>
    </row>
    <row r="321" spans="1:32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0">
        <v>18038.240000000002</v>
      </c>
      <c r="P321" s="1">
        <f t="shared" si="38"/>
        <v>18038.240000000002</v>
      </c>
      <c r="R321" s="19" t="str">
        <f t="shared" si="39"/>
        <v>YES</v>
      </c>
      <c r="S321" s="20" t="str">
        <f t="shared" si="40"/>
        <v>NO</v>
      </c>
      <c r="U321" s="23" t="str">
        <f t="shared" si="41"/>
        <v>YES</v>
      </c>
      <c r="W321" s="24" t="str">
        <f t="shared" si="46"/>
        <v>No</v>
      </c>
      <c r="Y321" s="26" t="str">
        <f t="shared" si="42"/>
        <v>No</v>
      </c>
      <c r="AA321" s="27" t="str">
        <f t="shared" si="43"/>
        <v>No</v>
      </c>
      <c r="AD321" s="24" t="str">
        <f t="shared" si="44"/>
        <v>Regular</v>
      </c>
      <c r="AF321" s="28" t="str">
        <f t="shared" si="45"/>
        <v>Discounted</v>
      </c>
    </row>
    <row r="322" spans="1:32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0">
        <v>18946.54</v>
      </c>
      <c r="P322" s="1">
        <f t="shared" si="38"/>
        <v>23683.17</v>
      </c>
      <c r="R322" s="19" t="str">
        <f t="shared" si="39"/>
        <v>YES</v>
      </c>
      <c r="S322" s="20" t="str">
        <f t="shared" si="40"/>
        <v>NO</v>
      </c>
      <c r="U322" s="23" t="str">
        <f t="shared" si="41"/>
        <v>NO</v>
      </c>
      <c r="W322" s="24" t="str">
        <f t="shared" si="46"/>
        <v>No</v>
      </c>
      <c r="Y322" s="26" t="str">
        <f t="shared" si="42"/>
        <v>No</v>
      </c>
      <c r="AA322" s="27" t="str">
        <f t="shared" si="43"/>
        <v>No</v>
      </c>
      <c r="AD322" s="24" t="str">
        <f t="shared" si="44"/>
        <v>Premium</v>
      </c>
      <c r="AF322" s="28" t="str">
        <f t="shared" si="45"/>
        <v>Discounted</v>
      </c>
    </row>
    <row r="323" spans="1:32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0">
        <v>3204.1</v>
      </c>
      <c r="P323" s="1">
        <f t="shared" ref="P323:P386" si="47">L323*M323</f>
        <v>3204.1000000000004</v>
      </c>
      <c r="R323" s="19" t="str">
        <f t="shared" ref="R323:R386" si="48">IF(AND(L323&gt;5,O323&gt;10000),"YES","NO")</f>
        <v>NO</v>
      </c>
      <c r="S323" s="20" t="str">
        <f t="shared" ref="S323:S386" si="49">IF(AND(L323&gt;=8,N323&gt;=10),"YES","NO")</f>
        <v>NO</v>
      </c>
      <c r="U323" s="23" t="str">
        <f t="shared" ref="U323:U386" si="50">IF(OR(G323="Mobile App",G323="Website"),"YES","NO")</f>
        <v>NO</v>
      </c>
      <c r="W323" s="24" t="str">
        <f t="shared" si="46"/>
        <v>No</v>
      </c>
      <c r="Y323" s="26" t="str">
        <f t="shared" ref="Y323:Y386" si="51">IF(NOT(G323="Website"),"No","yes")</f>
        <v>No</v>
      </c>
      <c r="AA323" s="27" t="str">
        <f t="shared" ref="AA323:AA386" si="52">IF(G323&lt;&gt;"Website","No","Yes")</f>
        <v>No</v>
      </c>
      <c r="AD323" s="24" t="str">
        <f t="shared" ref="AD323:AD386" si="53">IF(AND(O323&gt;15000,OR(I323="Electronics",I323="Beauty")),"Premium","Regular")</f>
        <v>Regular</v>
      </c>
      <c r="AF323" s="28" t="str">
        <f t="shared" ref="AF323:AF386" si="54">IF(AND(L323&gt;=8,N323&lt;&gt;0),"Non Disc","Discounted")</f>
        <v>Discounted</v>
      </c>
    </row>
    <row r="324" spans="1:32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0">
        <v>3069.25</v>
      </c>
      <c r="P324" s="1">
        <f t="shared" si="47"/>
        <v>3230.79</v>
      </c>
      <c r="R324" s="19" t="str">
        <f t="shared" si="48"/>
        <v>NO</v>
      </c>
      <c r="S324" s="20" t="str">
        <f t="shared" si="49"/>
        <v>NO</v>
      </c>
      <c r="U324" s="23" t="str">
        <f t="shared" si="50"/>
        <v>YES</v>
      </c>
      <c r="W324" s="24" t="str">
        <f t="shared" si="46"/>
        <v>No</v>
      </c>
      <c r="Y324" s="26" t="str">
        <f t="shared" si="51"/>
        <v>yes</v>
      </c>
      <c r="AA324" s="27" t="str">
        <f t="shared" si="52"/>
        <v>Yes</v>
      </c>
      <c r="AD324" s="24" t="str">
        <f t="shared" si="53"/>
        <v>Regular</v>
      </c>
      <c r="AF324" s="28" t="str">
        <f t="shared" si="54"/>
        <v>Discounted</v>
      </c>
    </row>
    <row r="325" spans="1:32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0">
        <v>26565.24</v>
      </c>
      <c r="P325" s="1">
        <f t="shared" si="47"/>
        <v>31253.22</v>
      </c>
      <c r="R325" s="19" t="str">
        <f t="shared" si="48"/>
        <v>YES</v>
      </c>
      <c r="S325" s="20" t="str">
        <f t="shared" si="49"/>
        <v>YES</v>
      </c>
      <c r="U325" s="23" t="str">
        <f t="shared" si="50"/>
        <v>YES</v>
      </c>
      <c r="W325" s="24" t="str">
        <f t="shared" si="46"/>
        <v>No</v>
      </c>
      <c r="Y325" s="26" t="str">
        <f t="shared" si="51"/>
        <v>yes</v>
      </c>
      <c r="AA325" s="27" t="str">
        <f t="shared" si="52"/>
        <v>Yes</v>
      </c>
      <c r="AD325" s="24" t="str">
        <f t="shared" si="53"/>
        <v>Regular</v>
      </c>
      <c r="AF325" s="28" t="str">
        <f t="shared" si="54"/>
        <v>Non Disc</v>
      </c>
    </row>
    <row r="326" spans="1:32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0">
        <v>5111.05</v>
      </c>
      <c r="P326" s="1">
        <f t="shared" si="47"/>
        <v>5111.05</v>
      </c>
      <c r="R326" s="19" t="str">
        <f t="shared" si="48"/>
        <v>NO</v>
      </c>
      <c r="S326" s="20" t="str">
        <f t="shared" si="49"/>
        <v>NO</v>
      </c>
      <c r="U326" s="23" t="str">
        <f t="shared" si="50"/>
        <v>NO</v>
      </c>
      <c r="W326" s="24" t="str">
        <f t="shared" si="46"/>
        <v>No</v>
      </c>
      <c r="Y326" s="26" t="str">
        <f t="shared" si="51"/>
        <v>No</v>
      </c>
      <c r="AA326" s="27" t="str">
        <f t="shared" si="52"/>
        <v>No</v>
      </c>
      <c r="AD326" s="24" t="str">
        <f t="shared" si="53"/>
        <v>Regular</v>
      </c>
      <c r="AF326" s="28" t="str">
        <f t="shared" si="54"/>
        <v>Discounted</v>
      </c>
    </row>
    <row r="327" spans="1:32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0">
        <v>6171.55</v>
      </c>
      <c r="P327" s="1">
        <f t="shared" si="47"/>
        <v>6857.28</v>
      </c>
      <c r="R327" s="19" t="str">
        <f t="shared" si="48"/>
        <v>NO</v>
      </c>
      <c r="S327" s="20" t="str">
        <f t="shared" si="49"/>
        <v>NO</v>
      </c>
      <c r="U327" s="23" t="str">
        <f t="shared" si="50"/>
        <v>YES</v>
      </c>
      <c r="W327" s="24" t="str">
        <f t="shared" si="46"/>
        <v>No</v>
      </c>
      <c r="Y327" s="26" t="str">
        <f t="shared" si="51"/>
        <v>yes</v>
      </c>
      <c r="AA327" s="27" t="str">
        <f t="shared" si="52"/>
        <v>Yes</v>
      </c>
      <c r="AD327" s="24" t="str">
        <f t="shared" si="53"/>
        <v>Regular</v>
      </c>
      <c r="AF327" s="28" t="str">
        <f t="shared" si="54"/>
        <v>Discounted</v>
      </c>
    </row>
    <row r="328" spans="1:32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0">
        <v>23802.6</v>
      </c>
      <c r="P328" s="1">
        <f t="shared" si="47"/>
        <v>23802.6</v>
      </c>
      <c r="R328" s="19" t="str">
        <f t="shared" si="48"/>
        <v>YES</v>
      </c>
      <c r="S328" s="20" t="str">
        <f t="shared" si="49"/>
        <v>NO</v>
      </c>
      <c r="U328" s="23" t="str">
        <f t="shared" si="50"/>
        <v>YES</v>
      </c>
      <c r="W328" s="24" t="str">
        <f t="shared" si="46"/>
        <v>No</v>
      </c>
      <c r="Y328" s="26" t="str">
        <f t="shared" si="51"/>
        <v>No</v>
      </c>
      <c r="AA328" s="27" t="str">
        <f t="shared" si="52"/>
        <v>No</v>
      </c>
      <c r="AD328" s="24" t="str">
        <f t="shared" si="53"/>
        <v>Premium</v>
      </c>
      <c r="AF328" s="28" t="str">
        <f t="shared" si="54"/>
        <v>Discounted</v>
      </c>
    </row>
    <row r="329" spans="1:32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0">
        <v>5012.16</v>
      </c>
      <c r="P329" s="1">
        <f t="shared" si="47"/>
        <v>5896.66</v>
      </c>
      <c r="R329" s="19" t="str">
        <f t="shared" si="48"/>
        <v>NO</v>
      </c>
      <c r="S329" s="20" t="str">
        <f t="shared" si="49"/>
        <v>NO</v>
      </c>
      <c r="U329" s="23" t="str">
        <f t="shared" si="50"/>
        <v>YES</v>
      </c>
      <c r="W329" s="24" t="str">
        <f t="shared" si="46"/>
        <v>No</v>
      </c>
      <c r="Y329" s="26" t="str">
        <f t="shared" si="51"/>
        <v>yes</v>
      </c>
      <c r="AA329" s="27" t="str">
        <f t="shared" si="52"/>
        <v>Yes</v>
      </c>
      <c r="AD329" s="24" t="str">
        <f t="shared" si="53"/>
        <v>Regular</v>
      </c>
      <c r="AF329" s="28" t="str">
        <f t="shared" si="54"/>
        <v>Discounted</v>
      </c>
    </row>
    <row r="330" spans="1:32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0">
        <v>2537.09</v>
      </c>
      <c r="P330" s="1">
        <f t="shared" si="47"/>
        <v>3171.36</v>
      </c>
      <c r="R330" s="19" t="str">
        <f t="shared" si="48"/>
        <v>NO</v>
      </c>
      <c r="S330" s="20" t="str">
        <f t="shared" si="49"/>
        <v>NO</v>
      </c>
      <c r="U330" s="23" t="str">
        <f t="shared" si="50"/>
        <v>YES</v>
      </c>
      <c r="W330" s="24" t="str">
        <f t="shared" si="46"/>
        <v>No</v>
      </c>
      <c r="Y330" s="26" t="str">
        <f t="shared" si="51"/>
        <v>No</v>
      </c>
      <c r="AA330" s="27" t="str">
        <f t="shared" si="52"/>
        <v>No</v>
      </c>
      <c r="AD330" s="24" t="str">
        <f t="shared" si="53"/>
        <v>Regular</v>
      </c>
      <c r="AF330" s="28" t="str">
        <f t="shared" si="54"/>
        <v>Discounted</v>
      </c>
    </row>
    <row r="331" spans="1:32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0">
        <v>22279.599999999999</v>
      </c>
      <c r="P331" s="1">
        <f t="shared" si="47"/>
        <v>27849.5</v>
      </c>
      <c r="R331" s="19" t="str">
        <f t="shared" si="48"/>
        <v>YES</v>
      </c>
      <c r="S331" s="20" t="str">
        <f t="shared" si="49"/>
        <v>NO</v>
      </c>
      <c r="U331" s="23" t="str">
        <f t="shared" si="50"/>
        <v>YES</v>
      </c>
      <c r="W331" s="24" t="str">
        <f t="shared" si="46"/>
        <v>No</v>
      </c>
      <c r="Y331" s="26" t="str">
        <f t="shared" si="51"/>
        <v>No</v>
      </c>
      <c r="AA331" s="27" t="str">
        <f t="shared" si="52"/>
        <v>No</v>
      </c>
      <c r="AD331" s="24" t="str">
        <f t="shared" si="53"/>
        <v>Premium</v>
      </c>
      <c r="AF331" s="28" t="str">
        <f t="shared" si="54"/>
        <v>Discounted</v>
      </c>
    </row>
    <row r="332" spans="1:32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0">
        <v>4217.87</v>
      </c>
      <c r="P332" s="1">
        <f t="shared" si="47"/>
        <v>4962.2</v>
      </c>
      <c r="R332" s="19" t="str">
        <f t="shared" si="48"/>
        <v>NO</v>
      </c>
      <c r="S332" s="20" t="str">
        <f t="shared" si="49"/>
        <v>NO</v>
      </c>
      <c r="U332" s="23" t="str">
        <f t="shared" si="50"/>
        <v>YES</v>
      </c>
      <c r="W332" s="24" t="str">
        <f t="shared" si="46"/>
        <v>No</v>
      </c>
      <c r="Y332" s="26" t="str">
        <f t="shared" si="51"/>
        <v>No</v>
      </c>
      <c r="AA332" s="27" t="str">
        <f t="shared" si="52"/>
        <v>No</v>
      </c>
      <c r="AD332" s="24" t="str">
        <f t="shared" si="53"/>
        <v>Regular</v>
      </c>
      <c r="AF332" s="28" t="str">
        <f t="shared" si="54"/>
        <v>Discounted</v>
      </c>
    </row>
    <row r="333" spans="1:32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0">
        <v>2537.1799999999998</v>
      </c>
      <c r="P333" s="1">
        <f t="shared" si="47"/>
        <v>2670.72</v>
      </c>
      <c r="R333" s="19" t="str">
        <f t="shared" si="48"/>
        <v>NO</v>
      </c>
      <c r="S333" s="20" t="str">
        <f t="shared" si="49"/>
        <v>NO</v>
      </c>
      <c r="U333" s="23" t="str">
        <f t="shared" si="50"/>
        <v>YES</v>
      </c>
      <c r="W333" s="24" t="str">
        <f t="shared" si="46"/>
        <v>No</v>
      </c>
      <c r="Y333" s="26" t="str">
        <f t="shared" si="51"/>
        <v>No</v>
      </c>
      <c r="AA333" s="27" t="str">
        <f t="shared" si="52"/>
        <v>No</v>
      </c>
      <c r="AD333" s="24" t="str">
        <f t="shared" si="53"/>
        <v>Regular</v>
      </c>
      <c r="AF333" s="28" t="str">
        <f t="shared" si="54"/>
        <v>Discounted</v>
      </c>
    </row>
    <row r="334" spans="1:32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0">
        <v>16028.83</v>
      </c>
      <c r="P334" s="1">
        <f t="shared" si="47"/>
        <v>16872.449999999997</v>
      </c>
      <c r="R334" s="19" t="str">
        <f t="shared" si="48"/>
        <v>NO</v>
      </c>
      <c r="S334" s="20" t="str">
        <f t="shared" si="49"/>
        <v>NO</v>
      </c>
      <c r="U334" s="23" t="str">
        <f t="shared" si="50"/>
        <v>YES</v>
      </c>
      <c r="W334" s="24" t="str">
        <f t="shared" si="46"/>
        <v>No</v>
      </c>
      <c r="Y334" s="26" t="str">
        <f t="shared" si="51"/>
        <v>No</v>
      </c>
      <c r="AA334" s="27" t="str">
        <f t="shared" si="52"/>
        <v>No</v>
      </c>
      <c r="AD334" s="24" t="str">
        <f t="shared" si="53"/>
        <v>Premium</v>
      </c>
      <c r="AF334" s="28" t="str">
        <f t="shared" si="54"/>
        <v>Discounted</v>
      </c>
    </row>
    <row r="335" spans="1:32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0">
        <v>10063.08</v>
      </c>
      <c r="P335" s="1">
        <f t="shared" si="47"/>
        <v>12578.85</v>
      </c>
      <c r="R335" s="19" t="str">
        <f t="shared" si="48"/>
        <v>NO</v>
      </c>
      <c r="S335" s="20" t="str">
        <f t="shared" si="49"/>
        <v>NO</v>
      </c>
      <c r="U335" s="23" t="str">
        <f t="shared" si="50"/>
        <v>YES</v>
      </c>
      <c r="W335" s="24" t="str">
        <f t="shared" si="46"/>
        <v>No</v>
      </c>
      <c r="Y335" s="26" t="str">
        <f t="shared" si="51"/>
        <v>yes</v>
      </c>
      <c r="AA335" s="27" t="str">
        <f t="shared" si="52"/>
        <v>Yes</v>
      </c>
      <c r="AD335" s="24" t="str">
        <f t="shared" si="53"/>
        <v>Regular</v>
      </c>
      <c r="AF335" s="28" t="str">
        <f t="shared" si="54"/>
        <v>Discounted</v>
      </c>
    </row>
    <row r="336" spans="1:32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0">
        <v>13370.56</v>
      </c>
      <c r="P336" s="1">
        <f t="shared" si="47"/>
        <v>16713.2</v>
      </c>
      <c r="R336" s="19" t="str">
        <f t="shared" si="48"/>
        <v>YES</v>
      </c>
      <c r="S336" s="20" t="str">
        <f t="shared" si="49"/>
        <v>NO</v>
      </c>
      <c r="U336" s="23" t="str">
        <f t="shared" si="50"/>
        <v>YES</v>
      </c>
      <c r="W336" s="24" t="str">
        <f t="shared" si="46"/>
        <v>No</v>
      </c>
      <c r="Y336" s="26" t="str">
        <f t="shared" si="51"/>
        <v>No</v>
      </c>
      <c r="AA336" s="27" t="str">
        <f t="shared" si="52"/>
        <v>No</v>
      </c>
      <c r="AD336" s="24" t="str">
        <f t="shared" si="53"/>
        <v>Regular</v>
      </c>
      <c r="AF336" s="28" t="str">
        <f t="shared" si="54"/>
        <v>Discounted</v>
      </c>
    </row>
    <row r="337" spans="1:32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0">
        <v>957.52</v>
      </c>
      <c r="P337" s="1">
        <f t="shared" si="47"/>
        <v>1126.5</v>
      </c>
      <c r="R337" s="19" t="str">
        <f t="shared" si="48"/>
        <v>NO</v>
      </c>
      <c r="S337" s="20" t="str">
        <f t="shared" si="49"/>
        <v>NO</v>
      </c>
      <c r="U337" s="23" t="str">
        <f t="shared" si="50"/>
        <v>YES</v>
      </c>
      <c r="W337" s="24" t="str">
        <f t="shared" si="46"/>
        <v>Special Attention</v>
      </c>
      <c r="Y337" s="26" t="str">
        <f t="shared" si="51"/>
        <v>yes</v>
      </c>
      <c r="AA337" s="27" t="str">
        <f t="shared" si="52"/>
        <v>Yes</v>
      </c>
      <c r="AD337" s="24" t="str">
        <f t="shared" si="53"/>
        <v>Regular</v>
      </c>
      <c r="AF337" s="28" t="str">
        <f t="shared" si="54"/>
        <v>Discounted</v>
      </c>
    </row>
    <row r="338" spans="1:32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0">
        <v>23270.36</v>
      </c>
      <c r="P338" s="1">
        <f t="shared" si="47"/>
        <v>24495.119999999999</v>
      </c>
      <c r="R338" s="19" t="str">
        <f t="shared" si="48"/>
        <v>YES</v>
      </c>
      <c r="S338" s="20" t="str">
        <f t="shared" si="49"/>
        <v>NO</v>
      </c>
      <c r="U338" s="23" t="str">
        <f t="shared" si="50"/>
        <v>YES</v>
      </c>
      <c r="W338" s="24" t="str">
        <f t="shared" si="46"/>
        <v>No</v>
      </c>
      <c r="Y338" s="26" t="str">
        <f t="shared" si="51"/>
        <v>No</v>
      </c>
      <c r="AA338" s="27" t="str">
        <f t="shared" si="52"/>
        <v>No</v>
      </c>
      <c r="AD338" s="24" t="str">
        <f t="shared" si="53"/>
        <v>Regular</v>
      </c>
      <c r="AF338" s="28" t="str">
        <f t="shared" si="54"/>
        <v>Non Disc</v>
      </c>
    </row>
    <row r="339" spans="1:32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0">
        <v>1114.6099999999999</v>
      </c>
      <c r="P339" s="1">
        <f t="shared" si="47"/>
        <v>1393.26</v>
      </c>
      <c r="R339" s="19" t="str">
        <f t="shared" si="48"/>
        <v>NO</v>
      </c>
      <c r="S339" s="20" t="str">
        <f t="shared" si="49"/>
        <v>NO</v>
      </c>
      <c r="U339" s="23" t="str">
        <f t="shared" si="50"/>
        <v>NO</v>
      </c>
      <c r="W339" s="24" t="str">
        <f t="shared" si="46"/>
        <v>No</v>
      </c>
      <c r="Y339" s="26" t="str">
        <f t="shared" si="51"/>
        <v>No</v>
      </c>
      <c r="AA339" s="27" t="str">
        <f t="shared" si="52"/>
        <v>No</v>
      </c>
      <c r="AD339" s="24" t="str">
        <f t="shared" si="53"/>
        <v>Regular</v>
      </c>
      <c r="AF339" s="28" t="str">
        <f t="shared" si="54"/>
        <v>Discounted</v>
      </c>
    </row>
    <row r="340" spans="1:32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0">
        <v>14092.34</v>
      </c>
      <c r="P340" s="1">
        <f t="shared" si="47"/>
        <v>14834.04</v>
      </c>
      <c r="R340" s="19" t="str">
        <f t="shared" si="48"/>
        <v>NO</v>
      </c>
      <c r="S340" s="20" t="str">
        <f t="shared" si="49"/>
        <v>NO</v>
      </c>
      <c r="U340" s="23" t="str">
        <f t="shared" si="50"/>
        <v>YES</v>
      </c>
      <c r="W340" s="24" t="str">
        <f t="shared" si="46"/>
        <v>No</v>
      </c>
      <c r="Y340" s="26" t="str">
        <f t="shared" si="51"/>
        <v>No</v>
      </c>
      <c r="AA340" s="27" t="str">
        <f t="shared" si="52"/>
        <v>No</v>
      </c>
      <c r="AD340" s="24" t="str">
        <f t="shared" si="53"/>
        <v>Regular</v>
      </c>
      <c r="AF340" s="28" t="str">
        <f t="shared" si="54"/>
        <v>Discounted</v>
      </c>
    </row>
    <row r="341" spans="1:32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0">
        <v>10111.82</v>
      </c>
      <c r="P341" s="1">
        <f t="shared" si="47"/>
        <v>12639.78</v>
      </c>
      <c r="R341" s="19" t="str">
        <f t="shared" si="48"/>
        <v>YES</v>
      </c>
      <c r="S341" s="20" t="str">
        <f t="shared" si="49"/>
        <v>YES</v>
      </c>
      <c r="U341" s="23" t="str">
        <f t="shared" si="50"/>
        <v>NO</v>
      </c>
      <c r="W341" s="24" t="str">
        <f t="shared" si="46"/>
        <v>No</v>
      </c>
      <c r="Y341" s="26" t="str">
        <f t="shared" si="51"/>
        <v>No</v>
      </c>
      <c r="AA341" s="27" t="str">
        <f t="shared" si="52"/>
        <v>No</v>
      </c>
      <c r="AD341" s="24" t="str">
        <f t="shared" si="53"/>
        <v>Regular</v>
      </c>
      <c r="AF341" s="28" t="str">
        <f t="shared" si="54"/>
        <v>Non Disc</v>
      </c>
    </row>
    <row r="342" spans="1:32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0">
        <v>2567.7199999999998</v>
      </c>
      <c r="P342" s="1">
        <f t="shared" si="47"/>
        <v>2567.7199999999998</v>
      </c>
      <c r="R342" s="19" t="str">
        <f t="shared" si="48"/>
        <v>NO</v>
      </c>
      <c r="S342" s="20" t="str">
        <f t="shared" si="49"/>
        <v>NO</v>
      </c>
      <c r="U342" s="23" t="str">
        <f t="shared" si="50"/>
        <v>YES</v>
      </c>
      <c r="W342" s="24" t="str">
        <f t="shared" si="46"/>
        <v>No</v>
      </c>
      <c r="Y342" s="26" t="str">
        <f t="shared" si="51"/>
        <v>No</v>
      </c>
      <c r="AA342" s="27" t="str">
        <f t="shared" si="52"/>
        <v>No</v>
      </c>
      <c r="AD342" s="24" t="str">
        <f t="shared" si="53"/>
        <v>Regular</v>
      </c>
      <c r="AF342" s="28" t="str">
        <f t="shared" si="54"/>
        <v>Discounted</v>
      </c>
    </row>
    <row r="343" spans="1:32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0">
        <v>8338.99</v>
      </c>
      <c r="P343" s="1">
        <f t="shared" si="47"/>
        <v>9265.5499999999993</v>
      </c>
      <c r="R343" s="19" t="str">
        <f t="shared" si="48"/>
        <v>NO</v>
      </c>
      <c r="S343" s="20" t="str">
        <f t="shared" si="49"/>
        <v>NO</v>
      </c>
      <c r="U343" s="23" t="str">
        <f t="shared" si="50"/>
        <v>YES</v>
      </c>
      <c r="W343" s="24" t="str">
        <f t="shared" si="46"/>
        <v>No</v>
      </c>
      <c r="Y343" s="26" t="str">
        <f t="shared" si="51"/>
        <v>No</v>
      </c>
      <c r="AA343" s="27" t="str">
        <f t="shared" si="52"/>
        <v>No</v>
      </c>
      <c r="AD343" s="24" t="str">
        <f t="shared" si="53"/>
        <v>Regular</v>
      </c>
      <c r="AF343" s="28" t="str">
        <f t="shared" si="54"/>
        <v>Discounted</v>
      </c>
    </row>
    <row r="344" spans="1:32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0">
        <v>2194.5700000000002</v>
      </c>
      <c r="P344" s="1">
        <f t="shared" si="47"/>
        <v>2194.5699999999997</v>
      </c>
      <c r="R344" s="19" t="str">
        <f t="shared" si="48"/>
        <v>NO</v>
      </c>
      <c r="S344" s="20" t="str">
        <f t="shared" si="49"/>
        <v>NO</v>
      </c>
      <c r="U344" s="23" t="str">
        <f t="shared" si="50"/>
        <v>YES</v>
      </c>
      <c r="W344" s="24" t="str">
        <f t="shared" si="46"/>
        <v>No</v>
      </c>
      <c r="Y344" s="26" t="str">
        <f t="shared" si="51"/>
        <v>No</v>
      </c>
      <c r="AA344" s="27" t="str">
        <f t="shared" si="52"/>
        <v>No</v>
      </c>
      <c r="AD344" s="24" t="str">
        <f t="shared" si="53"/>
        <v>Regular</v>
      </c>
      <c r="AF344" s="28" t="str">
        <f t="shared" si="54"/>
        <v>Discounted</v>
      </c>
    </row>
    <row r="345" spans="1:32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0">
        <v>8914.59</v>
      </c>
      <c r="P345" s="1">
        <f t="shared" si="47"/>
        <v>11143.24</v>
      </c>
      <c r="R345" s="19" t="str">
        <f t="shared" si="48"/>
        <v>NO</v>
      </c>
      <c r="S345" s="20" t="str">
        <f t="shared" si="49"/>
        <v>NO</v>
      </c>
      <c r="U345" s="23" t="str">
        <f t="shared" si="50"/>
        <v>NO</v>
      </c>
      <c r="W345" s="24" t="str">
        <f t="shared" si="46"/>
        <v>No</v>
      </c>
      <c r="Y345" s="26" t="str">
        <f t="shared" si="51"/>
        <v>No</v>
      </c>
      <c r="AA345" s="27" t="str">
        <f t="shared" si="52"/>
        <v>No</v>
      </c>
      <c r="AD345" s="24" t="str">
        <f t="shared" si="53"/>
        <v>Regular</v>
      </c>
      <c r="AF345" s="28" t="str">
        <f t="shared" si="54"/>
        <v>Discounted</v>
      </c>
    </row>
    <row r="346" spans="1:32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0">
        <v>3262.88</v>
      </c>
      <c r="P346" s="1">
        <f t="shared" si="47"/>
        <v>3625.42</v>
      </c>
      <c r="R346" s="19" t="str">
        <f t="shared" si="48"/>
        <v>NO</v>
      </c>
      <c r="S346" s="20" t="str">
        <f t="shared" si="49"/>
        <v>NO</v>
      </c>
      <c r="U346" s="23" t="str">
        <f t="shared" si="50"/>
        <v>NO</v>
      </c>
      <c r="W346" s="24" t="str">
        <f t="shared" si="46"/>
        <v>No</v>
      </c>
      <c r="Y346" s="26" t="str">
        <f t="shared" si="51"/>
        <v>No</v>
      </c>
      <c r="AA346" s="27" t="str">
        <f t="shared" si="52"/>
        <v>No</v>
      </c>
      <c r="AD346" s="24" t="str">
        <f t="shared" si="53"/>
        <v>Regular</v>
      </c>
      <c r="AF346" s="28" t="str">
        <f t="shared" si="54"/>
        <v>Discounted</v>
      </c>
    </row>
    <row r="347" spans="1:32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0">
        <v>27325.03</v>
      </c>
      <c r="P347" s="1">
        <f t="shared" si="47"/>
        <v>30361.14</v>
      </c>
      <c r="R347" s="19" t="str">
        <f t="shared" si="48"/>
        <v>YES</v>
      </c>
      <c r="S347" s="20" t="str">
        <f t="shared" si="49"/>
        <v>YES</v>
      </c>
      <c r="U347" s="23" t="str">
        <f t="shared" si="50"/>
        <v>YES</v>
      </c>
      <c r="W347" s="24" t="str">
        <f t="shared" si="46"/>
        <v>No</v>
      </c>
      <c r="Y347" s="26" t="str">
        <f t="shared" si="51"/>
        <v>No</v>
      </c>
      <c r="AA347" s="27" t="str">
        <f t="shared" si="52"/>
        <v>No</v>
      </c>
      <c r="AD347" s="24" t="str">
        <f t="shared" si="53"/>
        <v>Regular</v>
      </c>
      <c r="AF347" s="28" t="str">
        <f t="shared" si="54"/>
        <v>Non Disc</v>
      </c>
    </row>
    <row r="348" spans="1:32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0">
        <v>2049.1799999999998</v>
      </c>
      <c r="P348" s="1">
        <f t="shared" si="47"/>
        <v>2561.48</v>
      </c>
      <c r="R348" s="19" t="str">
        <f t="shared" si="48"/>
        <v>NO</v>
      </c>
      <c r="S348" s="20" t="str">
        <f t="shared" si="49"/>
        <v>NO</v>
      </c>
      <c r="U348" s="23" t="str">
        <f t="shared" si="50"/>
        <v>YES</v>
      </c>
      <c r="W348" s="24" t="str">
        <f t="shared" si="46"/>
        <v>No</v>
      </c>
      <c r="Y348" s="26" t="str">
        <f t="shared" si="51"/>
        <v>yes</v>
      </c>
      <c r="AA348" s="27" t="str">
        <f t="shared" si="52"/>
        <v>Yes</v>
      </c>
      <c r="AD348" s="24" t="str">
        <f t="shared" si="53"/>
        <v>Regular</v>
      </c>
      <c r="AF348" s="28" t="str">
        <f t="shared" si="54"/>
        <v>Discounted</v>
      </c>
    </row>
    <row r="349" spans="1:32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0">
        <v>4580.21</v>
      </c>
      <c r="P349" s="1">
        <f t="shared" si="47"/>
        <v>5725.26</v>
      </c>
      <c r="R349" s="19" t="str">
        <f t="shared" si="48"/>
        <v>NO</v>
      </c>
      <c r="S349" s="20" t="str">
        <f t="shared" si="49"/>
        <v>YES</v>
      </c>
      <c r="U349" s="23" t="str">
        <f t="shared" si="50"/>
        <v>YES</v>
      </c>
      <c r="W349" s="24" t="str">
        <f t="shared" si="46"/>
        <v>No</v>
      </c>
      <c r="Y349" s="26" t="str">
        <f t="shared" si="51"/>
        <v>No</v>
      </c>
      <c r="AA349" s="27" t="str">
        <f t="shared" si="52"/>
        <v>No</v>
      </c>
      <c r="AD349" s="24" t="str">
        <f t="shared" si="53"/>
        <v>Regular</v>
      </c>
      <c r="AF349" s="28" t="str">
        <f t="shared" si="54"/>
        <v>Non Disc</v>
      </c>
    </row>
    <row r="350" spans="1:32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0">
        <v>18705.8</v>
      </c>
      <c r="P350" s="1">
        <f t="shared" si="47"/>
        <v>19690.32</v>
      </c>
      <c r="R350" s="19" t="str">
        <f t="shared" si="48"/>
        <v>YES</v>
      </c>
      <c r="S350" s="20" t="str">
        <f t="shared" si="49"/>
        <v>NO</v>
      </c>
      <c r="U350" s="23" t="str">
        <f t="shared" si="50"/>
        <v>NO</v>
      </c>
      <c r="W350" s="24" t="str">
        <f t="shared" si="46"/>
        <v>No</v>
      </c>
      <c r="Y350" s="26" t="str">
        <f t="shared" si="51"/>
        <v>No</v>
      </c>
      <c r="AA350" s="27" t="str">
        <f t="shared" si="52"/>
        <v>No</v>
      </c>
      <c r="AD350" s="24" t="str">
        <f t="shared" si="53"/>
        <v>Regular</v>
      </c>
      <c r="AF350" s="28" t="str">
        <f t="shared" si="54"/>
        <v>Discounted</v>
      </c>
    </row>
    <row r="351" spans="1:32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0">
        <v>2966.7</v>
      </c>
      <c r="P351" s="1">
        <f t="shared" si="47"/>
        <v>3708.38</v>
      </c>
      <c r="R351" s="19" t="str">
        <f t="shared" si="48"/>
        <v>NO</v>
      </c>
      <c r="S351" s="20" t="str">
        <f t="shared" si="49"/>
        <v>NO</v>
      </c>
      <c r="U351" s="23" t="str">
        <f t="shared" si="50"/>
        <v>YES</v>
      </c>
      <c r="W351" s="24" t="str">
        <f t="shared" si="46"/>
        <v>No</v>
      </c>
      <c r="Y351" s="26" t="str">
        <f t="shared" si="51"/>
        <v>No</v>
      </c>
      <c r="AA351" s="27" t="str">
        <f t="shared" si="52"/>
        <v>No</v>
      </c>
      <c r="AD351" s="24" t="str">
        <f t="shared" si="53"/>
        <v>Regular</v>
      </c>
      <c r="AF351" s="28" t="str">
        <f t="shared" si="54"/>
        <v>Discounted</v>
      </c>
    </row>
    <row r="352" spans="1:32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0">
        <v>4905.13</v>
      </c>
      <c r="P352" s="1">
        <f t="shared" si="47"/>
        <v>5770.74</v>
      </c>
      <c r="R352" s="19" t="str">
        <f t="shared" si="48"/>
        <v>NO</v>
      </c>
      <c r="S352" s="20" t="str">
        <f t="shared" si="49"/>
        <v>NO</v>
      </c>
      <c r="U352" s="23" t="str">
        <f t="shared" si="50"/>
        <v>NO</v>
      </c>
      <c r="W352" s="24" t="str">
        <f t="shared" si="46"/>
        <v>No</v>
      </c>
      <c r="Y352" s="26" t="str">
        <f t="shared" si="51"/>
        <v>No</v>
      </c>
      <c r="AA352" s="27" t="str">
        <f t="shared" si="52"/>
        <v>No</v>
      </c>
      <c r="AD352" s="24" t="str">
        <f t="shared" si="53"/>
        <v>Regular</v>
      </c>
      <c r="AF352" s="28" t="str">
        <f t="shared" si="54"/>
        <v>Discounted</v>
      </c>
    </row>
    <row r="353" spans="1:32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0">
        <v>3313.66</v>
      </c>
      <c r="P353" s="1">
        <f t="shared" si="47"/>
        <v>4142.08</v>
      </c>
      <c r="R353" s="19" t="str">
        <f t="shared" si="48"/>
        <v>NO</v>
      </c>
      <c r="S353" s="20" t="str">
        <f t="shared" si="49"/>
        <v>NO</v>
      </c>
      <c r="U353" s="23" t="str">
        <f t="shared" si="50"/>
        <v>NO</v>
      </c>
      <c r="W353" s="24" t="str">
        <f t="shared" si="46"/>
        <v>No</v>
      </c>
      <c r="Y353" s="26" t="str">
        <f t="shared" si="51"/>
        <v>No</v>
      </c>
      <c r="AA353" s="27" t="str">
        <f t="shared" si="52"/>
        <v>No</v>
      </c>
      <c r="AD353" s="24" t="str">
        <f t="shared" si="53"/>
        <v>Regular</v>
      </c>
      <c r="AF353" s="28" t="str">
        <f t="shared" si="54"/>
        <v>Discounted</v>
      </c>
    </row>
    <row r="354" spans="1:32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0">
        <v>10521.12</v>
      </c>
      <c r="P354" s="1">
        <f t="shared" si="47"/>
        <v>12377.789999999999</v>
      </c>
      <c r="R354" s="19" t="str">
        <f t="shared" si="48"/>
        <v>YES</v>
      </c>
      <c r="S354" s="20" t="str">
        <f t="shared" si="49"/>
        <v>YES</v>
      </c>
      <c r="U354" s="23" t="str">
        <f t="shared" si="50"/>
        <v>NO</v>
      </c>
      <c r="W354" s="24" t="str">
        <f t="shared" si="46"/>
        <v>No</v>
      </c>
      <c r="Y354" s="26" t="str">
        <f t="shared" si="51"/>
        <v>No</v>
      </c>
      <c r="AA354" s="27" t="str">
        <f t="shared" si="52"/>
        <v>No</v>
      </c>
      <c r="AD354" s="24" t="str">
        <f t="shared" si="53"/>
        <v>Regular</v>
      </c>
      <c r="AF354" s="28" t="str">
        <f t="shared" si="54"/>
        <v>Non Disc</v>
      </c>
    </row>
    <row r="355" spans="1:32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0">
        <v>2874.34</v>
      </c>
      <c r="P355" s="1">
        <f t="shared" si="47"/>
        <v>3592.92</v>
      </c>
      <c r="R355" s="19" t="str">
        <f t="shared" si="48"/>
        <v>NO</v>
      </c>
      <c r="S355" s="20" t="str">
        <f t="shared" si="49"/>
        <v>NO</v>
      </c>
      <c r="U355" s="23" t="str">
        <f t="shared" si="50"/>
        <v>YES</v>
      </c>
      <c r="W355" s="24" t="str">
        <f t="shared" si="46"/>
        <v>No</v>
      </c>
      <c r="Y355" s="26" t="str">
        <f t="shared" si="51"/>
        <v>No</v>
      </c>
      <c r="AA355" s="27" t="str">
        <f t="shared" si="52"/>
        <v>No</v>
      </c>
      <c r="AD355" s="24" t="str">
        <f t="shared" si="53"/>
        <v>Regular</v>
      </c>
      <c r="AF355" s="28" t="str">
        <f t="shared" si="54"/>
        <v>Discounted</v>
      </c>
    </row>
    <row r="356" spans="1:32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0">
        <v>22511.119999999999</v>
      </c>
      <c r="P356" s="1">
        <f t="shared" si="47"/>
        <v>23695.920000000002</v>
      </c>
      <c r="R356" s="19" t="str">
        <f t="shared" si="48"/>
        <v>YES</v>
      </c>
      <c r="S356" s="20" t="str">
        <f t="shared" si="49"/>
        <v>NO</v>
      </c>
      <c r="U356" s="23" t="str">
        <f t="shared" si="50"/>
        <v>NO</v>
      </c>
      <c r="W356" s="24" t="str">
        <f t="shared" si="46"/>
        <v>No</v>
      </c>
      <c r="Y356" s="26" t="str">
        <f t="shared" si="51"/>
        <v>No</v>
      </c>
      <c r="AA356" s="27" t="str">
        <f t="shared" si="52"/>
        <v>No</v>
      </c>
      <c r="AD356" s="24" t="str">
        <f t="shared" si="53"/>
        <v>Premium</v>
      </c>
      <c r="AF356" s="28" t="str">
        <f t="shared" si="54"/>
        <v>Non Disc</v>
      </c>
    </row>
    <row r="357" spans="1:32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0">
        <v>9637.24</v>
      </c>
      <c r="P357" s="1">
        <f t="shared" si="47"/>
        <v>11337.93</v>
      </c>
      <c r="R357" s="19" t="str">
        <f t="shared" si="48"/>
        <v>NO</v>
      </c>
      <c r="S357" s="20" t="str">
        <f t="shared" si="49"/>
        <v>YES</v>
      </c>
      <c r="U357" s="23" t="str">
        <f t="shared" si="50"/>
        <v>NO</v>
      </c>
      <c r="W357" s="24" t="str">
        <f t="shared" si="46"/>
        <v>No</v>
      </c>
      <c r="Y357" s="26" t="str">
        <f t="shared" si="51"/>
        <v>No</v>
      </c>
      <c r="AA357" s="27" t="str">
        <f t="shared" si="52"/>
        <v>No</v>
      </c>
      <c r="AD357" s="24" t="str">
        <f t="shared" si="53"/>
        <v>Regular</v>
      </c>
      <c r="AF357" s="28" t="str">
        <f t="shared" si="54"/>
        <v>Non Disc</v>
      </c>
    </row>
    <row r="358" spans="1:32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0">
        <v>10402.48</v>
      </c>
      <c r="P358" s="1">
        <f t="shared" si="47"/>
        <v>10402.48</v>
      </c>
      <c r="R358" s="19" t="str">
        <f t="shared" si="48"/>
        <v>YES</v>
      </c>
      <c r="S358" s="20" t="str">
        <f t="shared" si="49"/>
        <v>NO</v>
      </c>
      <c r="U358" s="23" t="str">
        <f t="shared" si="50"/>
        <v>YES</v>
      </c>
      <c r="W358" s="24" t="str">
        <f t="shared" si="46"/>
        <v>No</v>
      </c>
      <c r="Y358" s="26" t="str">
        <f t="shared" si="51"/>
        <v>No</v>
      </c>
      <c r="AA358" s="27" t="str">
        <f t="shared" si="52"/>
        <v>No</v>
      </c>
      <c r="AD358" s="24" t="str">
        <f t="shared" si="53"/>
        <v>Regular</v>
      </c>
      <c r="AF358" s="28" t="str">
        <f t="shared" si="54"/>
        <v>Discounted</v>
      </c>
    </row>
    <row r="359" spans="1:32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0">
        <v>24351.62</v>
      </c>
      <c r="P359" s="1">
        <f t="shared" si="47"/>
        <v>28648.959999999999</v>
      </c>
      <c r="R359" s="19" t="str">
        <f t="shared" si="48"/>
        <v>YES</v>
      </c>
      <c r="S359" s="20" t="str">
        <f t="shared" si="49"/>
        <v>YES</v>
      </c>
      <c r="U359" s="23" t="str">
        <f t="shared" si="50"/>
        <v>NO</v>
      </c>
      <c r="W359" s="24" t="str">
        <f t="shared" si="46"/>
        <v>No</v>
      </c>
      <c r="Y359" s="26" t="str">
        <f t="shared" si="51"/>
        <v>No</v>
      </c>
      <c r="AA359" s="27" t="str">
        <f t="shared" si="52"/>
        <v>No</v>
      </c>
      <c r="AD359" s="24" t="str">
        <f t="shared" si="53"/>
        <v>Regular</v>
      </c>
      <c r="AF359" s="28" t="str">
        <f t="shared" si="54"/>
        <v>Non Disc</v>
      </c>
    </row>
    <row r="360" spans="1:32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0">
        <v>192.37</v>
      </c>
      <c r="P360" s="1">
        <f t="shared" si="47"/>
        <v>202.49</v>
      </c>
      <c r="R360" s="19" t="str">
        <f t="shared" si="48"/>
        <v>NO</v>
      </c>
      <c r="S360" s="20" t="str">
        <f t="shared" si="49"/>
        <v>NO</v>
      </c>
      <c r="U360" s="23" t="str">
        <f t="shared" si="50"/>
        <v>YES</v>
      </c>
      <c r="W360" s="24" t="str">
        <f t="shared" si="46"/>
        <v>Special Attention</v>
      </c>
      <c r="Y360" s="26" t="str">
        <f t="shared" si="51"/>
        <v>No</v>
      </c>
      <c r="AA360" s="27" t="str">
        <f t="shared" si="52"/>
        <v>No</v>
      </c>
      <c r="AD360" s="24" t="str">
        <f t="shared" si="53"/>
        <v>Regular</v>
      </c>
      <c r="AF360" s="28" t="str">
        <f t="shared" si="54"/>
        <v>Discounted</v>
      </c>
    </row>
    <row r="361" spans="1:32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0">
        <v>9469</v>
      </c>
      <c r="P361" s="1">
        <f t="shared" si="47"/>
        <v>11140</v>
      </c>
      <c r="R361" s="19" t="str">
        <f t="shared" si="48"/>
        <v>NO</v>
      </c>
      <c r="S361" s="20" t="str">
        <f t="shared" si="49"/>
        <v>YES</v>
      </c>
      <c r="U361" s="23" t="str">
        <f t="shared" si="50"/>
        <v>NO</v>
      </c>
      <c r="W361" s="24" t="str">
        <f t="shared" si="46"/>
        <v>No</v>
      </c>
      <c r="Y361" s="26" t="str">
        <f t="shared" si="51"/>
        <v>No</v>
      </c>
      <c r="AA361" s="27" t="str">
        <f t="shared" si="52"/>
        <v>No</v>
      </c>
      <c r="AD361" s="24" t="str">
        <f t="shared" si="53"/>
        <v>Regular</v>
      </c>
      <c r="AF361" s="28" t="str">
        <f t="shared" si="54"/>
        <v>Non Disc</v>
      </c>
    </row>
    <row r="362" spans="1:32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0">
        <v>5482.25</v>
      </c>
      <c r="P362" s="1">
        <f t="shared" si="47"/>
        <v>6852.8099999999995</v>
      </c>
      <c r="R362" s="19" t="str">
        <f t="shared" si="48"/>
        <v>NO</v>
      </c>
      <c r="S362" s="20" t="str">
        <f t="shared" si="49"/>
        <v>NO</v>
      </c>
      <c r="U362" s="23" t="str">
        <f t="shared" si="50"/>
        <v>YES</v>
      </c>
      <c r="W362" s="24" t="str">
        <f t="shared" si="46"/>
        <v>No</v>
      </c>
      <c r="Y362" s="26" t="str">
        <f t="shared" si="51"/>
        <v>yes</v>
      </c>
      <c r="AA362" s="27" t="str">
        <f t="shared" si="52"/>
        <v>Yes</v>
      </c>
      <c r="AD362" s="24" t="str">
        <f t="shared" si="53"/>
        <v>Regular</v>
      </c>
      <c r="AF362" s="28" t="str">
        <f t="shared" si="54"/>
        <v>Discounted</v>
      </c>
    </row>
    <row r="363" spans="1:32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0">
        <v>4035.58</v>
      </c>
      <c r="P363" s="1">
        <f t="shared" si="47"/>
        <v>5044.4799999999996</v>
      </c>
      <c r="R363" s="19" t="str">
        <f t="shared" si="48"/>
        <v>NO</v>
      </c>
      <c r="S363" s="20" t="str">
        <f t="shared" si="49"/>
        <v>NO</v>
      </c>
      <c r="U363" s="23" t="str">
        <f t="shared" si="50"/>
        <v>YES</v>
      </c>
      <c r="W363" s="24" t="str">
        <f t="shared" si="46"/>
        <v>No</v>
      </c>
      <c r="Y363" s="26" t="str">
        <f t="shared" si="51"/>
        <v>yes</v>
      </c>
      <c r="AA363" s="27" t="str">
        <f t="shared" si="52"/>
        <v>Yes</v>
      </c>
      <c r="AD363" s="24" t="str">
        <f t="shared" si="53"/>
        <v>Regular</v>
      </c>
      <c r="AF363" s="28" t="str">
        <f t="shared" si="54"/>
        <v>Discounted</v>
      </c>
    </row>
    <row r="364" spans="1:32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0">
        <v>479.35</v>
      </c>
      <c r="P364" s="1">
        <f t="shared" si="47"/>
        <v>504.58</v>
      </c>
      <c r="R364" s="19" t="str">
        <f t="shared" si="48"/>
        <v>NO</v>
      </c>
      <c r="S364" s="20" t="str">
        <f t="shared" si="49"/>
        <v>NO</v>
      </c>
      <c r="U364" s="23" t="str">
        <f t="shared" si="50"/>
        <v>NO</v>
      </c>
      <c r="W364" s="24" t="str">
        <f t="shared" si="46"/>
        <v>Special Attention</v>
      </c>
      <c r="Y364" s="26" t="str">
        <f t="shared" si="51"/>
        <v>No</v>
      </c>
      <c r="AA364" s="27" t="str">
        <f t="shared" si="52"/>
        <v>No</v>
      </c>
      <c r="AD364" s="24" t="str">
        <f t="shared" si="53"/>
        <v>Regular</v>
      </c>
      <c r="AF364" s="28" t="str">
        <f t="shared" si="54"/>
        <v>Discounted</v>
      </c>
    </row>
    <row r="365" spans="1:32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0">
        <v>2959.93</v>
      </c>
      <c r="P365" s="1">
        <f t="shared" si="47"/>
        <v>3288.81</v>
      </c>
      <c r="R365" s="19" t="str">
        <f t="shared" si="48"/>
        <v>NO</v>
      </c>
      <c r="S365" s="20" t="str">
        <f t="shared" si="49"/>
        <v>NO</v>
      </c>
      <c r="U365" s="23" t="str">
        <f t="shared" si="50"/>
        <v>YES</v>
      </c>
      <c r="W365" s="24" t="str">
        <f t="shared" si="46"/>
        <v>No</v>
      </c>
      <c r="Y365" s="26" t="str">
        <f t="shared" si="51"/>
        <v>yes</v>
      </c>
      <c r="AA365" s="27" t="str">
        <f t="shared" si="52"/>
        <v>Yes</v>
      </c>
      <c r="AD365" s="24" t="str">
        <f t="shared" si="53"/>
        <v>Regular</v>
      </c>
      <c r="AF365" s="28" t="str">
        <f t="shared" si="54"/>
        <v>Discounted</v>
      </c>
    </row>
    <row r="366" spans="1:32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0">
        <v>14373.84</v>
      </c>
      <c r="P366" s="1">
        <f t="shared" si="47"/>
        <v>17967.3</v>
      </c>
      <c r="R366" s="19" t="str">
        <f t="shared" si="48"/>
        <v>NO</v>
      </c>
      <c r="S366" s="20" t="str">
        <f t="shared" si="49"/>
        <v>NO</v>
      </c>
      <c r="U366" s="23" t="str">
        <f t="shared" si="50"/>
        <v>YES</v>
      </c>
      <c r="W366" s="24" t="str">
        <f t="shared" si="46"/>
        <v>No</v>
      </c>
      <c r="Y366" s="26" t="str">
        <f t="shared" si="51"/>
        <v>No</v>
      </c>
      <c r="AA366" s="27" t="str">
        <f t="shared" si="52"/>
        <v>No</v>
      </c>
      <c r="AD366" s="24" t="str">
        <f t="shared" si="53"/>
        <v>Regular</v>
      </c>
      <c r="AF366" s="28" t="str">
        <f t="shared" si="54"/>
        <v>Discounted</v>
      </c>
    </row>
    <row r="367" spans="1:32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0">
        <v>16604.400000000001</v>
      </c>
      <c r="P367" s="1">
        <f t="shared" si="47"/>
        <v>16604.400000000001</v>
      </c>
      <c r="R367" s="19" t="str">
        <f t="shared" si="48"/>
        <v>NO</v>
      </c>
      <c r="S367" s="20" t="str">
        <f t="shared" si="49"/>
        <v>NO</v>
      </c>
      <c r="U367" s="23" t="str">
        <f t="shared" si="50"/>
        <v>YES</v>
      </c>
      <c r="W367" s="24" t="str">
        <f t="shared" si="46"/>
        <v>No</v>
      </c>
      <c r="Y367" s="26" t="str">
        <f t="shared" si="51"/>
        <v>yes</v>
      </c>
      <c r="AA367" s="27" t="str">
        <f t="shared" si="52"/>
        <v>Yes</v>
      </c>
      <c r="AD367" s="24" t="str">
        <f t="shared" si="53"/>
        <v>Premium</v>
      </c>
      <c r="AF367" s="28" t="str">
        <f t="shared" si="54"/>
        <v>Discounted</v>
      </c>
    </row>
    <row r="368" spans="1:32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0">
        <v>27438.51</v>
      </c>
      <c r="P368" s="1">
        <f t="shared" si="47"/>
        <v>28882.639999999999</v>
      </c>
      <c r="R368" s="19" t="str">
        <f t="shared" si="48"/>
        <v>YES</v>
      </c>
      <c r="S368" s="20" t="str">
        <f t="shared" si="49"/>
        <v>NO</v>
      </c>
      <c r="U368" s="23" t="str">
        <f t="shared" si="50"/>
        <v>NO</v>
      </c>
      <c r="W368" s="24" t="str">
        <f t="shared" si="46"/>
        <v>No</v>
      </c>
      <c r="Y368" s="26" t="str">
        <f t="shared" si="51"/>
        <v>No</v>
      </c>
      <c r="AA368" s="27" t="str">
        <f t="shared" si="52"/>
        <v>No</v>
      </c>
      <c r="AD368" s="24" t="str">
        <f t="shared" si="53"/>
        <v>Regular</v>
      </c>
      <c r="AF368" s="28" t="str">
        <f t="shared" si="54"/>
        <v>Non Disc</v>
      </c>
    </row>
    <row r="369" spans="1:32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0">
        <v>13562.91</v>
      </c>
      <c r="P369" s="1">
        <f t="shared" si="47"/>
        <v>15956.36</v>
      </c>
      <c r="R369" s="19" t="str">
        <f t="shared" si="48"/>
        <v>YES</v>
      </c>
      <c r="S369" s="20" t="str">
        <f t="shared" si="49"/>
        <v>NO</v>
      </c>
      <c r="U369" s="23" t="str">
        <f t="shared" si="50"/>
        <v>NO</v>
      </c>
      <c r="W369" s="24" t="str">
        <f t="shared" si="46"/>
        <v>No</v>
      </c>
      <c r="Y369" s="26" t="str">
        <f t="shared" si="51"/>
        <v>No</v>
      </c>
      <c r="AA369" s="27" t="str">
        <f t="shared" si="52"/>
        <v>No</v>
      </c>
      <c r="AD369" s="24" t="str">
        <f t="shared" si="53"/>
        <v>Regular</v>
      </c>
      <c r="AF369" s="28" t="str">
        <f t="shared" si="54"/>
        <v>Discounted</v>
      </c>
    </row>
    <row r="370" spans="1:32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0">
        <v>22284.89</v>
      </c>
      <c r="P370" s="1">
        <f t="shared" si="47"/>
        <v>26217.52</v>
      </c>
      <c r="R370" s="19" t="str">
        <f t="shared" si="48"/>
        <v>YES</v>
      </c>
      <c r="S370" s="20" t="str">
        <f t="shared" si="49"/>
        <v>YES</v>
      </c>
      <c r="U370" s="23" t="str">
        <f t="shared" si="50"/>
        <v>YES</v>
      </c>
      <c r="W370" s="24" t="str">
        <f t="shared" si="46"/>
        <v>No</v>
      </c>
      <c r="Y370" s="26" t="str">
        <f t="shared" si="51"/>
        <v>No</v>
      </c>
      <c r="AA370" s="27" t="str">
        <f t="shared" si="52"/>
        <v>No</v>
      </c>
      <c r="AD370" s="24" t="str">
        <f t="shared" si="53"/>
        <v>Regular</v>
      </c>
      <c r="AF370" s="28" t="str">
        <f t="shared" si="54"/>
        <v>Non Disc</v>
      </c>
    </row>
    <row r="371" spans="1:32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0">
        <v>9771.36</v>
      </c>
      <c r="P371" s="1">
        <f t="shared" si="47"/>
        <v>9771.36</v>
      </c>
      <c r="R371" s="19" t="str">
        <f t="shared" si="48"/>
        <v>NO</v>
      </c>
      <c r="S371" s="20" t="str">
        <f t="shared" si="49"/>
        <v>NO</v>
      </c>
      <c r="U371" s="23" t="str">
        <f t="shared" si="50"/>
        <v>NO</v>
      </c>
      <c r="W371" s="24" t="str">
        <f t="shared" si="46"/>
        <v>No</v>
      </c>
      <c r="Y371" s="26" t="str">
        <f t="shared" si="51"/>
        <v>No</v>
      </c>
      <c r="AA371" s="27" t="str">
        <f t="shared" si="52"/>
        <v>No</v>
      </c>
      <c r="AD371" s="24" t="str">
        <f t="shared" si="53"/>
        <v>Regular</v>
      </c>
      <c r="AF371" s="28" t="str">
        <f t="shared" si="54"/>
        <v>Discounted</v>
      </c>
    </row>
    <row r="372" spans="1:32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0">
        <v>13032.62</v>
      </c>
      <c r="P372" s="1">
        <f t="shared" si="47"/>
        <v>16290.78</v>
      </c>
      <c r="R372" s="19" t="str">
        <f t="shared" si="48"/>
        <v>YES</v>
      </c>
      <c r="S372" s="20" t="str">
        <f t="shared" si="49"/>
        <v>NO</v>
      </c>
      <c r="U372" s="23" t="str">
        <f t="shared" si="50"/>
        <v>YES</v>
      </c>
      <c r="W372" s="24" t="str">
        <f t="shared" si="46"/>
        <v>No</v>
      </c>
      <c r="Y372" s="26" t="str">
        <f t="shared" si="51"/>
        <v>No</v>
      </c>
      <c r="AA372" s="27" t="str">
        <f t="shared" si="52"/>
        <v>No</v>
      </c>
      <c r="AD372" s="24" t="str">
        <f t="shared" si="53"/>
        <v>Regular</v>
      </c>
      <c r="AF372" s="28" t="str">
        <f t="shared" si="54"/>
        <v>Discounted</v>
      </c>
    </row>
    <row r="373" spans="1:32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0">
        <v>7518.34</v>
      </c>
      <c r="P373" s="1">
        <f t="shared" si="47"/>
        <v>7914.04</v>
      </c>
      <c r="R373" s="19" t="str">
        <f t="shared" si="48"/>
        <v>NO</v>
      </c>
      <c r="S373" s="20" t="str">
        <f t="shared" si="49"/>
        <v>NO</v>
      </c>
      <c r="U373" s="23" t="str">
        <f t="shared" si="50"/>
        <v>YES</v>
      </c>
      <c r="W373" s="24" t="str">
        <f t="shared" si="46"/>
        <v>No</v>
      </c>
      <c r="Y373" s="26" t="str">
        <f t="shared" si="51"/>
        <v>yes</v>
      </c>
      <c r="AA373" s="27" t="str">
        <f t="shared" si="52"/>
        <v>Yes</v>
      </c>
      <c r="AD373" s="24" t="str">
        <f t="shared" si="53"/>
        <v>Regular</v>
      </c>
      <c r="AF373" s="28" t="str">
        <f t="shared" si="54"/>
        <v>Discounted</v>
      </c>
    </row>
    <row r="374" spans="1:32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0">
        <v>6114.3</v>
      </c>
      <c r="P374" s="1">
        <f t="shared" si="47"/>
        <v>6114.2999999999993</v>
      </c>
      <c r="R374" s="19" t="str">
        <f t="shared" si="48"/>
        <v>NO</v>
      </c>
      <c r="S374" s="20" t="str">
        <f t="shared" si="49"/>
        <v>NO</v>
      </c>
      <c r="U374" s="23" t="str">
        <f t="shared" si="50"/>
        <v>YES</v>
      </c>
      <c r="W374" s="24" t="str">
        <f t="shared" si="46"/>
        <v>No</v>
      </c>
      <c r="Y374" s="26" t="str">
        <f t="shared" si="51"/>
        <v>yes</v>
      </c>
      <c r="AA374" s="27" t="str">
        <f t="shared" si="52"/>
        <v>Yes</v>
      </c>
      <c r="AD374" s="24" t="str">
        <f t="shared" si="53"/>
        <v>Regular</v>
      </c>
      <c r="AF374" s="28" t="str">
        <f t="shared" si="54"/>
        <v>Discounted</v>
      </c>
    </row>
    <row r="375" spans="1:32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0">
        <v>6604.44</v>
      </c>
      <c r="P375" s="1">
        <f t="shared" si="47"/>
        <v>8255.5499999999993</v>
      </c>
      <c r="R375" s="19" t="str">
        <f t="shared" si="48"/>
        <v>NO</v>
      </c>
      <c r="S375" s="20" t="str">
        <f t="shared" si="49"/>
        <v>NO</v>
      </c>
      <c r="U375" s="23" t="str">
        <f t="shared" si="50"/>
        <v>YES</v>
      </c>
      <c r="W375" s="24" t="str">
        <f t="shared" si="46"/>
        <v>No</v>
      </c>
      <c r="Y375" s="26" t="str">
        <f t="shared" si="51"/>
        <v>No</v>
      </c>
      <c r="AA375" s="27" t="str">
        <f t="shared" si="52"/>
        <v>No</v>
      </c>
      <c r="AD375" s="24" t="str">
        <f t="shared" si="53"/>
        <v>Regular</v>
      </c>
      <c r="AF375" s="28" t="str">
        <f t="shared" si="54"/>
        <v>Discounted</v>
      </c>
    </row>
    <row r="376" spans="1:32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0">
        <v>5694.81</v>
      </c>
      <c r="P376" s="1">
        <f t="shared" si="47"/>
        <v>5994.54</v>
      </c>
      <c r="R376" s="19" t="str">
        <f t="shared" si="48"/>
        <v>NO</v>
      </c>
      <c r="S376" s="20" t="str">
        <f t="shared" si="49"/>
        <v>NO</v>
      </c>
      <c r="U376" s="23" t="str">
        <f t="shared" si="50"/>
        <v>YES</v>
      </c>
      <c r="W376" s="24" t="str">
        <f t="shared" si="46"/>
        <v>No</v>
      </c>
      <c r="Y376" s="26" t="str">
        <f t="shared" si="51"/>
        <v>No</v>
      </c>
      <c r="AA376" s="27" t="str">
        <f t="shared" si="52"/>
        <v>No</v>
      </c>
      <c r="AD376" s="24" t="str">
        <f t="shared" si="53"/>
        <v>Regular</v>
      </c>
      <c r="AF376" s="28" t="str">
        <f t="shared" si="54"/>
        <v>Discounted</v>
      </c>
    </row>
    <row r="377" spans="1:32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0">
        <v>3474.94</v>
      </c>
      <c r="P377" s="1">
        <f t="shared" si="47"/>
        <v>4088.16</v>
      </c>
      <c r="R377" s="19" t="str">
        <f t="shared" si="48"/>
        <v>NO</v>
      </c>
      <c r="S377" s="20" t="str">
        <f t="shared" si="49"/>
        <v>NO</v>
      </c>
      <c r="U377" s="23" t="str">
        <f t="shared" si="50"/>
        <v>NO</v>
      </c>
      <c r="W377" s="24" t="str">
        <f t="shared" si="46"/>
        <v>No</v>
      </c>
      <c r="Y377" s="26" t="str">
        <f t="shared" si="51"/>
        <v>No</v>
      </c>
      <c r="AA377" s="27" t="str">
        <f t="shared" si="52"/>
        <v>No</v>
      </c>
      <c r="AD377" s="24" t="str">
        <f t="shared" si="53"/>
        <v>Regular</v>
      </c>
      <c r="AF377" s="28" t="str">
        <f t="shared" si="54"/>
        <v>Discounted</v>
      </c>
    </row>
    <row r="378" spans="1:32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0">
        <v>3511.2</v>
      </c>
      <c r="P378" s="1">
        <f t="shared" si="47"/>
        <v>3696</v>
      </c>
      <c r="R378" s="19" t="str">
        <f t="shared" si="48"/>
        <v>NO</v>
      </c>
      <c r="S378" s="20" t="str">
        <f t="shared" si="49"/>
        <v>NO</v>
      </c>
      <c r="U378" s="23" t="str">
        <f t="shared" si="50"/>
        <v>YES</v>
      </c>
      <c r="W378" s="24" t="str">
        <f t="shared" ref="W378:W441" si="55">IF(AND(L378&lt;3,O378&lt;=1000),"Special Attention","No")</f>
        <v>No</v>
      </c>
      <c r="Y378" s="26" t="str">
        <f t="shared" si="51"/>
        <v>yes</v>
      </c>
      <c r="AA378" s="27" t="str">
        <f t="shared" si="52"/>
        <v>Yes</v>
      </c>
      <c r="AD378" s="24" t="str">
        <f t="shared" si="53"/>
        <v>Regular</v>
      </c>
      <c r="AF378" s="28" t="str">
        <f t="shared" si="54"/>
        <v>Non Disc</v>
      </c>
    </row>
    <row r="379" spans="1:32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0">
        <v>27089.88</v>
      </c>
      <c r="P379" s="1">
        <f t="shared" si="47"/>
        <v>30099.87</v>
      </c>
      <c r="R379" s="19" t="str">
        <f t="shared" si="48"/>
        <v>YES</v>
      </c>
      <c r="S379" s="20" t="str">
        <f t="shared" si="49"/>
        <v>YES</v>
      </c>
      <c r="U379" s="23" t="str">
        <f t="shared" si="50"/>
        <v>YES</v>
      </c>
      <c r="W379" s="24" t="str">
        <f t="shared" si="55"/>
        <v>No</v>
      </c>
      <c r="Y379" s="26" t="str">
        <f t="shared" si="51"/>
        <v>No</v>
      </c>
      <c r="AA379" s="27" t="str">
        <f t="shared" si="52"/>
        <v>No</v>
      </c>
      <c r="AD379" s="24" t="str">
        <f t="shared" si="53"/>
        <v>Premium</v>
      </c>
      <c r="AF379" s="28" t="str">
        <f t="shared" si="54"/>
        <v>Non Disc</v>
      </c>
    </row>
    <row r="380" spans="1:32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0">
        <v>3715.13</v>
      </c>
      <c r="P380" s="1">
        <f t="shared" si="47"/>
        <v>3910.66</v>
      </c>
      <c r="R380" s="19" t="str">
        <f t="shared" si="48"/>
        <v>NO</v>
      </c>
      <c r="S380" s="20" t="str">
        <f t="shared" si="49"/>
        <v>NO</v>
      </c>
      <c r="U380" s="23" t="str">
        <f t="shared" si="50"/>
        <v>YES</v>
      </c>
      <c r="W380" s="24" t="str">
        <f t="shared" si="55"/>
        <v>No</v>
      </c>
      <c r="Y380" s="26" t="str">
        <f t="shared" si="51"/>
        <v>yes</v>
      </c>
      <c r="AA380" s="27" t="str">
        <f t="shared" si="52"/>
        <v>Yes</v>
      </c>
      <c r="AD380" s="24" t="str">
        <f t="shared" si="53"/>
        <v>Regular</v>
      </c>
      <c r="AF380" s="28" t="str">
        <f t="shared" si="54"/>
        <v>Discounted</v>
      </c>
    </row>
    <row r="381" spans="1:32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0">
        <v>4612.1099999999997</v>
      </c>
      <c r="P381" s="1">
        <f t="shared" si="47"/>
        <v>5124.57</v>
      </c>
      <c r="R381" s="19" t="str">
        <f t="shared" si="48"/>
        <v>NO</v>
      </c>
      <c r="S381" s="20" t="str">
        <f t="shared" si="49"/>
        <v>NO</v>
      </c>
      <c r="U381" s="23" t="str">
        <f t="shared" si="50"/>
        <v>YES</v>
      </c>
      <c r="W381" s="24" t="str">
        <f t="shared" si="55"/>
        <v>No</v>
      </c>
      <c r="Y381" s="26" t="str">
        <f t="shared" si="51"/>
        <v>No</v>
      </c>
      <c r="AA381" s="27" t="str">
        <f t="shared" si="52"/>
        <v>No</v>
      </c>
      <c r="AD381" s="24" t="str">
        <f t="shared" si="53"/>
        <v>Regular</v>
      </c>
      <c r="AF381" s="28" t="str">
        <f t="shared" si="54"/>
        <v>Discounted</v>
      </c>
    </row>
    <row r="382" spans="1:32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0">
        <v>1389.23</v>
      </c>
      <c r="P382" s="1">
        <f t="shared" si="47"/>
        <v>1462.35</v>
      </c>
      <c r="R382" s="19" t="str">
        <f t="shared" si="48"/>
        <v>NO</v>
      </c>
      <c r="S382" s="20" t="str">
        <f t="shared" si="49"/>
        <v>NO</v>
      </c>
      <c r="U382" s="23" t="str">
        <f t="shared" si="50"/>
        <v>YES</v>
      </c>
      <c r="W382" s="24" t="str">
        <f t="shared" si="55"/>
        <v>No</v>
      </c>
      <c r="Y382" s="26" t="str">
        <f t="shared" si="51"/>
        <v>yes</v>
      </c>
      <c r="AA382" s="27" t="str">
        <f t="shared" si="52"/>
        <v>Yes</v>
      </c>
      <c r="AD382" s="24" t="str">
        <f t="shared" si="53"/>
        <v>Regular</v>
      </c>
      <c r="AF382" s="28" t="str">
        <f t="shared" si="54"/>
        <v>Discounted</v>
      </c>
    </row>
    <row r="383" spans="1:32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0">
        <v>2904.34</v>
      </c>
      <c r="P383" s="1">
        <f t="shared" si="47"/>
        <v>3227.04</v>
      </c>
      <c r="R383" s="19" t="str">
        <f t="shared" si="48"/>
        <v>NO</v>
      </c>
      <c r="S383" s="20" t="str">
        <f t="shared" si="49"/>
        <v>YES</v>
      </c>
      <c r="U383" s="23" t="str">
        <f t="shared" si="50"/>
        <v>NO</v>
      </c>
      <c r="W383" s="24" t="str">
        <f t="shared" si="55"/>
        <v>No</v>
      </c>
      <c r="Y383" s="26" t="str">
        <f t="shared" si="51"/>
        <v>No</v>
      </c>
      <c r="AA383" s="27" t="str">
        <f t="shared" si="52"/>
        <v>No</v>
      </c>
      <c r="AD383" s="24" t="str">
        <f t="shared" si="53"/>
        <v>Regular</v>
      </c>
      <c r="AF383" s="28" t="str">
        <f t="shared" si="54"/>
        <v>Non Disc</v>
      </c>
    </row>
    <row r="384" spans="1:32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0">
        <v>3044.34</v>
      </c>
      <c r="P384" s="1">
        <f t="shared" si="47"/>
        <v>3581.58</v>
      </c>
      <c r="R384" s="19" t="str">
        <f t="shared" si="48"/>
        <v>NO</v>
      </c>
      <c r="S384" s="20" t="str">
        <f t="shared" si="49"/>
        <v>NO</v>
      </c>
      <c r="U384" s="23" t="str">
        <f t="shared" si="50"/>
        <v>YES</v>
      </c>
      <c r="W384" s="24" t="str">
        <f t="shared" si="55"/>
        <v>No</v>
      </c>
      <c r="Y384" s="26" t="str">
        <f t="shared" si="51"/>
        <v>yes</v>
      </c>
      <c r="AA384" s="27" t="str">
        <f t="shared" si="52"/>
        <v>Yes</v>
      </c>
      <c r="AD384" s="24" t="str">
        <f t="shared" si="53"/>
        <v>Regular</v>
      </c>
      <c r="AF384" s="28" t="str">
        <f t="shared" si="54"/>
        <v>Discounted</v>
      </c>
    </row>
    <row r="385" spans="1:32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0">
        <v>7742.72</v>
      </c>
      <c r="P385" s="1">
        <f t="shared" si="47"/>
        <v>9678.4</v>
      </c>
      <c r="R385" s="19" t="str">
        <f t="shared" si="48"/>
        <v>NO</v>
      </c>
      <c r="S385" s="20" t="str">
        <f t="shared" si="49"/>
        <v>NO</v>
      </c>
      <c r="U385" s="23" t="str">
        <f t="shared" si="50"/>
        <v>YES</v>
      </c>
      <c r="W385" s="24" t="str">
        <f t="shared" si="55"/>
        <v>No</v>
      </c>
      <c r="Y385" s="26" t="str">
        <f t="shared" si="51"/>
        <v>yes</v>
      </c>
      <c r="AA385" s="27" t="str">
        <f t="shared" si="52"/>
        <v>Yes</v>
      </c>
      <c r="AD385" s="24" t="str">
        <f t="shared" si="53"/>
        <v>Regular</v>
      </c>
      <c r="AF385" s="28" t="str">
        <f t="shared" si="54"/>
        <v>Discounted</v>
      </c>
    </row>
    <row r="386" spans="1:32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0">
        <v>3731.7</v>
      </c>
      <c r="P386" s="1">
        <f t="shared" si="47"/>
        <v>4146.33</v>
      </c>
      <c r="R386" s="19" t="str">
        <f t="shared" si="48"/>
        <v>NO</v>
      </c>
      <c r="S386" s="20" t="str">
        <f t="shared" si="49"/>
        <v>NO</v>
      </c>
      <c r="U386" s="23" t="str">
        <f t="shared" si="50"/>
        <v>YES</v>
      </c>
      <c r="W386" s="24" t="str">
        <f t="shared" si="55"/>
        <v>No</v>
      </c>
      <c r="Y386" s="26" t="str">
        <f t="shared" si="51"/>
        <v>yes</v>
      </c>
      <c r="AA386" s="27" t="str">
        <f t="shared" si="52"/>
        <v>Yes</v>
      </c>
      <c r="AD386" s="24" t="str">
        <f t="shared" si="53"/>
        <v>Regular</v>
      </c>
      <c r="AF386" s="28" t="str">
        <f t="shared" si="54"/>
        <v>Discounted</v>
      </c>
    </row>
    <row r="387" spans="1:32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0">
        <v>3571.88</v>
      </c>
      <c r="P387" s="1">
        <f t="shared" ref="P387:P450" si="56">L387*M387</f>
        <v>3968.76</v>
      </c>
      <c r="R387" s="19" t="str">
        <f t="shared" ref="R387:R450" si="57">IF(AND(L387&gt;5,O387&gt;10000),"YES","NO")</f>
        <v>NO</v>
      </c>
      <c r="S387" s="20" t="str">
        <f t="shared" ref="S387:S450" si="58">IF(AND(L387&gt;=8,N387&gt;=10),"YES","NO")</f>
        <v>NO</v>
      </c>
      <c r="U387" s="23" t="str">
        <f t="shared" ref="U387:U450" si="59">IF(OR(G387="Mobile App",G387="Website"),"YES","NO")</f>
        <v>YES</v>
      </c>
      <c r="W387" s="24" t="str">
        <f t="shared" si="55"/>
        <v>No</v>
      </c>
      <c r="Y387" s="26" t="str">
        <f t="shared" ref="Y387:Y450" si="60">IF(NOT(G387="Website"),"No","yes")</f>
        <v>yes</v>
      </c>
      <c r="AA387" s="27" t="str">
        <f t="shared" ref="AA387:AA450" si="61">IF(G387&lt;&gt;"Website","No","Yes")</f>
        <v>Yes</v>
      </c>
      <c r="AD387" s="24" t="str">
        <f t="shared" ref="AD387:AD450" si="62">IF(AND(O387&gt;15000,OR(I387="Electronics",I387="Beauty")),"Premium","Regular")</f>
        <v>Regular</v>
      </c>
      <c r="AF387" s="28" t="str">
        <f t="shared" ref="AF387:AF450" si="63">IF(AND(L387&gt;=8,N387&lt;&gt;0),"Non Disc","Discounted")</f>
        <v>Discounted</v>
      </c>
    </row>
    <row r="388" spans="1:32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0">
        <v>9353.2000000000007</v>
      </c>
      <c r="P388" s="1">
        <f t="shared" si="56"/>
        <v>11003.76</v>
      </c>
      <c r="R388" s="19" t="str">
        <f t="shared" si="57"/>
        <v>NO</v>
      </c>
      <c r="S388" s="20" t="str">
        <f t="shared" si="58"/>
        <v>YES</v>
      </c>
      <c r="U388" s="23" t="str">
        <f t="shared" si="59"/>
        <v>YES</v>
      </c>
      <c r="W388" s="24" t="str">
        <f t="shared" si="55"/>
        <v>No</v>
      </c>
      <c r="Y388" s="26" t="str">
        <f t="shared" si="60"/>
        <v>yes</v>
      </c>
      <c r="AA388" s="27" t="str">
        <f t="shared" si="61"/>
        <v>Yes</v>
      </c>
      <c r="AD388" s="24" t="str">
        <f t="shared" si="62"/>
        <v>Regular</v>
      </c>
      <c r="AF388" s="28" t="str">
        <f t="shared" si="63"/>
        <v>Non Disc</v>
      </c>
    </row>
    <row r="389" spans="1:32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0">
        <v>5488.53</v>
      </c>
      <c r="P389" s="1">
        <f t="shared" si="56"/>
        <v>6098.37</v>
      </c>
      <c r="R389" s="19" t="str">
        <f t="shared" si="57"/>
        <v>NO</v>
      </c>
      <c r="S389" s="20" t="str">
        <f t="shared" si="58"/>
        <v>NO</v>
      </c>
      <c r="U389" s="23" t="str">
        <f t="shared" si="59"/>
        <v>NO</v>
      </c>
      <c r="W389" s="24" t="str">
        <f t="shared" si="55"/>
        <v>No</v>
      </c>
      <c r="Y389" s="26" t="str">
        <f t="shared" si="60"/>
        <v>No</v>
      </c>
      <c r="AA389" s="27" t="str">
        <f t="shared" si="61"/>
        <v>No</v>
      </c>
      <c r="AD389" s="24" t="str">
        <f t="shared" si="62"/>
        <v>Regular</v>
      </c>
      <c r="AF389" s="28" t="str">
        <f t="shared" si="63"/>
        <v>Discounted</v>
      </c>
    </row>
    <row r="390" spans="1:32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0">
        <v>24215.03</v>
      </c>
      <c r="P390" s="1">
        <f t="shared" si="56"/>
        <v>24215.03</v>
      </c>
      <c r="R390" s="19" t="str">
        <f t="shared" si="57"/>
        <v>YES</v>
      </c>
      <c r="S390" s="20" t="str">
        <f t="shared" si="58"/>
        <v>NO</v>
      </c>
      <c r="U390" s="23" t="str">
        <f t="shared" si="59"/>
        <v>YES</v>
      </c>
      <c r="W390" s="24" t="str">
        <f t="shared" si="55"/>
        <v>No</v>
      </c>
      <c r="Y390" s="26" t="str">
        <f t="shared" si="60"/>
        <v>No</v>
      </c>
      <c r="AA390" s="27" t="str">
        <f t="shared" si="61"/>
        <v>No</v>
      </c>
      <c r="AD390" s="24" t="str">
        <f t="shared" si="62"/>
        <v>Regular</v>
      </c>
      <c r="AF390" s="28" t="str">
        <f t="shared" si="63"/>
        <v>Discounted</v>
      </c>
    </row>
    <row r="391" spans="1:32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0">
        <v>2065.81</v>
      </c>
      <c r="P391" s="1">
        <f t="shared" si="56"/>
        <v>2430.36</v>
      </c>
      <c r="R391" s="19" t="str">
        <f t="shared" si="57"/>
        <v>NO</v>
      </c>
      <c r="S391" s="20" t="str">
        <f t="shared" si="58"/>
        <v>NO</v>
      </c>
      <c r="U391" s="23" t="str">
        <f t="shared" si="59"/>
        <v>YES</v>
      </c>
      <c r="W391" s="24" t="str">
        <f t="shared" si="55"/>
        <v>No</v>
      </c>
      <c r="Y391" s="26" t="str">
        <f t="shared" si="60"/>
        <v>yes</v>
      </c>
      <c r="AA391" s="27" t="str">
        <f t="shared" si="61"/>
        <v>Yes</v>
      </c>
      <c r="AD391" s="24" t="str">
        <f t="shared" si="62"/>
        <v>Regular</v>
      </c>
      <c r="AF391" s="28" t="str">
        <f t="shared" si="63"/>
        <v>Discounted</v>
      </c>
    </row>
    <row r="392" spans="1:32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0">
        <v>16946.52</v>
      </c>
      <c r="P392" s="1">
        <f t="shared" si="56"/>
        <v>16946.52</v>
      </c>
      <c r="R392" s="19" t="str">
        <f t="shared" si="57"/>
        <v>YES</v>
      </c>
      <c r="S392" s="20" t="str">
        <f t="shared" si="58"/>
        <v>NO</v>
      </c>
      <c r="U392" s="23" t="str">
        <f t="shared" si="59"/>
        <v>NO</v>
      </c>
      <c r="W392" s="24" t="str">
        <f t="shared" si="55"/>
        <v>No</v>
      </c>
      <c r="Y392" s="26" t="str">
        <f t="shared" si="60"/>
        <v>No</v>
      </c>
      <c r="AA392" s="27" t="str">
        <f t="shared" si="61"/>
        <v>No</v>
      </c>
      <c r="AD392" s="24" t="str">
        <f t="shared" si="62"/>
        <v>Regular</v>
      </c>
      <c r="AF392" s="28" t="str">
        <f t="shared" si="63"/>
        <v>Discounted</v>
      </c>
    </row>
    <row r="393" spans="1:32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0">
        <v>3962.65</v>
      </c>
      <c r="P393" s="1">
        <f t="shared" si="56"/>
        <v>4661.9400000000005</v>
      </c>
      <c r="R393" s="19" t="str">
        <f t="shared" si="57"/>
        <v>NO</v>
      </c>
      <c r="S393" s="20" t="str">
        <f t="shared" si="58"/>
        <v>NO</v>
      </c>
      <c r="U393" s="23" t="str">
        <f t="shared" si="59"/>
        <v>YES</v>
      </c>
      <c r="W393" s="24" t="str">
        <f t="shared" si="55"/>
        <v>No</v>
      </c>
      <c r="Y393" s="26" t="str">
        <f t="shared" si="60"/>
        <v>yes</v>
      </c>
      <c r="AA393" s="27" t="str">
        <f t="shared" si="61"/>
        <v>Yes</v>
      </c>
      <c r="AD393" s="24" t="str">
        <f t="shared" si="62"/>
        <v>Regular</v>
      </c>
      <c r="AF393" s="28" t="str">
        <f t="shared" si="63"/>
        <v>Discounted</v>
      </c>
    </row>
    <row r="394" spans="1:32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0">
        <v>21551.4</v>
      </c>
      <c r="P394" s="1">
        <f t="shared" si="56"/>
        <v>23946</v>
      </c>
      <c r="R394" s="19" t="str">
        <f t="shared" si="57"/>
        <v>YES</v>
      </c>
      <c r="S394" s="20" t="str">
        <f t="shared" si="58"/>
        <v>YES</v>
      </c>
      <c r="U394" s="23" t="str">
        <f t="shared" si="59"/>
        <v>YES</v>
      </c>
      <c r="W394" s="24" t="str">
        <f t="shared" si="55"/>
        <v>No</v>
      </c>
      <c r="Y394" s="26" t="str">
        <f t="shared" si="60"/>
        <v>yes</v>
      </c>
      <c r="AA394" s="27" t="str">
        <f t="shared" si="61"/>
        <v>Yes</v>
      </c>
      <c r="AD394" s="24" t="str">
        <f t="shared" si="62"/>
        <v>Premium</v>
      </c>
      <c r="AF394" s="28" t="str">
        <f t="shared" si="63"/>
        <v>Non Disc</v>
      </c>
    </row>
    <row r="395" spans="1:32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0">
        <v>16298.88</v>
      </c>
      <c r="P395" s="1">
        <f t="shared" si="56"/>
        <v>16298.880000000001</v>
      </c>
      <c r="R395" s="19" t="str">
        <f t="shared" si="57"/>
        <v>YES</v>
      </c>
      <c r="S395" s="20" t="str">
        <f t="shared" si="58"/>
        <v>NO</v>
      </c>
      <c r="U395" s="23" t="str">
        <f t="shared" si="59"/>
        <v>YES</v>
      </c>
      <c r="W395" s="24" t="str">
        <f t="shared" si="55"/>
        <v>No</v>
      </c>
      <c r="Y395" s="26" t="str">
        <f t="shared" si="60"/>
        <v>No</v>
      </c>
      <c r="AA395" s="27" t="str">
        <f t="shared" si="61"/>
        <v>No</v>
      </c>
      <c r="AD395" s="24" t="str">
        <f t="shared" si="62"/>
        <v>Premium</v>
      </c>
      <c r="AF395" s="28" t="str">
        <f t="shared" si="63"/>
        <v>Discounted</v>
      </c>
    </row>
    <row r="396" spans="1:32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0">
        <v>1098.56</v>
      </c>
      <c r="P396" s="1">
        <f t="shared" si="56"/>
        <v>1220.6199999999999</v>
      </c>
      <c r="R396" s="19" t="str">
        <f t="shared" si="57"/>
        <v>NO</v>
      </c>
      <c r="S396" s="20" t="str">
        <f t="shared" si="58"/>
        <v>NO</v>
      </c>
      <c r="U396" s="23" t="str">
        <f t="shared" si="59"/>
        <v>YES</v>
      </c>
      <c r="W396" s="24" t="str">
        <f t="shared" si="55"/>
        <v>No</v>
      </c>
      <c r="Y396" s="26" t="str">
        <f t="shared" si="60"/>
        <v>yes</v>
      </c>
      <c r="AA396" s="27" t="str">
        <f t="shared" si="61"/>
        <v>Yes</v>
      </c>
      <c r="AD396" s="24" t="str">
        <f t="shared" si="62"/>
        <v>Regular</v>
      </c>
      <c r="AF396" s="28" t="str">
        <f t="shared" si="63"/>
        <v>Discounted</v>
      </c>
    </row>
    <row r="397" spans="1:32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0">
        <v>12008.82</v>
      </c>
      <c r="P397" s="1">
        <f t="shared" si="56"/>
        <v>14128.02</v>
      </c>
      <c r="R397" s="19" t="str">
        <f t="shared" si="57"/>
        <v>YES</v>
      </c>
      <c r="S397" s="20" t="str">
        <f t="shared" si="58"/>
        <v>NO</v>
      </c>
      <c r="U397" s="23" t="str">
        <f t="shared" si="59"/>
        <v>NO</v>
      </c>
      <c r="W397" s="24" t="str">
        <f t="shared" si="55"/>
        <v>No</v>
      </c>
      <c r="Y397" s="26" t="str">
        <f t="shared" si="60"/>
        <v>No</v>
      </c>
      <c r="AA397" s="27" t="str">
        <f t="shared" si="61"/>
        <v>No</v>
      </c>
      <c r="AD397" s="24" t="str">
        <f t="shared" si="62"/>
        <v>Regular</v>
      </c>
      <c r="AF397" s="28" t="str">
        <f t="shared" si="63"/>
        <v>Discounted</v>
      </c>
    </row>
    <row r="398" spans="1:32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0">
        <v>7172.3</v>
      </c>
      <c r="P398" s="1">
        <f t="shared" si="56"/>
        <v>7969.22</v>
      </c>
      <c r="R398" s="19" t="str">
        <f t="shared" si="57"/>
        <v>NO</v>
      </c>
      <c r="S398" s="20" t="str">
        <f t="shared" si="58"/>
        <v>NO</v>
      </c>
      <c r="U398" s="23" t="str">
        <f t="shared" si="59"/>
        <v>NO</v>
      </c>
      <c r="W398" s="24" t="str">
        <f t="shared" si="55"/>
        <v>No</v>
      </c>
      <c r="Y398" s="26" t="str">
        <f t="shared" si="60"/>
        <v>No</v>
      </c>
      <c r="AA398" s="27" t="str">
        <f t="shared" si="61"/>
        <v>No</v>
      </c>
      <c r="AD398" s="24" t="str">
        <f t="shared" si="62"/>
        <v>Regular</v>
      </c>
      <c r="AF398" s="28" t="str">
        <f t="shared" si="63"/>
        <v>Discounted</v>
      </c>
    </row>
    <row r="399" spans="1:32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0">
        <v>16228.85</v>
      </c>
      <c r="P399" s="1">
        <f t="shared" si="56"/>
        <v>16228.85</v>
      </c>
      <c r="R399" s="19" t="str">
        <f t="shared" si="57"/>
        <v>NO</v>
      </c>
      <c r="S399" s="20" t="str">
        <f t="shared" si="58"/>
        <v>NO</v>
      </c>
      <c r="U399" s="23" t="str">
        <f t="shared" si="59"/>
        <v>YES</v>
      </c>
      <c r="W399" s="24" t="str">
        <f t="shared" si="55"/>
        <v>No</v>
      </c>
      <c r="Y399" s="26" t="str">
        <f t="shared" si="60"/>
        <v>No</v>
      </c>
      <c r="AA399" s="27" t="str">
        <f t="shared" si="61"/>
        <v>No</v>
      </c>
      <c r="AD399" s="24" t="str">
        <f t="shared" si="62"/>
        <v>Premium</v>
      </c>
      <c r="AF399" s="28" t="str">
        <f t="shared" si="63"/>
        <v>Discounted</v>
      </c>
    </row>
    <row r="400" spans="1:32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0">
        <v>5369.58</v>
      </c>
      <c r="P400" s="1">
        <f t="shared" si="56"/>
        <v>5369.58</v>
      </c>
      <c r="R400" s="19" t="str">
        <f t="shared" si="57"/>
        <v>NO</v>
      </c>
      <c r="S400" s="20" t="str">
        <f t="shared" si="58"/>
        <v>NO</v>
      </c>
      <c r="U400" s="23" t="str">
        <f t="shared" si="59"/>
        <v>YES</v>
      </c>
      <c r="W400" s="24" t="str">
        <f t="shared" si="55"/>
        <v>No</v>
      </c>
      <c r="Y400" s="26" t="str">
        <f t="shared" si="60"/>
        <v>yes</v>
      </c>
      <c r="AA400" s="27" t="str">
        <f t="shared" si="61"/>
        <v>Yes</v>
      </c>
      <c r="AD400" s="24" t="str">
        <f t="shared" si="62"/>
        <v>Regular</v>
      </c>
      <c r="AF400" s="28" t="str">
        <f t="shared" si="63"/>
        <v>Discounted</v>
      </c>
    </row>
    <row r="401" spans="1:32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0">
        <v>14326.31</v>
      </c>
      <c r="P401" s="1">
        <f t="shared" si="56"/>
        <v>15918.12</v>
      </c>
      <c r="R401" s="19" t="str">
        <f t="shared" si="57"/>
        <v>NO</v>
      </c>
      <c r="S401" s="20" t="str">
        <f t="shared" si="58"/>
        <v>NO</v>
      </c>
      <c r="U401" s="23" t="str">
        <f t="shared" si="59"/>
        <v>NO</v>
      </c>
      <c r="W401" s="24" t="str">
        <f t="shared" si="55"/>
        <v>No</v>
      </c>
      <c r="Y401" s="26" t="str">
        <f t="shared" si="60"/>
        <v>No</v>
      </c>
      <c r="AA401" s="27" t="str">
        <f t="shared" si="61"/>
        <v>No</v>
      </c>
      <c r="AD401" s="24" t="str">
        <f t="shared" si="62"/>
        <v>Regular</v>
      </c>
      <c r="AF401" s="28" t="str">
        <f t="shared" si="63"/>
        <v>Discounted</v>
      </c>
    </row>
    <row r="402" spans="1:32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0">
        <v>1923.29</v>
      </c>
      <c r="P402" s="1">
        <f t="shared" si="56"/>
        <v>2024.52</v>
      </c>
      <c r="R402" s="19" t="str">
        <f t="shared" si="57"/>
        <v>NO</v>
      </c>
      <c r="S402" s="20" t="str">
        <f t="shared" si="58"/>
        <v>NO</v>
      </c>
      <c r="U402" s="23" t="str">
        <f t="shared" si="59"/>
        <v>YES</v>
      </c>
      <c r="W402" s="24" t="str">
        <f t="shared" si="55"/>
        <v>No</v>
      </c>
      <c r="Y402" s="26" t="str">
        <f t="shared" si="60"/>
        <v>yes</v>
      </c>
      <c r="AA402" s="27" t="str">
        <f t="shared" si="61"/>
        <v>Yes</v>
      </c>
      <c r="AD402" s="24" t="str">
        <f t="shared" si="62"/>
        <v>Regular</v>
      </c>
      <c r="AF402" s="28" t="str">
        <f t="shared" si="63"/>
        <v>Discounted</v>
      </c>
    </row>
    <row r="403" spans="1:32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0">
        <v>16087.13</v>
      </c>
      <c r="P403" s="1">
        <f t="shared" si="56"/>
        <v>18926.04</v>
      </c>
      <c r="R403" s="19" t="str">
        <f t="shared" si="57"/>
        <v>YES</v>
      </c>
      <c r="S403" s="20" t="str">
        <f t="shared" si="58"/>
        <v>NO</v>
      </c>
      <c r="U403" s="23" t="str">
        <f t="shared" si="59"/>
        <v>YES</v>
      </c>
      <c r="W403" s="24" t="str">
        <f t="shared" si="55"/>
        <v>No</v>
      </c>
      <c r="Y403" s="26" t="str">
        <f t="shared" si="60"/>
        <v>yes</v>
      </c>
      <c r="AA403" s="27" t="str">
        <f t="shared" si="61"/>
        <v>Yes</v>
      </c>
      <c r="AD403" s="24" t="str">
        <f t="shared" si="62"/>
        <v>Premium</v>
      </c>
      <c r="AF403" s="28" t="str">
        <f t="shared" si="63"/>
        <v>Discounted</v>
      </c>
    </row>
    <row r="404" spans="1:32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0">
        <v>2332.19</v>
      </c>
      <c r="P404" s="1">
        <f t="shared" si="56"/>
        <v>2743.75</v>
      </c>
      <c r="R404" s="19" t="str">
        <f t="shared" si="57"/>
        <v>NO</v>
      </c>
      <c r="S404" s="20" t="str">
        <f t="shared" si="58"/>
        <v>NO</v>
      </c>
      <c r="U404" s="23" t="str">
        <f t="shared" si="59"/>
        <v>YES</v>
      </c>
      <c r="W404" s="24" t="str">
        <f t="shared" si="55"/>
        <v>No</v>
      </c>
      <c r="Y404" s="26" t="str">
        <f t="shared" si="60"/>
        <v>yes</v>
      </c>
      <c r="AA404" s="27" t="str">
        <f t="shared" si="61"/>
        <v>Yes</v>
      </c>
      <c r="AD404" s="24" t="str">
        <f t="shared" si="62"/>
        <v>Regular</v>
      </c>
      <c r="AF404" s="28" t="str">
        <f t="shared" si="63"/>
        <v>Discounted</v>
      </c>
    </row>
    <row r="405" spans="1:32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0">
        <v>11177.53</v>
      </c>
      <c r="P405" s="1">
        <f t="shared" si="56"/>
        <v>12419.48</v>
      </c>
      <c r="R405" s="19" t="str">
        <f t="shared" si="57"/>
        <v>NO</v>
      </c>
      <c r="S405" s="20" t="str">
        <f t="shared" si="58"/>
        <v>NO</v>
      </c>
      <c r="U405" s="23" t="str">
        <f t="shared" si="59"/>
        <v>YES</v>
      </c>
      <c r="W405" s="24" t="str">
        <f t="shared" si="55"/>
        <v>No</v>
      </c>
      <c r="Y405" s="26" t="str">
        <f t="shared" si="60"/>
        <v>No</v>
      </c>
      <c r="AA405" s="27" t="str">
        <f t="shared" si="61"/>
        <v>No</v>
      </c>
      <c r="AD405" s="24" t="str">
        <f t="shared" si="62"/>
        <v>Regular</v>
      </c>
      <c r="AF405" s="28" t="str">
        <f t="shared" si="63"/>
        <v>Discounted</v>
      </c>
    </row>
    <row r="406" spans="1:32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0">
        <v>5069.16</v>
      </c>
      <c r="P406" s="1">
        <f t="shared" si="56"/>
        <v>5335.96</v>
      </c>
      <c r="R406" s="19" t="str">
        <f t="shared" si="57"/>
        <v>NO</v>
      </c>
      <c r="S406" s="20" t="str">
        <f t="shared" si="58"/>
        <v>NO</v>
      </c>
      <c r="U406" s="23" t="str">
        <f t="shared" si="59"/>
        <v>YES</v>
      </c>
      <c r="W406" s="24" t="str">
        <f t="shared" si="55"/>
        <v>No</v>
      </c>
      <c r="Y406" s="26" t="str">
        <f t="shared" si="60"/>
        <v>yes</v>
      </c>
      <c r="AA406" s="27" t="str">
        <f t="shared" si="61"/>
        <v>Yes</v>
      </c>
      <c r="AD406" s="24" t="str">
        <f t="shared" si="62"/>
        <v>Regular</v>
      </c>
      <c r="AF406" s="28" t="str">
        <f t="shared" si="63"/>
        <v>Discounted</v>
      </c>
    </row>
    <row r="407" spans="1:32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0">
        <v>2044.41</v>
      </c>
      <c r="P407" s="1">
        <f t="shared" si="56"/>
        <v>2044.41</v>
      </c>
      <c r="R407" s="19" t="str">
        <f t="shared" si="57"/>
        <v>NO</v>
      </c>
      <c r="S407" s="20" t="str">
        <f t="shared" si="58"/>
        <v>NO</v>
      </c>
      <c r="U407" s="23" t="str">
        <f t="shared" si="59"/>
        <v>NO</v>
      </c>
      <c r="W407" s="24" t="str">
        <f t="shared" si="55"/>
        <v>No</v>
      </c>
      <c r="Y407" s="26" t="str">
        <f t="shared" si="60"/>
        <v>No</v>
      </c>
      <c r="AA407" s="27" t="str">
        <f t="shared" si="61"/>
        <v>No</v>
      </c>
      <c r="AD407" s="24" t="str">
        <f t="shared" si="62"/>
        <v>Regular</v>
      </c>
      <c r="AF407" s="28" t="str">
        <f t="shared" si="63"/>
        <v>Discounted</v>
      </c>
    </row>
    <row r="408" spans="1:32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0">
        <v>23159.23</v>
      </c>
      <c r="P408" s="1">
        <f t="shared" si="56"/>
        <v>28949.040000000001</v>
      </c>
      <c r="R408" s="19" t="str">
        <f t="shared" si="57"/>
        <v>YES</v>
      </c>
      <c r="S408" s="20" t="str">
        <f t="shared" si="58"/>
        <v>YES</v>
      </c>
      <c r="U408" s="23" t="str">
        <f t="shared" si="59"/>
        <v>YES</v>
      </c>
      <c r="W408" s="24" t="str">
        <f t="shared" si="55"/>
        <v>No</v>
      </c>
      <c r="Y408" s="26" t="str">
        <f t="shared" si="60"/>
        <v>yes</v>
      </c>
      <c r="AA408" s="27" t="str">
        <f t="shared" si="61"/>
        <v>Yes</v>
      </c>
      <c r="AD408" s="24" t="str">
        <f t="shared" si="62"/>
        <v>Premium</v>
      </c>
      <c r="AF408" s="28" t="str">
        <f t="shared" si="63"/>
        <v>Non Disc</v>
      </c>
    </row>
    <row r="409" spans="1:32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0">
        <v>3344.9</v>
      </c>
      <c r="P409" s="1">
        <f t="shared" si="56"/>
        <v>4181.12</v>
      </c>
      <c r="R409" s="19" t="str">
        <f t="shared" si="57"/>
        <v>NO</v>
      </c>
      <c r="S409" s="20" t="str">
        <f t="shared" si="58"/>
        <v>NO</v>
      </c>
      <c r="U409" s="23" t="str">
        <f t="shared" si="59"/>
        <v>NO</v>
      </c>
      <c r="W409" s="24" t="str">
        <f t="shared" si="55"/>
        <v>No</v>
      </c>
      <c r="Y409" s="26" t="str">
        <f t="shared" si="60"/>
        <v>No</v>
      </c>
      <c r="AA409" s="27" t="str">
        <f t="shared" si="61"/>
        <v>No</v>
      </c>
      <c r="AD409" s="24" t="str">
        <f t="shared" si="62"/>
        <v>Regular</v>
      </c>
      <c r="AF409" s="28" t="str">
        <f t="shared" si="63"/>
        <v>Discounted</v>
      </c>
    </row>
    <row r="410" spans="1:32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0">
        <v>6427.45</v>
      </c>
      <c r="P410" s="1">
        <f t="shared" si="56"/>
        <v>7141.6100000000006</v>
      </c>
      <c r="R410" s="19" t="str">
        <f t="shared" si="57"/>
        <v>NO</v>
      </c>
      <c r="S410" s="20" t="str">
        <f t="shared" si="58"/>
        <v>NO</v>
      </c>
      <c r="U410" s="23" t="str">
        <f t="shared" si="59"/>
        <v>YES</v>
      </c>
      <c r="W410" s="24" t="str">
        <f t="shared" si="55"/>
        <v>No</v>
      </c>
      <c r="Y410" s="26" t="str">
        <f t="shared" si="60"/>
        <v>yes</v>
      </c>
      <c r="AA410" s="27" t="str">
        <f t="shared" si="61"/>
        <v>Yes</v>
      </c>
      <c r="AD410" s="24" t="str">
        <f t="shared" si="62"/>
        <v>Regular</v>
      </c>
      <c r="AF410" s="28" t="str">
        <f t="shared" si="63"/>
        <v>Discounted</v>
      </c>
    </row>
    <row r="411" spans="1:32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0">
        <v>6473.92</v>
      </c>
      <c r="P411" s="1">
        <f t="shared" si="56"/>
        <v>6814.6500000000005</v>
      </c>
      <c r="R411" s="19" t="str">
        <f t="shared" si="57"/>
        <v>NO</v>
      </c>
      <c r="S411" s="20" t="str">
        <f t="shared" si="58"/>
        <v>NO</v>
      </c>
      <c r="U411" s="23" t="str">
        <f t="shared" si="59"/>
        <v>NO</v>
      </c>
      <c r="W411" s="24" t="str">
        <f t="shared" si="55"/>
        <v>No</v>
      </c>
      <c r="Y411" s="26" t="str">
        <f t="shared" si="60"/>
        <v>No</v>
      </c>
      <c r="AA411" s="27" t="str">
        <f t="shared" si="61"/>
        <v>No</v>
      </c>
      <c r="AD411" s="24" t="str">
        <f t="shared" si="62"/>
        <v>Regular</v>
      </c>
      <c r="AF411" s="28" t="str">
        <f t="shared" si="63"/>
        <v>Discounted</v>
      </c>
    </row>
    <row r="412" spans="1:32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0">
        <v>6172.3</v>
      </c>
      <c r="P412" s="1">
        <f t="shared" si="56"/>
        <v>6497.16</v>
      </c>
      <c r="R412" s="19" t="str">
        <f t="shared" si="57"/>
        <v>NO</v>
      </c>
      <c r="S412" s="20" t="str">
        <f t="shared" si="58"/>
        <v>NO</v>
      </c>
      <c r="U412" s="23" t="str">
        <f t="shared" si="59"/>
        <v>NO</v>
      </c>
      <c r="W412" s="24" t="str">
        <f t="shared" si="55"/>
        <v>No</v>
      </c>
      <c r="Y412" s="26" t="str">
        <f t="shared" si="60"/>
        <v>No</v>
      </c>
      <c r="AA412" s="27" t="str">
        <f t="shared" si="61"/>
        <v>No</v>
      </c>
      <c r="AD412" s="24" t="str">
        <f t="shared" si="62"/>
        <v>Regular</v>
      </c>
      <c r="AF412" s="28" t="str">
        <f t="shared" si="63"/>
        <v>Discounted</v>
      </c>
    </row>
    <row r="413" spans="1:32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0">
        <v>8409.6299999999992</v>
      </c>
      <c r="P413" s="1">
        <f t="shared" si="56"/>
        <v>9893.68</v>
      </c>
      <c r="R413" s="19" t="str">
        <f t="shared" si="57"/>
        <v>NO</v>
      </c>
      <c r="S413" s="20" t="str">
        <f t="shared" si="58"/>
        <v>YES</v>
      </c>
      <c r="U413" s="23" t="str">
        <f t="shared" si="59"/>
        <v>YES</v>
      </c>
      <c r="W413" s="24" t="str">
        <f t="shared" si="55"/>
        <v>No</v>
      </c>
      <c r="Y413" s="26" t="str">
        <f t="shared" si="60"/>
        <v>yes</v>
      </c>
      <c r="AA413" s="27" t="str">
        <f t="shared" si="61"/>
        <v>Yes</v>
      </c>
      <c r="AD413" s="24" t="str">
        <f t="shared" si="62"/>
        <v>Regular</v>
      </c>
      <c r="AF413" s="28" t="str">
        <f t="shared" si="63"/>
        <v>Non Disc</v>
      </c>
    </row>
    <row r="414" spans="1:32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0">
        <v>10380.719999999999</v>
      </c>
      <c r="P414" s="1">
        <f t="shared" si="56"/>
        <v>10380.719999999999</v>
      </c>
      <c r="R414" s="19" t="str">
        <f t="shared" si="57"/>
        <v>YES</v>
      </c>
      <c r="S414" s="20" t="str">
        <f t="shared" si="58"/>
        <v>NO</v>
      </c>
      <c r="U414" s="23" t="str">
        <f t="shared" si="59"/>
        <v>YES</v>
      </c>
      <c r="W414" s="24" t="str">
        <f t="shared" si="55"/>
        <v>No</v>
      </c>
      <c r="Y414" s="26" t="str">
        <f t="shared" si="60"/>
        <v>yes</v>
      </c>
      <c r="AA414" s="27" t="str">
        <f t="shared" si="61"/>
        <v>Yes</v>
      </c>
      <c r="AD414" s="24" t="str">
        <f t="shared" si="62"/>
        <v>Regular</v>
      </c>
      <c r="AF414" s="28" t="str">
        <f t="shared" si="63"/>
        <v>Discounted</v>
      </c>
    </row>
    <row r="415" spans="1:32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0">
        <v>1158.71</v>
      </c>
      <c r="P415" s="1">
        <f t="shared" si="56"/>
        <v>1219.7</v>
      </c>
      <c r="R415" s="19" t="str">
        <f t="shared" si="57"/>
        <v>NO</v>
      </c>
      <c r="S415" s="20" t="str">
        <f t="shared" si="58"/>
        <v>NO</v>
      </c>
      <c r="U415" s="23" t="str">
        <f t="shared" si="59"/>
        <v>NO</v>
      </c>
      <c r="W415" s="24" t="str">
        <f t="shared" si="55"/>
        <v>No</v>
      </c>
      <c r="Y415" s="26" t="str">
        <f t="shared" si="60"/>
        <v>No</v>
      </c>
      <c r="AA415" s="27" t="str">
        <f t="shared" si="61"/>
        <v>No</v>
      </c>
      <c r="AD415" s="24" t="str">
        <f t="shared" si="62"/>
        <v>Regular</v>
      </c>
      <c r="AF415" s="28" t="str">
        <f t="shared" si="63"/>
        <v>Discounted</v>
      </c>
    </row>
    <row r="416" spans="1:32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0">
        <v>4992.51</v>
      </c>
      <c r="P416" s="1">
        <f t="shared" si="56"/>
        <v>6240.64</v>
      </c>
      <c r="R416" s="19" t="str">
        <f t="shared" si="57"/>
        <v>NO</v>
      </c>
      <c r="S416" s="20" t="str">
        <f t="shared" si="58"/>
        <v>NO</v>
      </c>
      <c r="U416" s="23" t="str">
        <f t="shared" si="59"/>
        <v>YES</v>
      </c>
      <c r="W416" s="24" t="str">
        <f t="shared" si="55"/>
        <v>No</v>
      </c>
      <c r="Y416" s="26" t="str">
        <f t="shared" si="60"/>
        <v>No</v>
      </c>
      <c r="AA416" s="27" t="str">
        <f t="shared" si="61"/>
        <v>No</v>
      </c>
      <c r="AD416" s="24" t="str">
        <f t="shared" si="62"/>
        <v>Regular</v>
      </c>
      <c r="AF416" s="28" t="str">
        <f t="shared" si="63"/>
        <v>Discounted</v>
      </c>
    </row>
    <row r="417" spans="1:32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0">
        <v>21278.560000000001</v>
      </c>
      <c r="P417" s="1">
        <f t="shared" si="56"/>
        <v>21278.560000000001</v>
      </c>
      <c r="R417" s="19" t="str">
        <f t="shared" si="57"/>
        <v>YES</v>
      </c>
      <c r="S417" s="20" t="str">
        <f t="shared" si="58"/>
        <v>NO</v>
      </c>
      <c r="U417" s="23" t="str">
        <f t="shared" si="59"/>
        <v>YES</v>
      </c>
      <c r="W417" s="24" t="str">
        <f t="shared" si="55"/>
        <v>No</v>
      </c>
      <c r="Y417" s="26" t="str">
        <f t="shared" si="60"/>
        <v>yes</v>
      </c>
      <c r="AA417" s="27" t="str">
        <f t="shared" si="61"/>
        <v>Yes</v>
      </c>
      <c r="AD417" s="24" t="str">
        <f t="shared" si="62"/>
        <v>Premium</v>
      </c>
      <c r="AF417" s="28" t="str">
        <f t="shared" si="63"/>
        <v>Discounted</v>
      </c>
    </row>
    <row r="418" spans="1:32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0">
        <v>3354.81</v>
      </c>
      <c r="P418" s="1">
        <f t="shared" si="56"/>
        <v>3354.81</v>
      </c>
      <c r="R418" s="19" t="str">
        <f t="shared" si="57"/>
        <v>NO</v>
      </c>
      <c r="S418" s="20" t="str">
        <f t="shared" si="58"/>
        <v>NO</v>
      </c>
      <c r="U418" s="23" t="str">
        <f t="shared" si="59"/>
        <v>YES</v>
      </c>
      <c r="W418" s="24" t="str">
        <f t="shared" si="55"/>
        <v>No</v>
      </c>
      <c r="Y418" s="26" t="str">
        <f t="shared" si="60"/>
        <v>No</v>
      </c>
      <c r="AA418" s="27" t="str">
        <f t="shared" si="61"/>
        <v>No</v>
      </c>
      <c r="AD418" s="24" t="str">
        <f t="shared" si="62"/>
        <v>Regular</v>
      </c>
      <c r="AF418" s="28" t="str">
        <f t="shared" si="63"/>
        <v>Discounted</v>
      </c>
    </row>
    <row r="419" spans="1:32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0">
        <v>28120.1</v>
      </c>
      <c r="P419" s="1">
        <f t="shared" si="56"/>
        <v>31244.560000000001</v>
      </c>
      <c r="R419" s="19" t="str">
        <f t="shared" si="57"/>
        <v>YES</v>
      </c>
      <c r="S419" s="20" t="str">
        <f t="shared" si="58"/>
        <v>YES</v>
      </c>
      <c r="U419" s="23" t="str">
        <f t="shared" si="59"/>
        <v>YES</v>
      </c>
      <c r="W419" s="24" t="str">
        <f t="shared" si="55"/>
        <v>No</v>
      </c>
      <c r="Y419" s="26" t="str">
        <f t="shared" si="60"/>
        <v>yes</v>
      </c>
      <c r="AA419" s="27" t="str">
        <f t="shared" si="61"/>
        <v>Yes</v>
      </c>
      <c r="AD419" s="24" t="str">
        <f t="shared" si="62"/>
        <v>Premium</v>
      </c>
      <c r="AF419" s="28" t="str">
        <f t="shared" si="63"/>
        <v>Non Disc</v>
      </c>
    </row>
    <row r="420" spans="1:32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0">
        <v>15014.03</v>
      </c>
      <c r="P420" s="1">
        <f t="shared" si="56"/>
        <v>15804.24</v>
      </c>
      <c r="R420" s="19" t="str">
        <f t="shared" si="57"/>
        <v>YES</v>
      </c>
      <c r="S420" s="20" t="str">
        <f t="shared" si="58"/>
        <v>NO</v>
      </c>
      <c r="U420" s="23" t="str">
        <f t="shared" si="59"/>
        <v>YES</v>
      </c>
      <c r="W420" s="24" t="str">
        <f t="shared" si="55"/>
        <v>No</v>
      </c>
      <c r="Y420" s="26" t="str">
        <f t="shared" si="60"/>
        <v>yes</v>
      </c>
      <c r="AA420" s="27" t="str">
        <f t="shared" si="61"/>
        <v>Yes</v>
      </c>
      <c r="AD420" s="24" t="str">
        <f t="shared" si="62"/>
        <v>Regular</v>
      </c>
      <c r="AF420" s="28" t="str">
        <f t="shared" si="63"/>
        <v>Non Disc</v>
      </c>
    </row>
    <row r="421" spans="1:32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0">
        <v>732.19</v>
      </c>
      <c r="P421" s="1">
        <f t="shared" si="56"/>
        <v>813.54</v>
      </c>
      <c r="R421" s="19" t="str">
        <f t="shared" si="57"/>
        <v>NO</v>
      </c>
      <c r="S421" s="20" t="str">
        <f t="shared" si="58"/>
        <v>NO</v>
      </c>
      <c r="U421" s="23" t="str">
        <f t="shared" si="59"/>
        <v>YES</v>
      </c>
      <c r="W421" s="24" t="str">
        <f t="shared" si="55"/>
        <v>Special Attention</v>
      </c>
      <c r="Y421" s="26" t="str">
        <f t="shared" si="60"/>
        <v>yes</v>
      </c>
      <c r="AA421" s="27" t="str">
        <f t="shared" si="61"/>
        <v>Yes</v>
      </c>
      <c r="AD421" s="24" t="str">
        <f t="shared" si="62"/>
        <v>Regular</v>
      </c>
      <c r="AF421" s="28" t="str">
        <f t="shared" si="63"/>
        <v>Discounted</v>
      </c>
    </row>
    <row r="422" spans="1:32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0">
        <v>1273.6099999999999</v>
      </c>
      <c r="P422" s="1">
        <f t="shared" si="56"/>
        <v>1340.64</v>
      </c>
      <c r="R422" s="19" t="str">
        <f t="shared" si="57"/>
        <v>NO</v>
      </c>
      <c r="S422" s="20" t="str">
        <f t="shared" si="58"/>
        <v>NO</v>
      </c>
      <c r="U422" s="23" t="str">
        <f t="shared" si="59"/>
        <v>YES</v>
      </c>
      <c r="W422" s="24" t="str">
        <f t="shared" si="55"/>
        <v>No</v>
      </c>
      <c r="Y422" s="26" t="str">
        <f t="shared" si="60"/>
        <v>yes</v>
      </c>
      <c r="AA422" s="27" t="str">
        <f t="shared" si="61"/>
        <v>Yes</v>
      </c>
      <c r="AD422" s="24" t="str">
        <f t="shared" si="62"/>
        <v>Regular</v>
      </c>
      <c r="AF422" s="28" t="str">
        <f t="shared" si="63"/>
        <v>Discounted</v>
      </c>
    </row>
    <row r="423" spans="1:32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0">
        <v>6570.38</v>
      </c>
      <c r="P423" s="1">
        <f t="shared" si="56"/>
        <v>7729.86</v>
      </c>
      <c r="R423" s="19" t="str">
        <f t="shared" si="57"/>
        <v>NO</v>
      </c>
      <c r="S423" s="20" t="str">
        <f t="shared" si="58"/>
        <v>NO</v>
      </c>
      <c r="U423" s="23" t="str">
        <f t="shared" si="59"/>
        <v>YES</v>
      </c>
      <c r="W423" s="24" t="str">
        <f t="shared" si="55"/>
        <v>No</v>
      </c>
      <c r="Y423" s="26" t="str">
        <f t="shared" si="60"/>
        <v>No</v>
      </c>
      <c r="AA423" s="27" t="str">
        <f t="shared" si="61"/>
        <v>No</v>
      </c>
      <c r="AD423" s="24" t="str">
        <f t="shared" si="62"/>
        <v>Regular</v>
      </c>
      <c r="AF423" s="28" t="str">
        <f t="shared" si="63"/>
        <v>Discounted</v>
      </c>
    </row>
    <row r="424" spans="1:32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0">
        <v>30296.43</v>
      </c>
      <c r="P424" s="1">
        <f t="shared" si="56"/>
        <v>33662.700000000004</v>
      </c>
      <c r="R424" s="19" t="str">
        <f t="shared" si="57"/>
        <v>YES</v>
      </c>
      <c r="S424" s="20" t="str">
        <f t="shared" si="58"/>
        <v>YES</v>
      </c>
      <c r="U424" s="23" t="str">
        <f t="shared" si="59"/>
        <v>YES</v>
      </c>
      <c r="W424" s="24" t="str">
        <f t="shared" si="55"/>
        <v>No</v>
      </c>
      <c r="Y424" s="26" t="str">
        <f t="shared" si="60"/>
        <v>yes</v>
      </c>
      <c r="AA424" s="27" t="str">
        <f t="shared" si="61"/>
        <v>Yes</v>
      </c>
      <c r="AD424" s="24" t="str">
        <f t="shared" si="62"/>
        <v>Premium</v>
      </c>
      <c r="AF424" s="28" t="str">
        <f t="shared" si="63"/>
        <v>Non Disc</v>
      </c>
    </row>
    <row r="425" spans="1:32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0">
        <v>15583.46</v>
      </c>
      <c r="P425" s="1">
        <f t="shared" si="56"/>
        <v>17314.96</v>
      </c>
      <c r="R425" s="19" t="str">
        <f t="shared" si="57"/>
        <v>YES</v>
      </c>
      <c r="S425" s="20" t="str">
        <f t="shared" si="58"/>
        <v>YES</v>
      </c>
      <c r="U425" s="23" t="str">
        <f t="shared" si="59"/>
        <v>NO</v>
      </c>
      <c r="W425" s="24" t="str">
        <f t="shared" si="55"/>
        <v>No</v>
      </c>
      <c r="Y425" s="26" t="str">
        <f t="shared" si="60"/>
        <v>No</v>
      </c>
      <c r="AA425" s="27" t="str">
        <f t="shared" si="61"/>
        <v>No</v>
      </c>
      <c r="AD425" s="24" t="str">
        <f t="shared" si="62"/>
        <v>Premium</v>
      </c>
      <c r="AF425" s="28" t="str">
        <f t="shared" si="63"/>
        <v>Non Disc</v>
      </c>
    </row>
    <row r="426" spans="1:32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0">
        <v>7656.83</v>
      </c>
      <c r="P426" s="1">
        <f t="shared" si="56"/>
        <v>9571.0400000000009</v>
      </c>
      <c r="R426" s="19" t="str">
        <f t="shared" si="57"/>
        <v>NO</v>
      </c>
      <c r="S426" s="20" t="str">
        <f t="shared" si="58"/>
        <v>YES</v>
      </c>
      <c r="U426" s="23" t="str">
        <f t="shared" si="59"/>
        <v>NO</v>
      </c>
      <c r="W426" s="24" t="str">
        <f t="shared" si="55"/>
        <v>No</v>
      </c>
      <c r="Y426" s="26" t="str">
        <f t="shared" si="60"/>
        <v>No</v>
      </c>
      <c r="AA426" s="27" t="str">
        <f t="shared" si="61"/>
        <v>No</v>
      </c>
      <c r="AD426" s="24" t="str">
        <f t="shared" si="62"/>
        <v>Regular</v>
      </c>
      <c r="AF426" s="28" t="str">
        <f t="shared" si="63"/>
        <v>Non Disc</v>
      </c>
    </row>
    <row r="427" spans="1:32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0">
        <v>10626.78</v>
      </c>
      <c r="P427" s="1">
        <f t="shared" si="56"/>
        <v>11807.529999999999</v>
      </c>
      <c r="R427" s="19" t="str">
        <f t="shared" si="57"/>
        <v>YES</v>
      </c>
      <c r="S427" s="20" t="str">
        <f t="shared" si="58"/>
        <v>NO</v>
      </c>
      <c r="U427" s="23" t="str">
        <f t="shared" si="59"/>
        <v>YES</v>
      </c>
      <c r="W427" s="24" t="str">
        <f t="shared" si="55"/>
        <v>No</v>
      </c>
      <c r="Y427" s="26" t="str">
        <f t="shared" si="60"/>
        <v>No</v>
      </c>
      <c r="AA427" s="27" t="str">
        <f t="shared" si="61"/>
        <v>No</v>
      </c>
      <c r="AD427" s="24" t="str">
        <f t="shared" si="62"/>
        <v>Regular</v>
      </c>
      <c r="AF427" s="28" t="str">
        <f t="shared" si="63"/>
        <v>Discounted</v>
      </c>
    </row>
    <row r="428" spans="1:32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0">
        <v>20986.74</v>
      </c>
      <c r="P428" s="1">
        <f t="shared" si="56"/>
        <v>22091.31</v>
      </c>
      <c r="R428" s="19" t="str">
        <f t="shared" si="57"/>
        <v>YES</v>
      </c>
      <c r="S428" s="20" t="str">
        <f t="shared" si="58"/>
        <v>NO</v>
      </c>
      <c r="U428" s="23" t="str">
        <f t="shared" si="59"/>
        <v>YES</v>
      </c>
      <c r="W428" s="24" t="str">
        <f t="shared" si="55"/>
        <v>No</v>
      </c>
      <c r="Y428" s="26" t="str">
        <f t="shared" si="60"/>
        <v>yes</v>
      </c>
      <c r="AA428" s="27" t="str">
        <f t="shared" si="61"/>
        <v>Yes</v>
      </c>
      <c r="AD428" s="24" t="str">
        <f t="shared" si="62"/>
        <v>Regular</v>
      </c>
      <c r="AF428" s="28" t="str">
        <f t="shared" si="63"/>
        <v>Non Disc</v>
      </c>
    </row>
    <row r="429" spans="1:32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0">
        <v>4262.18</v>
      </c>
      <c r="P429" s="1">
        <f t="shared" si="56"/>
        <v>5327.72</v>
      </c>
      <c r="R429" s="19" t="str">
        <f t="shared" si="57"/>
        <v>NO</v>
      </c>
      <c r="S429" s="20" t="str">
        <f t="shared" si="58"/>
        <v>NO</v>
      </c>
      <c r="U429" s="23" t="str">
        <f t="shared" si="59"/>
        <v>NO</v>
      </c>
      <c r="W429" s="24" t="str">
        <f t="shared" si="55"/>
        <v>No</v>
      </c>
      <c r="Y429" s="26" t="str">
        <f t="shared" si="60"/>
        <v>No</v>
      </c>
      <c r="AA429" s="27" t="str">
        <f t="shared" si="61"/>
        <v>No</v>
      </c>
      <c r="AD429" s="24" t="str">
        <f t="shared" si="62"/>
        <v>Regular</v>
      </c>
      <c r="AF429" s="28" t="str">
        <f t="shared" si="63"/>
        <v>Discounted</v>
      </c>
    </row>
    <row r="430" spans="1:32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0">
        <v>2004.99</v>
      </c>
      <c r="P430" s="1">
        <f t="shared" si="56"/>
        <v>2227.77</v>
      </c>
      <c r="R430" s="19" t="str">
        <f t="shared" si="57"/>
        <v>NO</v>
      </c>
      <c r="S430" s="20" t="str">
        <f t="shared" si="58"/>
        <v>NO</v>
      </c>
      <c r="U430" s="23" t="str">
        <f t="shared" si="59"/>
        <v>YES</v>
      </c>
      <c r="W430" s="24" t="str">
        <f t="shared" si="55"/>
        <v>No</v>
      </c>
      <c r="Y430" s="26" t="str">
        <f t="shared" si="60"/>
        <v>No</v>
      </c>
      <c r="AA430" s="27" t="str">
        <f t="shared" si="61"/>
        <v>No</v>
      </c>
      <c r="AD430" s="24" t="str">
        <f t="shared" si="62"/>
        <v>Regular</v>
      </c>
      <c r="AF430" s="28" t="str">
        <f t="shared" si="63"/>
        <v>Discounted</v>
      </c>
    </row>
    <row r="431" spans="1:32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0">
        <v>28163.3</v>
      </c>
      <c r="P431" s="1">
        <f t="shared" si="56"/>
        <v>31292.560000000001</v>
      </c>
      <c r="R431" s="19" t="str">
        <f t="shared" si="57"/>
        <v>YES</v>
      </c>
      <c r="S431" s="20" t="str">
        <f t="shared" si="58"/>
        <v>YES</v>
      </c>
      <c r="U431" s="23" t="str">
        <f t="shared" si="59"/>
        <v>YES</v>
      </c>
      <c r="W431" s="24" t="str">
        <f t="shared" si="55"/>
        <v>No</v>
      </c>
      <c r="Y431" s="26" t="str">
        <f t="shared" si="60"/>
        <v>yes</v>
      </c>
      <c r="AA431" s="27" t="str">
        <f t="shared" si="61"/>
        <v>Yes</v>
      </c>
      <c r="AD431" s="24" t="str">
        <f t="shared" si="62"/>
        <v>Regular</v>
      </c>
      <c r="AF431" s="28" t="str">
        <f t="shared" si="63"/>
        <v>Non Disc</v>
      </c>
    </row>
    <row r="432" spans="1:32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0">
        <v>11461.59</v>
      </c>
      <c r="P432" s="1">
        <f t="shared" si="56"/>
        <v>13484.22</v>
      </c>
      <c r="R432" s="19" t="str">
        <f t="shared" si="57"/>
        <v>YES</v>
      </c>
      <c r="S432" s="20" t="str">
        <f t="shared" si="58"/>
        <v>NO</v>
      </c>
      <c r="U432" s="23" t="str">
        <f t="shared" si="59"/>
        <v>NO</v>
      </c>
      <c r="W432" s="24" t="str">
        <f t="shared" si="55"/>
        <v>No</v>
      </c>
      <c r="Y432" s="26" t="str">
        <f t="shared" si="60"/>
        <v>No</v>
      </c>
      <c r="AA432" s="27" t="str">
        <f t="shared" si="61"/>
        <v>No</v>
      </c>
      <c r="AD432" s="24" t="str">
        <f t="shared" si="62"/>
        <v>Regular</v>
      </c>
      <c r="AF432" s="28" t="str">
        <f t="shared" si="63"/>
        <v>Discounted</v>
      </c>
    </row>
    <row r="433" spans="1:32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0">
        <v>5446.44</v>
      </c>
      <c r="P433" s="1">
        <f t="shared" si="56"/>
        <v>6051.5999999999995</v>
      </c>
      <c r="R433" s="19" t="str">
        <f t="shared" si="57"/>
        <v>NO</v>
      </c>
      <c r="S433" s="20" t="str">
        <f t="shared" si="58"/>
        <v>YES</v>
      </c>
      <c r="U433" s="23" t="str">
        <f t="shared" si="59"/>
        <v>NO</v>
      </c>
      <c r="W433" s="24" t="str">
        <f t="shared" si="55"/>
        <v>No</v>
      </c>
      <c r="Y433" s="26" t="str">
        <f t="shared" si="60"/>
        <v>No</v>
      </c>
      <c r="AA433" s="27" t="str">
        <f t="shared" si="61"/>
        <v>No</v>
      </c>
      <c r="AD433" s="24" t="str">
        <f t="shared" si="62"/>
        <v>Regular</v>
      </c>
      <c r="AF433" s="28" t="str">
        <f t="shared" si="63"/>
        <v>Non Disc</v>
      </c>
    </row>
    <row r="434" spans="1:32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0">
        <v>14362</v>
      </c>
      <c r="P434" s="1">
        <f t="shared" si="56"/>
        <v>14362</v>
      </c>
      <c r="R434" s="19" t="str">
        <f t="shared" si="57"/>
        <v>NO</v>
      </c>
      <c r="S434" s="20" t="str">
        <f t="shared" si="58"/>
        <v>NO</v>
      </c>
      <c r="U434" s="23" t="str">
        <f t="shared" si="59"/>
        <v>YES</v>
      </c>
      <c r="W434" s="24" t="str">
        <f t="shared" si="55"/>
        <v>No</v>
      </c>
      <c r="Y434" s="26" t="str">
        <f t="shared" si="60"/>
        <v>No</v>
      </c>
      <c r="AA434" s="27" t="str">
        <f t="shared" si="61"/>
        <v>No</v>
      </c>
      <c r="AD434" s="24" t="str">
        <f t="shared" si="62"/>
        <v>Regular</v>
      </c>
      <c r="AF434" s="28" t="str">
        <f t="shared" si="63"/>
        <v>Discounted</v>
      </c>
    </row>
    <row r="435" spans="1:32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0">
        <v>2799.1</v>
      </c>
      <c r="P435" s="1">
        <f t="shared" si="56"/>
        <v>3498.88</v>
      </c>
      <c r="R435" s="19" t="str">
        <f t="shared" si="57"/>
        <v>NO</v>
      </c>
      <c r="S435" s="20" t="str">
        <f t="shared" si="58"/>
        <v>YES</v>
      </c>
      <c r="U435" s="23" t="str">
        <f t="shared" si="59"/>
        <v>YES</v>
      </c>
      <c r="W435" s="24" t="str">
        <f t="shared" si="55"/>
        <v>No</v>
      </c>
      <c r="Y435" s="26" t="str">
        <f t="shared" si="60"/>
        <v>yes</v>
      </c>
      <c r="AA435" s="27" t="str">
        <f t="shared" si="61"/>
        <v>Yes</v>
      </c>
      <c r="AD435" s="24" t="str">
        <f t="shared" si="62"/>
        <v>Regular</v>
      </c>
      <c r="AF435" s="28" t="str">
        <f t="shared" si="63"/>
        <v>Non Disc</v>
      </c>
    </row>
    <row r="436" spans="1:32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0">
        <v>10934.34</v>
      </c>
      <c r="P436" s="1">
        <f t="shared" si="56"/>
        <v>10934.34</v>
      </c>
      <c r="R436" s="19" t="str">
        <f t="shared" si="57"/>
        <v>NO</v>
      </c>
      <c r="S436" s="20" t="str">
        <f t="shared" si="58"/>
        <v>NO</v>
      </c>
      <c r="U436" s="23" t="str">
        <f t="shared" si="59"/>
        <v>YES</v>
      </c>
      <c r="W436" s="24" t="str">
        <f t="shared" si="55"/>
        <v>No</v>
      </c>
      <c r="Y436" s="26" t="str">
        <f t="shared" si="60"/>
        <v>yes</v>
      </c>
      <c r="AA436" s="27" t="str">
        <f t="shared" si="61"/>
        <v>Yes</v>
      </c>
      <c r="AD436" s="24" t="str">
        <f t="shared" si="62"/>
        <v>Regular</v>
      </c>
      <c r="AF436" s="28" t="str">
        <f t="shared" si="63"/>
        <v>Discounted</v>
      </c>
    </row>
    <row r="437" spans="1:32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0">
        <v>9568.27</v>
      </c>
      <c r="P437" s="1">
        <f t="shared" si="56"/>
        <v>11960.34</v>
      </c>
      <c r="R437" s="19" t="str">
        <f t="shared" si="57"/>
        <v>NO</v>
      </c>
      <c r="S437" s="20" t="str">
        <f t="shared" si="58"/>
        <v>NO</v>
      </c>
      <c r="U437" s="23" t="str">
        <f t="shared" si="59"/>
        <v>NO</v>
      </c>
      <c r="W437" s="24" t="str">
        <f t="shared" si="55"/>
        <v>No</v>
      </c>
      <c r="Y437" s="26" t="str">
        <f t="shared" si="60"/>
        <v>No</v>
      </c>
      <c r="AA437" s="27" t="str">
        <f t="shared" si="61"/>
        <v>No</v>
      </c>
      <c r="AD437" s="24" t="str">
        <f t="shared" si="62"/>
        <v>Regular</v>
      </c>
      <c r="AF437" s="28" t="str">
        <f t="shared" si="63"/>
        <v>Discounted</v>
      </c>
    </row>
    <row r="438" spans="1:32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0">
        <v>19357.29</v>
      </c>
      <c r="P438" s="1">
        <f t="shared" si="56"/>
        <v>22773.279999999999</v>
      </c>
      <c r="R438" s="19" t="str">
        <f t="shared" si="57"/>
        <v>YES</v>
      </c>
      <c r="S438" s="20" t="str">
        <f t="shared" si="58"/>
        <v>YES</v>
      </c>
      <c r="U438" s="23" t="str">
        <f t="shared" si="59"/>
        <v>NO</v>
      </c>
      <c r="W438" s="24" t="str">
        <f t="shared" si="55"/>
        <v>No</v>
      </c>
      <c r="Y438" s="26" t="str">
        <f t="shared" si="60"/>
        <v>No</v>
      </c>
      <c r="AA438" s="27" t="str">
        <f t="shared" si="61"/>
        <v>No</v>
      </c>
      <c r="AD438" s="24" t="str">
        <f t="shared" si="62"/>
        <v>Regular</v>
      </c>
      <c r="AF438" s="28" t="str">
        <f t="shared" si="63"/>
        <v>Non Disc</v>
      </c>
    </row>
    <row r="439" spans="1:32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0">
        <v>14022.99</v>
      </c>
      <c r="P439" s="1">
        <f t="shared" si="56"/>
        <v>15581.099999999999</v>
      </c>
      <c r="R439" s="19" t="str">
        <f t="shared" si="57"/>
        <v>NO</v>
      </c>
      <c r="S439" s="20" t="str">
        <f t="shared" si="58"/>
        <v>NO</v>
      </c>
      <c r="U439" s="23" t="str">
        <f t="shared" si="59"/>
        <v>NO</v>
      </c>
      <c r="W439" s="24" t="str">
        <f t="shared" si="55"/>
        <v>No</v>
      </c>
      <c r="Y439" s="26" t="str">
        <f t="shared" si="60"/>
        <v>No</v>
      </c>
      <c r="AA439" s="27" t="str">
        <f t="shared" si="61"/>
        <v>No</v>
      </c>
      <c r="AD439" s="24" t="str">
        <f t="shared" si="62"/>
        <v>Regular</v>
      </c>
      <c r="AF439" s="28" t="str">
        <f t="shared" si="63"/>
        <v>Discounted</v>
      </c>
    </row>
    <row r="440" spans="1:32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0">
        <v>3911.27</v>
      </c>
      <c r="P440" s="1">
        <f t="shared" si="56"/>
        <v>4345.8599999999997</v>
      </c>
      <c r="R440" s="19" t="str">
        <f t="shared" si="57"/>
        <v>NO</v>
      </c>
      <c r="S440" s="20" t="str">
        <f t="shared" si="58"/>
        <v>NO</v>
      </c>
      <c r="U440" s="23" t="str">
        <f t="shared" si="59"/>
        <v>YES</v>
      </c>
      <c r="W440" s="24" t="str">
        <f t="shared" si="55"/>
        <v>No</v>
      </c>
      <c r="Y440" s="26" t="str">
        <f t="shared" si="60"/>
        <v>yes</v>
      </c>
      <c r="AA440" s="27" t="str">
        <f t="shared" si="61"/>
        <v>Yes</v>
      </c>
      <c r="AD440" s="24" t="str">
        <f t="shared" si="62"/>
        <v>Regular</v>
      </c>
      <c r="AF440" s="28" t="str">
        <f t="shared" si="63"/>
        <v>Discounted</v>
      </c>
    </row>
    <row r="441" spans="1:32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0">
        <v>3397.56</v>
      </c>
      <c r="P441" s="1">
        <f t="shared" si="56"/>
        <v>3775.07</v>
      </c>
      <c r="R441" s="19" t="str">
        <f t="shared" si="57"/>
        <v>NO</v>
      </c>
      <c r="S441" s="20" t="str">
        <f t="shared" si="58"/>
        <v>NO</v>
      </c>
      <c r="U441" s="23" t="str">
        <f t="shared" si="59"/>
        <v>YES</v>
      </c>
      <c r="W441" s="24" t="str">
        <f t="shared" si="55"/>
        <v>No</v>
      </c>
      <c r="Y441" s="26" t="str">
        <f t="shared" si="60"/>
        <v>No</v>
      </c>
      <c r="AA441" s="27" t="str">
        <f t="shared" si="61"/>
        <v>No</v>
      </c>
      <c r="AD441" s="24" t="str">
        <f t="shared" si="62"/>
        <v>Regular</v>
      </c>
      <c r="AF441" s="28" t="str">
        <f t="shared" si="63"/>
        <v>Discounted</v>
      </c>
    </row>
    <row r="442" spans="1:32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0">
        <v>5254.56</v>
      </c>
      <c r="P442" s="1">
        <f t="shared" si="56"/>
        <v>6568.2000000000007</v>
      </c>
      <c r="R442" s="19" t="str">
        <f t="shared" si="57"/>
        <v>NO</v>
      </c>
      <c r="S442" s="20" t="str">
        <f t="shared" si="58"/>
        <v>NO</v>
      </c>
      <c r="U442" s="23" t="str">
        <f t="shared" si="59"/>
        <v>YES</v>
      </c>
      <c r="W442" s="24" t="str">
        <f t="shared" ref="W442:W501" si="64">IF(AND(L442&lt;3,O442&lt;=1000),"Special Attention","No")</f>
        <v>No</v>
      </c>
      <c r="Y442" s="26" t="str">
        <f t="shared" si="60"/>
        <v>No</v>
      </c>
      <c r="AA442" s="27" t="str">
        <f t="shared" si="61"/>
        <v>No</v>
      </c>
      <c r="AD442" s="24" t="str">
        <f t="shared" si="62"/>
        <v>Regular</v>
      </c>
      <c r="AF442" s="28" t="str">
        <f t="shared" si="63"/>
        <v>Discounted</v>
      </c>
    </row>
    <row r="443" spans="1:32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0">
        <v>24054.57</v>
      </c>
      <c r="P443" s="1">
        <f t="shared" si="56"/>
        <v>26727.3</v>
      </c>
      <c r="R443" s="19" t="str">
        <f t="shared" si="57"/>
        <v>YES</v>
      </c>
      <c r="S443" s="20" t="str">
        <f t="shared" si="58"/>
        <v>YES</v>
      </c>
      <c r="U443" s="23" t="str">
        <f t="shared" si="59"/>
        <v>YES</v>
      </c>
      <c r="W443" s="24" t="str">
        <f t="shared" si="64"/>
        <v>No</v>
      </c>
      <c r="Y443" s="26" t="str">
        <f t="shared" si="60"/>
        <v>yes</v>
      </c>
      <c r="AA443" s="27" t="str">
        <f t="shared" si="61"/>
        <v>Yes</v>
      </c>
      <c r="AD443" s="24" t="str">
        <f t="shared" si="62"/>
        <v>Regular</v>
      </c>
      <c r="AF443" s="28" t="str">
        <f t="shared" si="63"/>
        <v>Non Disc</v>
      </c>
    </row>
    <row r="444" spans="1:32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0">
        <v>18539.05</v>
      </c>
      <c r="P444" s="1">
        <f t="shared" si="56"/>
        <v>18539.05</v>
      </c>
      <c r="R444" s="19" t="str">
        <f t="shared" si="57"/>
        <v>NO</v>
      </c>
      <c r="S444" s="20" t="str">
        <f t="shared" si="58"/>
        <v>NO</v>
      </c>
      <c r="U444" s="23" t="str">
        <f t="shared" si="59"/>
        <v>YES</v>
      </c>
      <c r="W444" s="24" t="str">
        <f t="shared" si="64"/>
        <v>No</v>
      </c>
      <c r="Y444" s="26" t="str">
        <f t="shared" si="60"/>
        <v>No</v>
      </c>
      <c r="AA444" s="27" t="str">
        <f t="shared" si="61"/>
        <v>No</v>
      </c>
      <c r="AD444" s="24" t="str">
        <f t="shared" si="62"/>
        <v>Regular</v>
      </c>
      <c r="AF444" s="28" t="str">
        <f t="shared" si="63"/>
        <v>Discounted</v>
      </c>
    </row>
    <row r="445" spans="1:32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0">
        <v>7027.99</v>
      </c>
      <c r="P445" s="1">
        <f t="shared" si="56"/>
        <v>7808.88</v>
      </c>
      <c r="R445" s="19" t="str">
        <f t="shared" si="57"/>
        <v>NO</v>
      </c>
      <c r="S445" s="20" t="str">
        <f t="shared" si="58"/>
        <v>NO</v>
      </c>
      <c r="U445" s="23" t="str">
        <f t="shared" si="59"/>
        <v>NO</v>
      </c>
      <c r="W445" s="24" t="str">
        <f t="shared" si="64"/>
        <v>No</v>
      </c>
      <c r="Y445" s="26" t="str">
        <f t="shared" si="60"/>
        <v>No</v>
      </c>
      <c r="AA445" s="27" t="str">
        <f t="shared" si="61"/>
        <v>No</v>
      </c>
      <c r="AD445" s="24" t="str">
        <f t="shared" si="62"/>
        <v>Regular</v>
      </c>
      <c r="AF445" s="28" t="str">
        <f t="shared" si="63"/>
        <v>Discounted</v>
      </c>
    </row>
    <row r="446" spans="1:32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0">
        <v>19979.150000000001</v>
      </c>
      <c r="P446" s="1">
        <f t="shared" si="56"/>
        <v>23504.880000000001</v>
      </c>
      <c r="R446" s="19" t="str">
        <f t="shared" si="57"/>
        <v>YES</v>
      </c>
      <c r="S446" s="20" t="str">
        <f t="shared" si="58"/>
        <v>NO</v>
      </c>
      <c r="U446" s="23" t="str">
        <f t="shared" si="59"/>
        <v>YES</v>
      </c>
      <c r="W446" s="24" t="str">
        <f t="shared" si="64"/>
        <v>No</v>
      </c>
      <c r="Y446" s="26" t="str">
        <f t="shared" si="60"/>
        <v>No</v>
      </c>
      <c r="AA446" s="27" t="str">
        <f t="shared" si="61"/>
        <v>No</v>
      </c>
      <c r="AD446" s="24" t="str">
        <f t="shared" si="62"/>
        <v>Regular</v>
      </c>
      <c r="AF446" s="28" t="str">
        <f t="shared" si="63"/>
        <v>Discounted</v>
      </c>
    </row>
    <row r="447" spans="1:32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0">
        <v>2633.24</v>
      </c>
      <c r="P447" s="1">
        <f t="shared" si="56"/>
        <v>2633.24</v>
      </c>
      <c r="R447" s="19" t="str">
        <f t="shared" si="57"/>
        <v>NO</v>
      </c>
      <c r="S447" s="20" t="str">
        <f t="shared" si="58"/>
        <v>NO</v>
      </c>
      <c r="U447" s="23" t="str">
        <f t="shared" si="59"/>
        <v>YES</v>
      </c>
      <c r="W447" s="24" t="str">
        <f t="shared" si="64"/>
        <v>No</v>
      </c>
      <c r="Y447" s="26" t="str">
        <f t="shared" si="60"/>
        <v>No</v>
      </c>
      <c r="AA447" s="27" t="str">
        <f t="shared" si="61"/>
        <v>No</v>
      </c>
      <c r="AD447" s="24" t="str">
        <f t="shared" si="62"/>
        <v>Regular</v>
      </c>
      <c r="AF447" s="28" t="str">
        <f t="shared" si="63"/>
        <v>Discounted</v>
      </c>
    </row>
    <row r="448" spans="1:32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0">
        <v>13936.36</v>
      </c>
      <c r="P448" s="1">
        <f t="shared" si="56"/>
        <v>15484.84</v>
      </c>
      <c r="R448" s="19" t="str">
        <f t="shared" si="57"/>
        <v>NO</v>
      </c>
      <c r="S448" s="20" t="str">
        <f t="shared" si="58"/>
        <v>NO</v>
      </c>
      <c r="U448" s="23" t="str">
        <f t="shared" si="59"/>
        <v>YES</v>
      </c>
      <c r="W448" s="24" t="str">
        <f t="shared" si="64"/>
        <v>No</v>
      </c>
      <c r="Y448" s="26" t="str">
        <f t="shared" si="60"/>
        <v>No</v>
      </c>
      <c r="AA448" s="27" t="str">
        <f t="shared" si="61"/>
        <v>No</v>
      </c>
      <c r="AD448" s="24" t="str">
        <f t="shared" si="62"/>
        <v>Regular</v>
      </c>
      <c r="AF448" s="28" t="str">
        <f t="shared" si="63"/>
        <v>Discounted</v>
      </c>
    </row>
    <row r="449" spans="1:32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0">
        <v>16180.04</v>
      </c>
      <c r="P449" s="1">
        <f t="shared" si="56"/>
        <v>17977.82</v>
      </c>
      <c r="R449" s="19" t="str">
        <f t="shared" si="57"/>
        <v>YES</v>
      </c>
      <c r="S449" s="20" t="str">
        <f t="shared" si="58"/>
        <v>NO</v>
      </c>
      <c r="U449" s="23" t="str">
        <f t="shared" si="59"/>
        <v>NO</v>
      </c>
      <c r="W449" s="24" t="str">
        <f t="shared" si="64"/>
        <v>No</v>
      </c>
      <c r="Y449" s="26" t="str">
        <f t="shared" si="60"/>
        <v>No</v>
      </c>
      <c r="AA449" s="27" t="str">
        <f t="shared" si="61"/>
        <v>No</v>
      </c>
      <c r="AD449" s="24" t="str">
        <f t="shared" si="62"/>
        <v>Regular</v>
      </c>
      <c r="AF449" s="28" t="str">
        <f t="shared" si="63"/>
        <v>Discounted</v>
      </c>
    </row>
    <row r="450" spans="1:32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0">
        <v>14185.29</v>
      </c>
      <c r="P450" s="1">
        <f t="shared" si="56"/>
        <v>14931.88</v>
      </c>
      <c r="R450" s="19" t="str">
        <f t="shared" si="57"/>
        <v>NO</v>
      </c>
      <c r="S450" s="20" t="str">
        <f t="shared" si="58"/>
        <v>NO</v>
      </c>
      <c r="U450" s="23" t="str">
        <f t="shared" si="59"/>
        <v>YES</v>
      </c>
      <c r="W450" s="24" t="str">
        <f t="shared" si="64"/>
        <v>No</v>
      </c>
      <c r="Y450" s="26" t="str">
        <f t="shared" si="60"/>
        <v>yes</v>
      </c>
      <c r="AA450" s="27" t="str">
        <f t="shared" si="61"/>
        <v>Yes</v>
      </c>
      <c r="AD450" s="24" t="str">
        <f t="shared" si="62"/>
        <v>Regular</v>
      </c>
      <c r="AF450" s="28" t="str">
        <f t="shared" si="63"/>
        <v>Discounted</v>
      </c>
    </row>
    <row r="451" spans="1:32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0">
        <v>15416.8</v>
      </c>
      <c r="P451" s="1">
        <f t="shared" ref="P451:P501" si="65">L451*M451</f>
        <v>19271</v>
      </c>
      <c r="R451" s="19" t="str">
        <f t="shared" ref="R451:R501" si="66">IF(AND(L451&gt;5,O451&gt;10000),"YES","NO")</f>
        <v>YES</v>
      </c>
      <c r="S451" s="20" t="str">
        <f t="shared" ref="S451:S501" si="67">IF(AND(L451&gt;=8,N451&gt;=10),"YES","NO")</f>
        <v>NO</v>
      </c>
      <c r="U451" s="23" t="str">
        <f t="shared" ref="U451:U501" si="68">IF(OR(G451="Mobile App",G451="Website"),"YES","NO")</f>
        <v>NO</v>
      </c>
      <c r="W451" s="24" t="str">
        <f t="shared" si="64"/>
        <v>No</v>
      </c>
      <c r="Y451" s="26" t="str">
        <f t="shared" ref="Y451:Y501" si="69">IF(NOT(G451="Website"),"No","yes")</f>
        <v>No</v>
      </c>
      <c r="AA451" s="27" t="str">
        <f t="shared" ref="AA451:AA501" si="70">IF(G451&lt;&gt;"Website","No","Yes")</f>
        <v>No</v>
      </c>
      <c r="AD451" s="24" t="str">
        <f t="shared" ref="AD451:AD501" si="71">IF(AND(O451&gt;15000,OR(I451="Electronics",I451="Beauty")),"Premium","Regular")</f>
        <v>Regular</v>
      </c>
      <c r="AF451" s="28" t="str">
        <f t="shared" ref="AF451:AF501" si="72">IF(AND(L451&gt;=8,N451&lt;&gt;0),"Non Disc","Discounted")</f>
        <v>Discounted</v>
      </c>
    </row>
    <row r="452" spans="1:32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0">
        <v>9330.09</v>
      </c>
      <c r="P452" s="1">
        <f t="shared" si="65"/>
        <v>9330.09</v>
      </c>
      <c r="R452" s="19" t="str">
        <f t="shared" si="66"/>
        <v>NO</v>
      </c>
      <c r="S452" s="20" t="str">
        <f t="shared" si="67"/>
        <v>NO</v>
      </c>
      <c r="U452" s="23" t="str">
        <f t="shared" si="68"/>
        <v>YES</v>
      </c>
      <c r="W452" s="24" t="str">
        <f t="shared" si="64"/>
        <v>No</v>
      </c>
      <c r="Y452" s="26" t="str">
        <f t="shared" si="69"/>
        <v>yes</v>
      </c>
      <c r="AA452" s="27" t="str">
        <f t="shared" si="70"/>
        <v>Yes</v>
      </c>
      <c r="AD452" s="24" t="str">
        <f t="shared" si="71"/>
        <v>Regular</v>
      </c>
      <c r="AF452" s="28" t="str">
        <f t="shared" si="72"/>
        <v>Discounted</v>
      </c>
    </row>
    <row r="453" spans="1:32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0">
        <v>1495.86</v>
      </c>
      <c r="P453" s="1">
        <f t="shared" si="65"/>
        <v>1574.59</v>
      </c>
      <c r="R453" s="19" t="str">
        <f t="shared" si="66"/>
        <v>NO</v>
      </c>
      <c r="S453" s="20" t="str">
        <f t="shared" si="67"/>
        <v>NO</v>
      </c>
      <c r="U453" s="23" t="str">
        <f t="shared" si="68"/>
        <v>YES</v>
      </c>
      <c r="W453" s="24" t="str">
        <f t="shared" si="64"/>
        <v>No</v>
      </c>
      <c r="Y453" s="26" t="str">
        <f t="shared" si="69"/>
        <v>yes</v>
      </c>
      <c r="AA453" s="27" t="str">
        <f t="shared" si="70"/>
        <v>Yes</v>
      </c>
      <c r="AD453" s="24" t="str">
        <f t="shared" si="71"/>
        <v>Regular</v>
      </c>
      <c r="AF453" s="28" t="str">
        <f t="shared" si="72"/>
        <v>Discounted</v>
      </c>
    </row>
    <row r="454" spans="1:32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0">
        <v>11573.53</v>
      </c>
      <c r="P454" s="1">
        <f t="shared" si="65"/>
        <v>13615.920000000002</v>
      </c>
      <c r="R454" s="19" t="str">
        <f t="shared" si="66"/>
        <v>YES</v>
      </c>
      <c r="S454" s="20" t="str">
        <f t="shared" si="67"/>
        <v>NO</v>
      </c>
      <c r="U454" s="23" t="str">
        <f t="shared" si="68"/>
        <v>YES</v>
      </c>
      <c r="W454" s="24" t="str">
        <f t="shared" si="64"/>
        <v>No</v>
      </c>
      <c r="Y454" s="26" t="str">
        <f t="shared" si="69"/>
        <v>yes</v>
      </c>
      <c r="AA454" s="27" t="str">
        <f t="shared" si="70"/>
        <v>Yes</v>
      </c>
      <c r="AD454" s="24" t="str">
        <f t="shared" si="71"/>
        <v>Regular</v>
      </c>
      <c r="AF454" s="28" t="str">
        <f t="shared" si="72"/>
        <v>Discounted</v>
      </c>
    </row>
    <row r="455" spans="1:32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0">
        <v>22979.23</v>
      </c>
      <c r="P455" s="1">
        <f t="shared" si="65"/>
        <v>28724.04</v>
      </c>
      <c r="R455" s="19" t="str">
        <f t="shared" si="66"/>
        <v>YES</v>
      </c>
      <c r="S455" s="20" t="str">
        <f t="shared" si="67"/>
        <v>YES</v>
      </c>
      <c r="U455" s="23" t="str">
        <f t="shared" si="68"/>
        <v>YES</v>
      </c>
      <c r="W455" s="24" t="str">
        <f t="shared" si="64"/>
        <v>No</v>
      </c>
      <c r="Y455" s="26" t="str">
        <f t="shared" si="69"/>
        <v>No</v>
      </c>
      <c r="AA455" s="27" t="str">
        <f t="shared" si="70"/>
        <v>No</v>
      </c>
      <c r="AD455" s="24" t="str">
        <f t="shared" si="71"/>
        <v>Regular</v>
      </c>
      <c r="AF455" s="28" t="str">
        <f t="shared" si="72"/>
        <v>Non Disc</v>
      </c>
    </row>
    <row r="456" spans="1:32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0">
        <v>2748.46</v>
      </c>
      <c r="P456" s="1">
        <f t="shared" si="65"/>
        <v>2748.46</v>
      </c>
      <c r="R456" s="19" t="str">
        <f t="shared" si="66"/>
        <v>NO</v>
      </c>
      <c r="S456" s="20" t="str">
        <f t="shared" si="67"/>
        <v>NO</v>
      </c>
      <c r="U456" s="23" t="str">
        <f t="shared" si="68"/>
        <v>YES</v>
      </c>
      <c r="W456" s="24" t="str">
        <f t="shared" si="64"/>
        <v>No</v>
      </c>
      <c r="Y456" s="26" t="str">
        <f t="shared" si="69"/>
        <v>No</v>
      </c>
      <c r="AA456" s="27" t="str">
        <f t="shared" si="70"/>
        <v>No</v>
      </c>
      <c r="AD456" s="24" t="str">
        <f t="shared" si="71"/>
        <v>Regular</v>
      </c>
      <c r="AF456" s="28" t="str">
        <f t="shared" si="72"/>
        <v>Discounted</v>
      </c>
    </row>
    <row r="457" spans="1:32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0">
        <v>6431.29</v>
      </c>
      <c r="P457" s="1">
        <f t="shared" si="65"/>
        <v>7145.88</v>
      </c>
      <c r="R457" s="19" t="str">
        <f t="shared" si="66"/>
        <v>NO</v>
      </c>
      <c r="S457" s="20" t="str">
        <f t="shared" si="67"/>
        <v>NO</v>
      </c>
      <c r="U457" s="23" t="str">
        <f t="shared" si="68"/>
        <v>YES</v>
      </c>
      <c r="W457" s="24" t="str">
        <f t="shared" si="64"/>
        <v>No</v>
      </c>
      <c r="Y457" s="26" t="str">
        <f t="shared" si="69"/>
        <v>yes</v>
      </c>
      <c r="AA457" s="27" t="str">
        <f t="shared" si="70"/>
        <v>Yes</v>
      </c>
      <c r="AD457" s="24" t="str">
        <f t="shared" si="71"/>
        <v>Regular</v>
      </c>
      <c r="AF457" s="28" t="str">
        <f t="shared" si="72"/>
        <v>Discounted</v>
      </c>
    </row>
    <row r="458" spans="1:32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0">
        <v>7403.3</v>
      </c>
      <c r="P458" s="1">
        <f t="shared" si="65"/>
        <v>7403.3</v>
      </c>
      <c r="R458" s="19" t="str">
        <f t="shared" si="66"/>
        <v>NO</v>
      </c>
      <c r="S458" s="20" t="str">
        <f t="shared" si="67"/>
        <v>NO</v>
      </c>
      <c r="U458" s="23" t="str">
        <f t="shared" si="68"/>
        <v>YES</v>
      </c>
      <c r="W458" s="24" t="str">
        <f t="shared" si="64"/>
        <v>No</v>
      </c>
      <c r="Y458" s="26" t="str">
        <f t="shared" si="69"/>
        <v>yes</v>
      </c>
      <c r="AA458" s="27" t="str">
        <f t="shared" si="70"/>
        <v>Yes</v>
      </c>
      <c r="AD458" s="24" t="str">
        <f t="shared" si="71"/>
        <v>Regular</v>
      </c>
      <c r="AF458" s="28" t="str">
        <f t="shared" si="72"/>
        <v>Discounted</v>
      </c>
    </row>
    <row r="459" spans="1:32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0">
        <v>26654.75</v>
      </c>
      <c r="P459" s="1">
        <f t="shared" si="65"/>
        <v>29616.39</v>
      </c>
      <c r="R459" s="19" t="str">
        <f t="shared" si="66"/>
        <v>YES</v>
      </c>
      <c r="S459" s="20" t="str">
        <f t="shared" si="67"/>
        <v>YES</v>
      </c>
      <c r="U459" s="23" t="str">
        <f t="shared" si="68"/>
        <v>YES</v>
      </c>
      <c r="W459" s="24" t="str">
        <f t="shared" si="64"/>
        <v>No</v>
      </c>
      <c r="Y459" s="26" t="str">
        <f t="shared" si="69"/>
        <v>No</v>
      </c>
      <c r="AA459" s="27" t="str">
        <f t="shared" si="70"/>
        <v>No</v>
      </c>
      <c r="AD459" s="24" t="str">
        <f t="shared" si="71"/>
        <v>Regular</v>
      </c>
      <c r="AF459" s="28" t="str">
        <f t="shared" si="72"/>
        <v>Non Disc</v>
      </c>
    </row>
    <row r="460" spans="1:32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0">
        <v>6230.08</v>
      </c>
      <c r="P460" s="1">
        <f t="shared" si="65"/>
        <v>7787.6</v>
      </c>
      <c r="R460" s="19" t="str">
        <f t="shared" si="66"/>
        <v>NO</v>
      </c>
      <c r="S460" s="20" t="str">
        <f t="shared" si="67"/>
        <v>NO</v>
      </c>
      <c r="U460" s="23" t="str">
        <f t="shared" si="68"/>
        <v>NO</v>
      </c>
      <c r="W460" s="24" t="str">
        <f t="shared" si="64"/>
        <v>No</v>
      </c>
      <c r="Y460" s="26" t="str">
        <f t="shared" si="69"/>
        <v>No</v>
      </c>
      <c r="AA460" s="27" t="str">
        <f t="shared" si="70"/>
        <v>No</v>
      </c>
      <c r="AD460" s="24" t="str">
        <f t="shared" si="71"/>
        <v>Regular</v>
      </c>
      <c r="AF460" s="28" t="str">
        <f t="shared" si="72"/>
        <v>Discounted</v>
      </c>
    </row>
    <row r="461" spans="1:32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0">
        <v>400.84</v>
      </c>
      <c r="P461" s="1">
        <f t="shared" si="65"/>
        <v>445.38</v>
      </c>
      <c r="R461" s="19" t="str">
        <f t="shared" si="66"/>
        <v>NO</v>
      </c>
      <c r="S461" s="20" t="str">
        <f t="shared" si="67"/>
        <v>NO</v>
      </c>
      <c r="U461" s="23" t="str">
        <f t="shared" si="68"/>
        <v>YES</v>
      </c>
      <c r="W461" s="24" t="str">
        <f t="shared" si="64"/>
        <v>Special Attention</v>
      </c>
      <c r="Y461" s="26" t="str">
        <f t="shared" si="69"/>
        <v>yes</v>
      </c>
      <c r="AA461" s="27" t="str">
        <f t="shared" si="70"/>
        <v>Yes</v>
      </c>
      <c r="AD461" s="24" t="str">
        <f t="shared" si="71"/>
        <v>Regular</v>
      </c>
      <c r="AF461" s="28" t="str">
        <f t="shared" si="72"/>
        <v>Discounted</v>
      </c>
    </row>
    <row r="462" spans="1:32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0">
        <v>2683.62</v>
      </c>
      <c r="P462" s="1">
        <f t="shared" si="65"/>
        <v>3157.2</v>
      </c>
      <c r="R462" s="19" t="str">
        <f t="shared" si="66"/>
        <v>NO</v>
      </c>
      <c r="S462" s="20" t="str">
        <f t="shared" si="67"/>
        <v>NO</v>
      </c>
      <c r="U462" s="23" t="str">
        <f t="shared" si="68"/>
        <v>NO</v>
      </c>
      <c r="W462" s="24" t="str">
        <f t="shared" si="64"/>
        <v>No</v>
      </c>
      <c r="Y462" s="26" t="str">
        <f t="shared" si="69"/>
        <v>No</v>
      </c>
      <c r="AA462" s="27" t="str">
        <f t="shared" si="70"/>
        <v>No</v>
      </c>
      <c r="AD462" s="24" t="str">
        <f t="shared" si="71"/>
        <v>Regular</v>
      </c>
      <c r="AF462" s="28" t="str">
        <f t="shared" si="72"/>
        <v>Discounted</v>
      </c>
    </row>
    <row r="463" spans="1:32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0">
        <v>2080.35</v>
      </c>
      <c r="P463" s="1">
        <f t="shared" si="65"/>
        <v>2311.5</v>
      </c>
      <c r="R463" s="19" t="str">
        <f t="shared" si="66"/>
        <v>NO</v>
      </c>
      <c r="S463" s="20" t="str">
        <f t="shared" si="67"/>
        <v>NO</v>
      </c>
      <c r="U463" s="23" t="str">
        <f t="shared" si="68"/>
        <v>YES</v>
      </c>
      <c r="W463" s="24" t="str">
        <f t="shared" si="64"/>
        <v>No</v>
      </c>
      <c r="Y463" s="26" t="str">
        <f t="shared" si="69"/>
        <v>No</v>
      </c>
      <c r="AA463" s="27" t="str">
        <f t="shared" si="70"/>
        <v>No</v>
      </c>
      <c r="AD463" s="24" t="str">
        <f t="shared" si="71"/>
        <v>Regular</v>
      </c>
      <c r="AF463" s="28" t="str">
        <f t="shared" si="72"/>
        <v>Discounted</v>
      </c>
    </row>
    <row r="464" spans="1:32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0">
        <v>8807.36</v>
      </c>
      <c r="P464" s="1">
        <f t="shared" si="65"/>
        <v>10361.6</v>
      </c>
      <c r="R464" s="19" t="str">
        <f t="shared" si="66"/>
        <v>NO</v>
      </c>
      <c r="S464" s="20" t="str">
        <f t="shared" si="67"/>
        <v>NO</v>
      </c>
      <c r="U464" s="23" t="str">
        <f t="shared" si="68"/>
        <v>YES</v>
      </c>
      <c r="W464" s="24" t="str">
        <f t="shared" si="64"/>
        <v>No</v>
      </c>
      <c r="Y464" s="26" t="str">
        <f t="shared" si="69"/>
        <v>yes</v>
      </c>
      <c r="AA464" s="27" t="str">
        <f t="shared" si="70"/>
        <v>Yes</v>
      </c>
      <c r="AD464" s="24" t="str">
        <f t="shared" si="71"/>
        <v>Regular</v>
      </c>
      <c r="AF464" s="28" t="str">
        <f t="shared" si="72"/>
        <v>Discounted</v>
      </c>
    </row>
    <row r="465" spans="1:32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0">
        <v>447.52</v>
      </c>
      <c r="P465" s="1">
        <f t="shared" si="65"/>
        <v>559.4</v>
      </c>
      <c r="R465" s="19" t="str">
        <f t="shared" si="66"/>
        <v>NO</v>
      </c>
      <c r="S465" s="20" t="str">
        <f t="shared" si="67"/>
        <v>NO</v>
      </c>
      <c r="U465" s="23" t="str">
        <f t="shared" si="68"/>
        <v>NO</v>
      </c>
      <c r="W465" s="24" t="str">
        <f t="shared" si="64"/>
        <v>Special Attention</v>
      </c>
      <c r="Y465" s="26" t="str">
        <f t="shared" si="69"/>
        <v>No</v>
      </c>
      <c r="AA465" s="27" t="str">
        <f t="shared" si="70"/>
        <v>No</v>
      </c>
      <c r="AD465" s="24" t="str">
        <f t="shared" si="71"/>
        <v>Regular</v>
      </c>
      <c r="AF465" s="28" t="str">
        <f t="shared" si="72"/>
        <v>Discounted</v>
      </c>
    </row>
    <row r="466" spans="1:32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0">
        <v>1886.21</v>
      </c>
      <c r="P466" s="1">
        <f t="shared" si="65"/>
        <v>2357.7600000000002</v>
      </c>
      <c r="R466" s="19" t="str">
        <f t="shared" si="66"/>
        <v>NO</v>
      </c>
      <c r="S466" s="20" t="str">
        <f t="shared" si="67"/>
        <v>NO</v>
      </c>
      <c r="U466" s="23" t="str">
        <f t="shared" si="68"/>
        <v>NO</v>
      </c>
      <c r="W466" s="24" t="str">
        <f t="shared" si="64"/>
        <v>No</v>
      </c>
      <c r="Y466" s="26" t="str">
        <f t="shared" si="69"/>
        <v>No</v>
      </c>
      <c r="AA466" s="27" t="str">
        <f t="shared" si="70"/>
        <v>No</v>
      </c>
      <c r="AD466" s="24" t="str">
        <f t="shared" si="71"/>
        <v>Regular</v>
      </c>
      <c r="AF466" s="28" t="str">
        <f t="shared" si="72"/>
        <v>Discounted</v>
      </c>
    </row>
    <row r="467" spans="1:32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0">
        <v>22638.240000000002</v>
      </c>
      <c r="P467" s="1">
        <f t="shared" si="65"/>
        <v>22638.239999999998</v>
      </c>
      <c r="R467" s="19" t="str">
        <f t="shared" si="66"/>
        <v>YES</v>
      </c>
      <c r="S467" s="20" t="str">
        <f t="shared" si="67"/>
        <v>NO</v>
      </c>
      <c r="U467" s="23" t="str">
        <f t="shared" si="68"/>
        <v>NO</v>
      </c>
      <c r="W467" s="24" t="str">
        <f t="shared" si="64"/>
        <v>No</v>
      </c>
      <c r="Y467" s="26" t="str">
        <f t="shared" si="69"/>
        <v>No</v>
      </c>
      <c r="AA467" s="27" t="str">
        <f t="shared" si="70"/>
        <v>No</v>
      </c>
      <c r="AD467" s="24" t="str">
        <f t="shared" si="71"/>
        <v>Regular</v>
      </c>
      <c r="AF467" s="28" t="str">
        <f t="shared" si="72"/>
        <v>Discounted</v>
      </c>
    </row>
    <row r="468" spans="1:32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0">
        <v>11933.05</v>
      </c>
      <c r="P468" s="1">
        <f t="shared" si="65"/>
        <v>14038.88</v>
      </c>
      <c r="R468" s="19" t="str">
        <f t="shared" si="66"/>
        <v>NO</v>
      </c>
      <c r="S468" s="20" t="str">
        <f t="shared" si="67"/>
        <v>NO</v>
      </c>
      <c r="U468" s="23" t="str">
        <f t="shared" si="68"/>
        <v>YES</v>
      </c>
      <c r="W468" s="24" t="str">
        <f t="shared" si="64"/>
        <v>No</v>
      </c>
      <c r="Y468" s="26" t="str">
        <f t="shared" si="69"/>
        <v>No</v>
      </c>
      <c r="AA468" s="27" t="str">
        <f t="shared" si="70"/>
        <v>No</v>
      </c>
      <c r="AD468" s="24" t="str">
        <f t="shared" si="71"/>
        <v>Regular</v>
      </c>
      <c r="AF468" s="28" t="str">
        <f t="shared" si="72"/>
        <v>Discounted</v>
      </c>
    </row>
    <row r="469" spans="1:32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0">
        <v>14462.55</v>
      </c>
      <c r="P469" s="1">
        <f t="shared" si="65"/>
        <v>17014.77</v>
      </c>
      <c r="R469" s="19" t="str">
        <f t="shared" si="66"/>
        <v>YES</v>
      </c>
      <c r="S469" s="20" t="str">
        <f t="shared" si="67"/>
        <v>YES</v>
      </c>
      <c r="U469" s="23" t="str">
        <f t="shared" si="68"/>
        <v>YES</v>
      </c>
      <c r="W469" s="24" t="str">
        <f t="shared" si="64"/>
        <v>No</v>
      </c>
      <c r="Y469" s="26" t="str">
        <f t="shared" si="69"/>
        <v>No</v>
      </c>
      <c r="AA469" s="27" t="str">
        <f t="shared" si="70"/>
        <v>No</v>
      </c>
      <c r="AD469" s="24" t="str">
        <f t="shared" si="71"/>
        <v>Regular</v>
      </c>
      <c r="AF469" s="28" t="str">
        <f t="shared" si="72"/>
        <v>Non Disc</v>
      </c>
    </row>
    <row r="470" spans="1:32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0">
        <v>18740.41</v>
      </c>
      <c r="P470" s="1">
        <f t="shared" si="65"/>
        <v>19726.75</v>
      </c>
      <c r="R470" s="19" t="str">
        <f t="shared" si="66"/>
        <v>NO</v>
      </c>
      <c r="S470" s="20" t="str">
        <f t="shared" si="67"/>
        <v>NO</v>
      </c>
      <c r="U470" s="23" t="str">
        <f t="shared" si="68"/>
        <v>NO</v>
      </c>
      <c r="W470" s="24" t="str">
        <f t="shared" si="64"/>
        <v>No</v>
      </c>
      <c r="Y470" s="26" t="str">
        <f t="shared" si="69"/>
        <v>No</v>
      </c>
      <c r="AA470" s="27" t="str">
        <f t="shared" si="70"/>
        <v>No</v>
      </c>
      <c r="AD470" s="24" t="str">
        <f t="shared" si="71"/>
        <v>Regular</v>
      </c>
      <c r="AF470" s="28" t="str">
        <f t="shared" si="72"/>
        <v>Discounted</v>
      </c>
    </row>
    <row r="471" spans="1:32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0">
        <v>1145.47</v>
      </c>
      <c r="P471" s="1">
        <f t="shared" si="65"/>
        <v>1205.76</v>
      </c>
      <c r="R471" s="19" t="str">
        <f t="shared" si="66"/>
        <v>NO</v>
      </c>
      <c r="S471" s="20" t="str">
        <f t="shared" si="67"/>
        <v>NO</v>
      </c>
      <c r="U471" s="23" t="str">
        <f t="shared" si="68"/>
        <v>NO</v>
      </c>
      <c r="W471" s="24" t="str">
        <f t="shared" si="64"/>
        <v>No</v>
      </c>
      <c r="Y471" s="26" t="str">
        <f t="shared" si="69"/>
        <v>No</v>
      </c>
      <c r="AA471" s="27" t="str">
        <f t="shared" si="70"/>
        <v>No</v>
      </c>
      <c r="AD471" s="24" t="str">
        <f t="shared" si="71"/>
        <v>Regular</v>
      </c>
      <c r="AF471" s="28" t="str">
        <f t="shared" si="72"/>
        <v>Non Disc</v>
      </c>
    </row>
    <row r="472" spans="1:32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0">
        <v>21493.16</v>
      </c>
      <c r="P472" s="1">
        <f t="shared" si="65"/>
        <v>22624.38</v>
      </c>
      <c r="R472" s="19" t="str">
        <f t="shared" si="66"/>
        <v>YES</v>
      </c>
      <c r="S472" s="20" t="str">
        <f t="shared" si="67"/>
        <v>NO</v>
      </c>
      <c r="U472" s="23" t="str">
        <f t="shared" si="68"/>
        <v>YES</v>
      </c>
      <c r="W472" s="24" t="str">
        <f t="shared" si="64"/>
        <v>No</v>
      </c>
      <c r="Y472" s="26" t="str">
        <f t="shared" si="69"/>
        <v>No</v>
      </c>
      <c r="AA472" s="27" t="str">
        <f t="shared" si="70"/>
        <v>No</v>
      </c>
      <c r="AD472" s="24" t="str">
        <f t="shared" si="71"/>
        <v>Regular</v>
      </c>
      <c r="AF472" s="28" t="str">
        <f t="shared" si="72"/>
        <v>Non Disc</v>
      </c>
    </row>
    <row r="473" spans="1:32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0">
        <v>11354.63</v>
      </c>
      <c r="P473" s="1">
        <f t="shared" si="65"/>
        <v>12616.25</v>
      </c>
      <c r="R473" s="19" t="str">
        <f t="shared" si="66"/>
        <v>NO</v>
      </c>
      <c r="S473" s="20" t="str">
        <f t="shared" si="67"/>
        <v>NO</v>
      </c>
      <c r="U473" s="23" t="str">
        <f t="shared" si="68"/>
        <v>NO</v>
      </c>
      <c r="W473" s="24" t="str">
        <f t="shared" si="64"/>
        <v>No</v>
      </c>
      <c r="Y473" s="26" t="str">
        <f t="shared" si="69"/>
        <v>No</v>
      </c>
      <c r="AA473" s="27" t="str">
        <f t="shared" si="70"/>
        <v>No</v>
      </c>
      <c r="AD473" s="24" t="str">
        <f t="shared" si="71"/>
        <v>Regular</v>
      </c>
      <c r="AF473" s="28" t="str">
        <f t="shared" si="72"/>
        <v>Discounted</v>
      </c>
    </row>
    <row r="474" spans="1:32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0">
        <v>10893.61</v>
      </c>
      <c r="P474" s="1">
        <f t="shared" si="65"/>
        <v>11466.960000000001</v>
      </c>
      <c r="R474" s="19" t="str">
        <f t="shared" si="66"/>
        <v>YES</v>
      </c>
      <c r="S474" s="20" t="str">
        <f t="shared" si="67"/>
        <v>NO</v>
      </c>
      <c r="U474" s="23" t="str">
        <f t="shared" si="68"/>
        <v>NO</v>
      </c>
      <c r="W474" s="24" t="str">
        <f t="shared" si="64"/>
        <v>No</v>
      </c>
      <c r="Y474" s="26" t="str">
        <f t="shared" si="69"/>
        <v>No</v>
      </c>
      <c r="AA474" s="27" t="str">
        <f t="shared" si="70"/>
        <v>No</v>
      </c>
      <c r="AD474" s="24" t="str">
        <f t="shared" si="71"/>
        <v>Regular</v>
      </c>
      <c r="AF474" s="28" t="str">
        <f t="shared" si="72"/>
        <v>Discounted</v>
      </c>
    </row>
    <row r="475" spans="1:32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0">
        <v>1426.51</v>
      </c>
      <c r="P475" s="1">
        <f t="shared" si="65"/>
        <v>1678.25</v>
      </c>
      <c r="R475" s="19" t="str">
        <f t="shared" si="66"/>
        <v>NO</v>
      </c>
      <c r="S475" s="20" t="str">
        <f t="shared" si="67"/>
        <v>NO</v>
      </c>
      <c r="U475" s="23" t="str">
        <f t="shared" si="68"/>
        <v>YES</v>
      </c>
      <c r="W475" s="24" t="str">
        <f t="shared" si="64"/>
        <v>No</v>
      </c>
      <c r="Y475" s="26" t="str">
        <f t="shared" si="69"/>
        <v>No</v>
      </c>
      <c r="AA475" s="27" t="str">
        <f t="shared" si="70"/>
        <v>No</v>
      </c>
      <c r="AD475" s="24" t="str">
        <f t="shared" si="71"/>
        <v>Regular</v>
      </c>
      <c r="AF475" s="28" t="str">
        <f t="shared" si="72"/>
        <v>Discounted</v>
      </c>
    </row>
    <row r="476" spans="1:32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0">
        <v>11990.35</v>
      </c>
      <c r="P476" s="1">
        <f t="shared" si="65"/>
        <v>13322.61</v>
      </c>
      <c r="R476" s="19" t="str">
        <f t="shared" si="66"/>
        <v>YES</v>
      </c>
      <c r="S476" s="20" t="str">
        <f t="shared" si="67"/>
        <v>NO</v>
      </c>
      <c r="U476" s="23" t="str">
        <f t="shared" si="68"/>
        <v>NO</v>
      </c>
      <c r="W476" s="24" t="str">
        <f t="shared" si="64"/>
        <v>No</v>
      </c>
      <c r="Y476" s="26" t="str">
        <f t="shared" si="69"/>
        <v>No</v>
      </c>
      <c r="AA476" s="27" t="str">
        <f t="shared" si="70"/>
        <v>No</v>
      </c>
      <c r="AD476" s="24" t="str">
        <f t="shared" si="71"/>
        <v>Regular</v>
      </c>
      <c r="AF476" s="28" t="str">
        <f t="shared" si="72"/>
        <v>Discounted</v>
      </c>
    </row>
    <row r="477" spans="1:32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0">
        <v>5592.32</v>
      </c>
      <c r="P477" s="1">
        <f t="shared" si="65"/>
        <v>6990.4</v>
      </c>
      <c r="R477" s="19" t="str">
        <f t="shared" si="66"/>
        <v>NO</v>
      </c>
      <c r="S477" s="20" t="str">
        <f t="shared" si="67"/>
        <v>NO</v>
      </c>
      <c r="U477" s="23" t="str">
        <f t="shared" si="68"/>
        <v>NO</v>
      </c>
      <c r="W477" s="24" t="str">
        <f t="shared" si="64"/>
        <v>No</v>
      </c>
      <c r="Y477" s="26" t="str">
        <f t="shared" si="69"/>
        <v>No</v>
      </c>
      <c r="AA477" s="27" t="str">
        <f t="shared" si="70"/>
        <v>No</v>
      </c>
      <c r="AD477" s="24" t="str">
        <f t="shared" si="71"/>
        <v>Regular</v>
      </c>
      <c r="AF477" s="28" t="str">
        <f t="shared" si="72"/>
        <v>Discounted</v>
      </c>
    </row>
    <row r="478" spans="1:32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0">
        <v>5924.8</v>
      </c>
      <c r="P478" s="1">
        <f t="shared" si="65"/>
        <v>5924.8</v>
      </c>
      <c r="R478" s="19" t="str">
        <f t="shared" si="66"/>
        <v>NO</v>
      </c>
      <c r="S478" s="20" t="str">
        <f t="shared" si="67"/>
        <v>NO</v>
      </c>
      <c r="U478" s="23" t="str">
        <f t="shared" si="68"/>
        <v>NO</v>
      </c>
      <c r="W478" s="24" t="str">
        <f t="shared" si="64"/>
        <v>No</v>
      </c>
      <c r="Y478" s="26" t="str">
        <f t="shared" si="69"/>
        <v>No</v>
      </c>
      <c r="AA478" s="27" t="str">
        <f t="shared" si="70"/>
        <v>No</v>
      </c>
      <c r="AD478" s="24" t="str">
        <f t="shared" si="71"/>
        <v>Regular</v>
      </c>
      <c r="AF478" s="28" t="str">
        <f t="shared" si="72"/>
        <v>Discounted</v>
      </c>
    </row>
    <row r="479" spans="1:32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0">
        <v>3187.82</v>
      </c>
      <c r="P479" s="1">
        <f t="shared" si="65"/>
        <v>3355.6</v>
      </c>
      <c r="R479" s="19" t="str">
        <f t="shared" si="66"/>
        <v>NO</v>
      </c>
      <c r="S479" s="20" t="str">
        <f t="shared" si="67"/>
        <v>NO</v>
      </c>
      <c r="U479" s="23" t="str">
        <f t="shared" si="68"/>
        <v>YES</v>
      </c>
      <c r="W479" s="24" t="str">
        <f t="shared" si="64"/>
        <v>No</v>
      </c>
      <c r="Y479" s="26" t="str">
        <f t="shared" si="69"/>
        <v>No</v>
      </c>
      <c r="AA479" s="27" t="str">
        <f t="shared" si="70"/>
        <v>No</v>
      </c>
      <c r="AD479" s="24" t="str">
        <f t="shared" si="71"/>
        <v>Regular</v>
      </c>
      <c r="AF479" s="28" t="str">
        <f t="shared" si="72"/>
        <v>Discounted</v>
      </c>
    </row>
    <row r="480" spans="1:32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0">
        <v>2186.1799999999998</v>
      </c>
      <c r="P480" s="1">
        <f t="shared" si="65"/>
        <v>2732.73</v>
      </c>
      <c r="R480" s="19" t="str">
        <f t="shared" si="66"/>
        <v>NO</v>
      </c>
      <c r="S480" s="20" t="str">
        <f t="shared" si="67"/>
        <v>NO</v>
      </c>
      <c r="U480" s="23" t="str">
        <f t="shared" si="68"/>
        <v>NO</v>
      </c>
      <c r="W480" s="24" t="str">
        <f t="shared" si="64"/>
        <v>No</v>
      </c>
      <c r="Y480" s="26" t="str">
        <f t="shared" si="69"/>
        <v>No</v>
      </c>
      <c r="AA480" s="27" t="str">
        <f t="shared" si="70"/>
        <v>No</v>
      </c>
      <c r="AD480" s="24" t="str">
        <f t="shared" si="71"/>
        <v>Regular</v>
      </c>
      <c r="AF480" s="28" t="str">
        <f t="shared" si="72"/>
        <v>Discounted</v>
      </c>
    </row>
    <row r="481" spans="1:32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0">
        <v>4309.5</v>
      </c>
      <c r="P481" s="1">
        <f t="shared" si="65"/>
        <v>5070</v>
      </c>
      <c r="R481" s="19" t="str">
        <f t="shared" si="66"/>
        <v>NO</v>
      </c>
      <c r="S481" s="20" t="str">
        <f t="shared" si="67"/>
        <v>NO</v>
      </c>
      <c r="U481" s="23" t="str">
        <f t="shared" si="68"/>
        <v>YES</v>
      </c>
      <c r="W481" s="24" t="str">
        <f t="shared" si="64"/>
        <v>No</v>
      </c>
      <c r="Y481" s="26" t="str">
        <f t="shared" si="69"/>
        <v>No</v>
      </c>
      <c r="AA481" s="27" t="str">
        <f t="shared" si="70"/>
        <v>No</v>
      </c>
      <c r="AD481" s="24" t="str">
        <f t="shared" si="71"/>
        <v>Regular</v>
      </c>
      <c r="AF481" s="28" t="str">
        <f t="shared" si="72"/>
        <v>Discounted</v>
      </c>
    </row>
    <row r="482" spans="1:32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0">
        <v>9284.08</v>
      </c>
      <c r="P482" s="1">
        <f t="shared" si="65"/>
        <v>9284.08</v>
      </c>
      <c r="R482" s="19" t="str">
        <f t="shared" si="66"/>
        <v>NO</v>
      </c>
      <c r="S482" s="20" t="str">
        <f t="shared" si="67"/>
        <v>NO</v>
      </c>
      <c r="U482" s="23" t="str">
        <f t="shared" si="68"/>
        <v>YES</v>
      </c>
      <c r="W482" s="24" t="str">
        <f t="shared" si="64"/>
        <v>No</v>
      </c>
      <c r="Y482" s="26" t="str">
        <f t="shared" si="69"/>
        <v>No</v>
      </c>
      <c r="AA482" s="27" t="str">
        <f t="shared" si="70"/>
        <v>No</v>
      </c>
      <c r="AD482" s="24" t="str">
        <f t="shared" si="71"/>
        <v>Regular</v>
      </c>
      <c r="AF482" s="28" t="str">
        <f t="shared" si="72"/>
        <v>Discounted</v>
      </c>
    </row>
    <row r="483" spans="1:32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0">
        <v>12164.54</v>
      </c>
      <c r="P483" s="1">
        <f t="shared" si="65"/>
        <v>15205.679999999998</v>
      </c>
      <c r="R483" s="19" t="str">
        <f t="shared" si="66"/>
        <v>YES</v>
      </c>
      <c r="S483" s="20" t="str">
        <f t="shared" si="67"/>
        <v>NO</v>
      </c>
      <c r="U483" s="23" t="str">
        <f t="shared" si="68"/>
        <v>YES</v>
      </c>
      <c r="W483" s="24" t="str">
        <f t="shared" si="64"/>
        <v>No</v>
      </c>
      <c r="Y483" s="26" t="str">
        <f t="shared" si="69"/>
        <v>yes</v>
      </c>
      <c r="AA483" s="27" t="str">
        <f t="shared" si="70"/>
        <v>Yes</v>
      </c>
      <c r="AD483" s="24" t="str">
        <f t="shared" si="71"/>
        <v>Regular</v>
      </c>
      <c r="AF483" s="28" t="str">
        <f t="shared" si="72"/>
        <v>Discounted</v>
      </c>
    </row>
    <row r="484" spans="1:32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0">
        <v>1734.45</v>
      </c>
      <c r="P484" s="1">
        <f t="shared" si="65"/>
        <v>1734.4499999999998</v>
      </c>
      <c r="R484" s="19" t="str">
        <f t="shared" si="66"/>
        <v>NO</v>
      </c>
      <c r="S484" s="20" t="str">
        <f t="shared" si="67"/>
        <v>NO</v>
      </c>
      <c r="U484" s="23" t="str">
        <f t="shared" si="68"/>
        <v>YES</v>
      </c>
      <c r="W484" s="24" t="str">
        <f t="shared" si="64"/>
        <v>No</v>
      </c>
      <c r="Y484" s="26" t="str">
        <f t="shared" si="69"/>
        <v>yes</v>
      </c>
      <c r="AA484" s="27" t="str">
        <f t="shared" si="70"/>
        <v>Yes</v>
      </c>
      <c r="AD484" s="24" t="str">
        <f t="shared" si="71"/>
        <v>Regular</v>
      </c>
      <c r="AF484" s="28" t="str">
        <f t="shared" si="72"/>
        <v>Discounted</v>
      </c>
    </row>
    <row r="485" spans="1:32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0">
        <v>26542.62</v>
      </c>
      <c r="P485" s="1">
        <f t="shared" si="65"/>
        <v>27939.599999999999</v>
      </c>
      <c r="R485" s="19" t="str">
        <f t="shared" si="66"/>
        <v>YES</v>
      </c>
      <c r="S485" s="20" t="str">
        <f t="shared" si="67"/>
        <v>NO</v>
      </c>
      <c r="U485" s="23" t="str">
        <f t="shared" si="68"/>
        <v>NO</v>
      </c>
      <c r="W485" s="24" t="str">
        <f t="shared" si="64"/>
        <v>No</v>
      </c>
      <c r="Y485" s="26" t="str">
        <f t="shared" si="69"/>
        <v>No</v>
      </c>
      <c r="AA485" s="27" t="str">
        <f t="shared" si="70"/>
        <v>No</v>
      </c>
      <c r="AD485" s="24" t="str">
        <f t="shared" si="71"/>
        <v>Regular</v>
      </c>
      <c r="AF485" s="28" t="str">
        <f t="shared" si="72"/>
        <v>Non Disc</v>
      </c>
    </row>
    <row r="486" spans="1:32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0">
        <v>2201.23</v>
      </c>
      <c r="P486" s="1">
        <f t="shared" si="65"/>
        <v>2589.6799999999998</v>
      </c>
      <c r="R486" s="19" t="str">
        <f t="shared" si="66"/>
        <v>NO</v>
      </c>
      <c r="S486" s="20" t="str">
        <f t="shared" si="67"/>
        <v>NO</v>
      </c>
      <c r="U486" s="23" t="str">
        <f t="shared" si="68"/>
        <v>YES</v>
      </c>
      <c r="W486" s="24" t="str">
        <f t="shared" si="64"/>
        <v>No</v>
      </c>
      <c r="Y486" s="26" t="str">
        <f t="shared" si="69"/>
        <v>No</v>
      </c>
      <c r="AA486" s="27" t="str">
        <f t="shared" si="70"/>
        <v>No</v>
      </c>
      <c r="AD486" s="24" t="str">
        <f t="shared" si="71"/>
        <v>Regular</v>
      </c>
      <c r="AF486" s="28" t="str">
        <f t="shared" si="72"/>
        <v>Discounted</v>
      </c>
    </row>
    <row r="487" spans="1:32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0">
        <v>6981.93</v>
      </c>
      <c r="P487" s="1">
        <f t="shared" si="65"/>
        <v>6981.93</v>
      </c>
      <c r="R487" s="19" t="str">
        <f t="shared" si="66"/>
        <v>NO</v>
      </c>
      <c r="S487" s="20" t="str">
        <f t="shared" si="67"/>
        <v>NO</v>
      </c>
      <c r="U487" s="23" t="str">
        <f t="shared" si="68"/>
        <v>YES</v>
      </c>
      <c r="W487" s="24" t="str">
        <f t="shared" si="64"/>
        <v>No</v>
      </c>
      <c r="Y487" s="26" t="str">
        <f t="shared" si="69"/>
        <v>yes</v>
      </c>
      <c r="AA487" s="27" t="str">
        <f t="shared" si="70"/>
        <v>Yes</v>
      </c>
      <c r="AD487" s="24" t="str">
        <f t="shared" si="71"/>
        <v>Regular</v>
      </c>
      <c r="AF487" s="28" t="str">
        <f t="shared" si="72"/>
        <v>Discounted</v>
      </c>
    </row>
    <row r="488" spans="1:32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0">
        <v>8803.65</v>
      </c>
      <c r="P488" s="1">
        <f t="shared" si="65"/>
        <v>11004.56</v>
      </c>
      <c r="R488" s="19" t="str">
        <f t="shared" si="66"/>
        <v>NO</v>
      </c>
      <c r="S488" s="20" t="str">
        <f t="shared" si="67"/>
        <v>NO</v>
      </c>
      <c r="U488" s="23" t="str">
        <f t="shared" si="68"/>
        <v>NO</v>
      </c>
      <c r="W488" s="24" t="str">
        <f t="shared" si="64"/>
        <v>No</v>
      </c>
      <c r="Y488" s="26" t="str">
        <f t="shared" si="69"/>
        <v>No</v>
      </c>
      <c r="AA488" s="27" t="str">
        <f t="shared" si="70"/>
        <v>No</v>
      </c>
      <c r="AD488" s="24" t="str">
        <f t="shared" si="71"/>
        <v>Regular</v>
      </c>
      <c r="AF488" s="28" t="str">
        <f t="shared" si="72"/>
        <v>Discounted</v>
      </c>
    </row>
    <row r="489" spans="1:32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0">
        <v>281.8</v>
      </c>
      <c r="P489" s="1">
        <f t="shared" si="65"/>
        <v>296.63</v>
      </c>
      <c r="R489" s="19" t="str">
        <f t="shared" si="66"/>
        <v>NO</v>
      </c>
      <c r="S489" s="20" t="str">
        <f t="shared" si="67"/>
        <v>NO</v>
      </c>
      <c r="U489" s="23" t="str">
        <f t="shared" si="68"/>
        <v>YES</v>
      </c>
      <c r="W489" s="24" t="str">
        <f t="shared" si="64"/>
        <v>Special Attention</v>
      </c>
      <c r="Y489" s="26" t="str">
        <f t="shared" si="69"/>
        <v>yes</v>
      </c>
      <c r="AA489" s="27" t="str">
        <f t="shared" si="70"/>
        <v>Yes</v>
      </c>
      <c r="AD489" s="24" t="str">
        <f t="shared" si="71"/>
        <v>Regular</v>
      </c>
      <c r="AF489" s="28" t="str">
        <f t="shared" si="72"/>
        <v>Discounted</v>
      </c>
    </row>
    <row r="490" spans="1:32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0">
        <v>19280.29</v>
      </c>
      <c r="P490" s="1">
        <f t="shared" si="65"/>
        <v>20295.04</v>
      </c>
      <c r="R490" s="19" t="str">
        <f t="shared" si="66"/>
        <v>YES</v>
      </c>
      <c r="S490" s="20" t="str">
        <f t="shared" si="67"/>
        <v>NO</v>
      </c>
      <c r="U490" s="23" t="str">
        <f t="shared" si="68"/>
        <v>YES</v>
      </c>
      <c r="W490" s="24" t="str">
        <f t="shared" si="64"/>
        <v>No</v>
      </c>
      <c r="Y490" s="26" t="str">
        <f t="shared" si="69"/>
        <v>yes</v>
      </c>
      <c r="AA490" s="27" t="str">
        <f t="shared" si="70"/>
        <v>Yes</v>
      </c>
      <c r="AD490" s="24" t="str">
        <f t="shared" si="71"/>
        <v>Regular</v>
      </c>
      <c r="AF490" s="28" t="str">
        <f t="shared" si="72"/>
        <v>Non Disc</v>
      </c>
    </row>
    <row r="491" spans="1:32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0">
        <v>15893.14</v>
      </c>
      <c r="P491" s="1">
        <f t="shared" si="65"/>
        <v>19866.419999999998</v>
      </c>
      <c r="R491" s="19" t="str">
        <f t="shared" si="66"/>
        <v>YES</v>
      </c>
      <c r="S491" s="20" t="str">
        <f t="shared" si="67"/>
        <v>NO</v>
      </c>
      <c r="U491" s="23" t="str">
        <f t="shared" si="68"/>
        <v>YES</v>
      </c>
      <c r="W491" s="24" t="str">
        <f t="shared" si="64"/>
        <v>No</v>
      </c>
      <c r="Y491" s="26" t="str">
        <f t="shared" si="69"/>
        <v>No</v>
      </c>
      <c r="AA491" s="27" t="str">
        <f t="shared" si="70"/>
        <v>No</v>
      </c>
      <c r="AD491" s="24" t="str">
        <f t="shared" si="71"/>
        <v>Regular</v>
      </c>
      <c r="AF491" s="28" t="str">
        <f t="shared" si="72"/>
        <v>Discounted</v>
      </c>
    </row>
    <row r="492" spans="1:32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0">
        <v>3909.72</v>
      </c>
      <c r="P492" s="1">
        <f t="shared" si="65"/>
        <v>4887.1499999999996</v>
      </c>
      <c r="R492" s="19" t="str">
        <f t="shared" si="66"/>
        <v>NO</v>
      </c>
      <c r="S492" s="20" t="str">
        <f t="shared" si="67"/>
        <v>NO</v>
      </c>
      <c r="U492" s="23" t="str">
        <f t="shared" si="68"/>
        <v>YES</v>
      </c>
      <c r="W492" s="24" t="str">
        <f t="shared" si="64"/>
        <v>No</v>
      </c>
      <c r="Y492" s="26" t="str">
        <f t="shared" si="69"/>
        <v>No</v>
      </c>
      <c r="AA492" s="27" t="str">
        <f t="shared" si="70"/>
        <v>No</v>
      </c>
      <c r="AD492" s="24" t="str">
        <f t="shared" si="71"/>
        <v>Regular</v>
      </c>
      <c r="AF492" s="28" t="str">
        <f t="shared" si="72"/>
        <v>Discounted</v>
      </c>
    </row>
    <row r="493" spans="1:32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0">
        <v>1557.8</v>
      </c>
      <c r="P493" s="1">
        <f t="shared" si="65"/>
        <v>1557.8</v>
      </c>
      <c r="R493" s="19" t="str">
        <f t="shared" si="66"/>
        <v>NO</v>
      </c>
      <c r="S493" s="20" t="str">
        <f t="shared" si="67"/>
        <v>NO</v>
      </c>
      <c r="U493" s="23" t="str">
        <f t="shared" si="68"/>
        <v>YES</v>
      </c>
      <c r="W493" s="24" t="str">
        <f t="shared" si="64"/>
        <v>No</v>
      </c>
      <c r="Y493" s="26" t="str">
        <f t="shared" si="69"/>
        <v>yes</v>
      </c>
      <c r="AA493" s="27" t="str">
        <f t="shared" si="70"/>
        <v>Yes</v>
      </c>
      <c r="AD493" s="24" t="str">
        <f t="shared" si="71"/>
        <v>Regular</v>
      </c>
      <c r="AF493" s="28" t="str">
        <f t="shared" si="72"/>
        <v>Discounted</v>
      </c>
    </row>
    <row r="494" spans="1:32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0">
        <v>9765.19</v>
      </c>
      <c r="P494" s="1">
        <f t="shared" si="65"/>
        <v>10850.21</v>
      </c>
      <c r="R494" s="19" t="str">
        <f t="shared" si="66"/>
        <v>NO</v>
      </c>
      <c r="S494" s="20" t="str">
        <f t="shared" si="67"/>
        <v>NO</v>
      </c>
      <c r="U494" s="23" t="str">
        <f t="shared" si="68"/>
        <v>YES</v>
      </c>
      <c r="W494" s="24" t="str">
        <f t="shared" si="64"/>
        <v>No</v>
      </c>
      <c r="Y494" s="26" t="str">
        <f t="shared" si="69"/>
        <v>yes</v>
      </c>
      <c r="AA494" s="27" t="str">
        <f t="shared" si="70"/>
        <v>Yes</v>
      </c>
      <c r="AD494" s="24" t="str">
        <f t="shared" si="71"/>
        <v>Regular</v>
      </c>
      <c r="AF494" s="28" t="str">
        <f t="shared" si="72"/>
        <v>Discounted</v>
      </c>
    </row>
    <row r="495" spans="1:32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0">
        <v>2515.5500000000002</v>
      </c>
      <c r="P495" s="1">
        <f t="shared" si="65"/>
        <v>2647.9500000000003</v>
      </c>
      <c r="R495" s="19" t="str">
        <f t="shared" si="66"/>
        <v>NO</v>
      </c>
      <c r="S495" s="20" t="str">
        <f t="shared" si="67"/>
        <v>NO</v>
      </c>
      <c r="U495" s="23" t="str">
        <f t="shared" si="68"/>
        <v>YES</v>
      </c>
      <c r="W495" s="24" t="str">
        <f t="shared" si="64"/>
        <v>No</v>
      </c>
      <c r="Y495" s="26" t="str">
        <f t="shared" si="69"/>
        <v>No</v>
      </c>
      <c r="AA495" s="27" t="str">
        <f t="shared" si="70"/>
        <v>No</v>
      </c>
      <c r="AD495" s="24" t="str">
        <f t="shared" si="71"/>
        <v>Regular</v>
      </c>
      <c r="AF495" s="28" t="str">
        <f t="shared" si="72"/>
        <v>Discounted</v>
      </c>
    </row>
    <row r="496" spans="1:32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0">
        <v>4787.5200000000004</v>
      </c>
      <c r="P496" s="1">
        <f t="shared" si="65"/>
        <v>4787.5200000000004</v>
      </c>
      <c r="R496" s="19" t="str">
        <f t="shared" si="66"/>
        <v>NO</v>
      </c>
      <c r="S496" s="20" t="str">
        <f t="shared" si="67"/>
        <v>NO</v>
      </c>
      <c r="U496" s="23" t="str">
        <f t="shared" si="68"/>
        <v>NO</v>
      </c>
      <c r="W496" s="24" t="str">
        <f t="shared" si="64"/>
        <v>No</v>
      </c>
      <c r="Y496" s="26" t="str">
        <f t="shared" si="69"/>
        <v>No</v>
      </c>
      <c r="AA496" s="27" t="str">
        <f t="shared" si="70"/>
        <v>No</v>
      </c>
      <c r="AD496" s="24" t="str">
        <f t="shared" si="71"/>
        <v>Regular</v>
      </c>
      <c r="AF496" s="28" t="str">
        <f t="shared" si="72"/>
        <v>Discounted</v>
      </c>
    </row>
    <row r="497" spans="1:32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0">
        <v>5418.77</v>
      </c>
      <c r="P497" s="1">
        <f t="shared" si="65"/>
        <v>6773.4600000000009</v>
      </c>
      <c r="R497" s="19" t="str">
        <f t="shared" si="66"/>
        <v>NO</v>
      </c>
      <c r="S497" s="20" t="str">
        <f t="shared" si="67"/>
        <v>NO</v>
      </c>
      <c r="U497" s="23" t="str">
        <f t="shared" si="68"/>
        <v>YES</v>
      </c>
      <c r="W497" s="24" t="str">
        <f t="shared" si="64"/>
        <v>No</v>
      </c>
      <c r="Y497" s="26" t="str">
        <f t="shared" si="69"/>
        <v>No</v>
      </c>
      <c r="AA497" s="27" t="str">
        <f t="shared" si="70"/>
        <v>No</v>
      </c>
      <c r="AD497" s="24" t="str">
        <f t="shared" si="71"/>
        <v>Regular</v>
      </c>
      <c r="AF497" s="28" t="str">
        <f t="shared" si="72"/>
        <v>Discounted</v>
      </c>
    </row>
    <row r="498" spans="1:32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0">
        <v>6437.75</v>
      </c>
      <c r="P498" s="1">
        <f t="shared" si="65"/>
        <v>6437.75</v>
      </c>
      <c r="R498" s="19" t="str">
        <f t="shared" si="66"/>
        <v>NO</v>
      </c>
      <c r="S498" s="20" t="str">
        <f t="shared" si="67"/>
        <v>NO</v>
      </c>
      <c r="U498" s="23" t="str">
        <f t="shared" si="68"/>
        <v>YES</v>
      </c>
      <c r="W498" s="24" t="str">
        <f t="shared" si="64"/>
        <v>No</v>
      </c>
      <c r="Y498" s="26" t="str">
        <f t="shared" si="69"/>
        <v>yes</v>
      </c>
      <c r="AA498" s="27" t="str">
        <f t="shared" si="70"/>
        <v>Yes</v>
      </c>
      <c r="AD498" s="24" t="str">
        <f t="shared" si="71"/>
        <v>Regular</v>
      </c>
      <c r="AF498" s="28" t="str">
        <f t="shared" si="72"/>
        <v>Discounted</v>
      </c>
    </row>
    <row r="499" spans="1:32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0">
        <v>15770.81</v>
      </c>
      <c r="P499" s="1">
        <f t="shared" si="65"/>
        <v>19713.509999999998</v>
      </c>
      <c r="R499" s="19" t="str">
        <f t="shared" si="66"/>
        <v>YES</v>
      </c>
      <c r="S499" s="20" t="str">
        <f t="shared" si="67"/>
        <v>YES</v>
      </c>
      <c r="U499" s="23" t="str">
        <f t="shared" si="68"/>
        <v>NO</v>
      </c>
      <c r="W499" s="24" t="str">
        <f t="shared" si="64"/>
        <v>No</v>
      </c>
      <c r="Y499" s="26" t="str">
        <f t="shared" si="69"/>
        <v>No</v>
      </c>
      <c r="AA499" s="27" t="str">
        <f t="shared" si="70"/>
        <v>No</v>
      </c>
      <c r="AD499" s="24" t="str">
        <f t="shared" si="71"/>
        <v>Regular</v>
      </c>
      <c r="AF499" s="28" t="str">
        <f t="shared" si="72"/>
        <v>Non Disc</v>
      </c>
    </row>
    <row r="500" spans="1:32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0">
        <v>4695.08</v>
      </c>
      <c r="P500" s="1">
        <f t="shared" si="65"/>
        <v>5523.62</v>
      </c>
      <c r="R500" s="19" t="str">
        <f t="shared" si="66"/>
        <v>NO</v>
      </c>
      <c r="S500" s="20" t="str">
        <f t="shared" si="67"/>
        <v>NO</v>
      </c>
      <c r="U500" s="23" t="str">
        <f t="shared" si="68"/>
        <v>YES</v>
      </c>
      <c r="W500" s="24" t="str">
        <f t="shared" si="64"/>
        <v>No</v>
      </c>
      <c r="Y500" s="26" t="str">
        <f t="shared" si="69"/>
        <v>yes</v>
      </c>
      <c r="AA500" s="27" t="str">
        <f t="shared" si="70"/>
        <v>Yes</v>
      </c>
      <c r="AD500" s="24" t="str">
        <f t="shared" si="71"/>
        <v>Regular</v>
      </c>
      <c r="AF500" s="28" t="str">
        <f t="shared" si="72"/>
        <v>Discounted</v>
      </c>
    </row>
    <row r="501" spans="1:32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0">
        <v>1945.74</v>
      </c>
      <c r="P501" s="1">
        <f t="shared" si="65"/>
        <v>2432.17</v>
      </c>
      <c r="R501" s="19" t="str">
        <f t="shared" si="66"/>
        <v>NO</v>
      </c>
      <c r="S501" s="20" t="str">
        <f t="shared" si="67"/>
        <v>NO</v>
      </c>
      <c r="U501" s="23" t="str">
        <f t="shared" si="68"/>
        <v>NO</v>
      </c>
      <c r="W501" s="24" t="str">
        <f t="shared" si="64"/>
        <v>No</v>
      </c>
      <c r="Y501" s="26" t="str">
        <f t="shared" si="69"/>
        <v>No</v>
      </c>
      <c r="AA501" s="27" t="str">
        <f t="shared" si="70"/>
        <v>No</v>
      </c>
      <c r="AD501" s="24" t="str">
        <f t="shared" si="71"/>
        <v>Regular</v>
      </c>
      <c r="AF501" s="28" t="str">
        <f t="shared" si="72"/>
        <v>Discounted</v>
      </c>
    </row>
  </sheetData>
  <mergeCells count="7">
    <mergeCell ref="AB6:AC9"/>
    <mergeCell ref="AE6:AE9"/>
    <mergeCell ref="Q6:Q9"/>
    <mergeCell ref="T6:T9"/>
    <mergeCell ref="V6:V9"/>
    <mergeCell ref="X6:X9"/>
    <mergeCell ref="Z6:Z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A335-3247-4044-81AF-9CC71CB0EB34}">
  <dimension ref="A1:AI501"/>
  <sheetViews>
    <sheetView topLeftCell="Q34" workbookViewId="0">
      <selection activeCell="Q9" sqref="Q9"/>
    </sheetView>
  </sheetViews>
  <sheetFormatPr defaultRowHeight="14.4" x14ac:dyDescent="0.3"/>
  <cols>
    <col min="21" max="21" width="8" bestFit="1" customWidth="1"/>
    <col min="22" max="22" width="11.33203125" bestFit="1" customWidth="1"/>
    <col min="23" max="24" width="10.33203125" bestFit="1" customWidth="1"/>
    <col min="25" max="25" width="9.109375" bestFit="1" customWidth="1"/>
    <col min="26" max="26" width="11.44140625" bestFit="1" customWidth="1"/>
    <col min="27" max="27" width="12.5546875" bestFit="1" customWidth="1"/>
    <col min="28" max="28" width="15.88671875" bestFit="1" customWidth="1"/>
    <col min="29" max="29" width="15.77734375" bestFit="1" customWidth="1"/>
    <col min="30" max="30" width="13.21875" bestFit="1" customWidth="1"/>
    <col min="31" max="31" width="7" bestFit="1" customWidth="1"/>
    <col min="32" max="32" width="9.44140625" bestFit="1" customWidth="1"/>
    <col min="33" max="33" width="9.109375" bestFit="1" customWidth="1"/>
    <col min="34" max="34" width="10.21875" bestFit="1" customWidth="1"/>
    <col min="35" max="35" width="9" bestFit="1" customWidth="1"/>
  </cols>
  <sheetData>
    <row r="1" spans="1:3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R1" s="3" t="s">
        <v>4</v>
      </c>
    </row>
    <row r="2" spans="1:35" x14ac:dyDescent="0.3">
      <c r="A2" s="1">
        <v>10045</v>
      </c>
      <c r="B2" s="1">
        <v>1699</v>
      </c>
      <c r="C2" s="2">
        <v>45139</v>
      </c>
      <c r="D2" s="2">
        <v>45147</v>
      </c>
      <c r="E2" s="1" t="s">
        <v>34</v>
      </c>
      <c r="F2" s="1" t="s">
        <v>16</v>
      </c>
      <c r="G2" s="1" t="s">
        <v>17</v>
      </c>
      <c r="H2" s="1" t="s">
        <v>25</v>
      </c>
      <c r="I2" s="1" t="s">
        <v>26</v>
      </c>
      <c r="J2" s="1" t="s">
        <v>61</v>
      </c>
      <c r="K2" s="1" t="s">
        <v>47</v>
      </c>
      <c r="L2" s="1">
        <v>1</v>
      </c>
      <c r="M2" s="1">
        <v>2764.92</v>
      </c>
      <c r="N2" s="1">
        <v>0</v>
      </c>
      <c r="O2" s="1">
        <v>2764.92</v>
      </c>
      <c r="R2" s="1" t="s">
        <v>34</v>
      </c>
      <c r="U2" s="3" t="s">
        <v>0</v>
      </c>
      <c r="V2" s="3" t="s">
        <v>1</v>
      </c>
      <c r="W2" s="3" t="s">
        <v>2</v>
      </c>
      <c r="X2" s="3" t="s">
        <v>3</v>
      </c>
      <c r="Y2" s="3" t="s">
        <v>4</v>
      </c>
      <c r="Z2" s="3" t="s">
        <v>5</v>
      </c>
      <c r="AA2" s="3" t="s">
        <v>6</v>
      </c>
      <c r="AB2" s="3" t="s">
        <v>7</v>
      </c>
      <c r="AC2" s="3" t="s">
        <v>8</v>
      </c>
      <c r="AD2" s="3" t="s">
        <v>9</v>
      </c>
      <c r="AE2" s="3" t="s">
        <v>10</v>
      </c>
      <c r="AF2" s="3" t="s">
        <v>11</v>
      </c>
      <c r="AG2" s="3" t="s">
        <v>12</v>
      </c>
      <c r="AH2" s="3" t="s">
        <v>13</v>
      </c>
      <c r="AI2" s="3" t="s">
        <v>14</v>
      </c>
    </row>
    <row r="3" spans="1:35" x14ac:dyDescent="0.3">
      <c r="A3" s="1">
        <v>10295</v>
      </c>
      <c r="B3" s="1">
        <v>1637</v>
      </c>
      <c r="C3" s="2">
        <v>45280</v>
      </c>
      <c r="D3" s="2">
        <v>45284</v>
      </c>
      <c r="E3" s="1" t="s">
        <v>34</v>
      </c>
      <c r="F3" s="1" t="s">
        <v>23</v>
      </c>
      <c r="G3" s="1" t="s">
        <v>24</v>
      </c>
      <c r="H3" s="1" t="s">
        <v>42</v>
      </c>
      <c r="I3" s="1" t="s">
        <v>31</v>
      </c>
      <c r="J3" s="1" t="s">
        <v>48</v>
      </c>
      <c r="K3" s="1" t="s">
        <v>33</v>
      </c>
      <c r="L3" s="1">
        <v>1</v>
      </c>
      <c r="M3" s="1">
        <v>619.73</v>
      </c>
      <c r="N3" s="1">
        <v>0</v>
      </c>
      <c r="O3" s="1">
        <v>619.73</v>
      </c>
      <c r="U3" s="1">
        <v>10045</v>
      </c>
      <c r="V3" s="1">
        <v>1699</v>
      </c>
      <c r="W3" s="2">
        <v>45139</v>
      </c>
      <c r="X3" s="2">
        <v>45147</v>
      </c>
      <c r="Y3" s="1" t="s">
        <v>34</v>
      </c>
      <c r="Z3" s="1" t="s">
        <v>16</v>
      </c>
      <c r="AA3" s="1" t="s">
        <v>17</v>
      </c>
      <c r="AB3" s="1" t="s">
        <v>25</v>
      </c>
      <c r="AC3" s="1" t="s">
        <v>26</v>
      </c>
      <c r="AD3" s="1" t="s">
        <v>61</v>
      </c>
      <c r="AE3" s="1" t="s">
        <v>47</v>
      </c>
      <c r="AF3" s="1">
        <v>1</v>
      </c>
      <c r="AG3" s="1">
        <v>2764.92</v>
      </c>
      <c r="AH3" s="1">
        <v>0</v>
      </c>
      <c r="AI3" s="1">
        <v>2764.92</v>
      </c>
    </row>
    <row r="4" spans="1:35" x14ac:dyDescent="0.3">
      <c r="A4" s="1">
        <v>10004</v>
      </c>
      <c r="B4" s="1">
        <v>1270</v>
      </c>
      <c r="C4" s="2">
        <v>45079</v>
      </c>
      <c r="D4" s="2">
        <v>45087</v>
      </c>
      <c r="E4" s="1" t="s">
        <v>34</v>
      </c>
      <c r="F4" s="1" t="s">
        <v>29</v>
      </c>
      <c r="G4" s="1" t="s">
        <v>24</v>
      </c>
      <c r="H4" s="1" t="s">
        <v>35</v>
      </c>
      <c r="I4" s="1" t="s">
        <v>26</v>
      </c>
      <c r="J4" s="1" t="s">
        <v>36</v>
      </c>
      <c r="K4" s="1" t="s">
        <v>21</v>
      </c>
      <c r="L4" s="1">
        <v>1</v>
      </c>
      <c r="M4" s="1">
        <v>1008.79</v>
      </c>
      <c r="N4" s="1">
        <v>15</v>
      </c>
      <c r="O4" s="1">
        <v>857.47</v>
      </c>
      <c r="U4" s="1">
        <v>10295</v>
      </c>
      <c r="V4" s="1">
        <v>1637</v>
      </c>
      <c r="W4" s="2">
        <v>45280</v>
      </c>
      <c r="X4" s="2">
        <v>45284</v>
      </c>
      <c r="Y4" s="1" t="s">
        <v>34</v>
      </c>
      <c r="Z4" s="1" t="s">
        <v>23</v>
      </c>
      <c r="AA4" s="1" t="s">
        <v>24</v>
      </c>
      <c r="AB4" s="1" t="s">
        <v>42</v>
      </c>
      <c r="AC4" s="1" t="s">
        <v>31</v>
      </c>
      <c r="AD4" s="1" t="s">
        <v>48</v>
      </c>
      <c r="AE4" s="1" t="s">
        <v>33</v>
      </c>
      <c r="AF4" s="1">
        <v>1</v>
      </c>
      <c r="AG4" s="1">
        <v>619.73</v>
      </c>
      <c r="AH4" s="1">
        <v>0</v>
      </c>
      <c r="AI4" s="1">
        <v>619.73</v>
      </c>
    </row>
    <row r="5" spans="1:35" x14ac:dyDescent="0.3">
      <c r="A5" s="1">
        <v>10309</v>
      </c>
      <c r="B5" s="1">
        <v>1400</v>
      </c>
      <c r="C5" s="2">
        <v>44928</v>
      </c>
      <c r="D5" s="2">
        <v>44936</v>
      </c>
      <c r="E5" s="1" t="s">
        <v>34</v>
      </c>
      <c r="F5" s="1" t="s">
        <v>29</v>
      </c>
      <c r="G5" s="1" t="s">
        <v>30</v>
      </c>
      <c r="H5" s="1" t="s">
        <v>44</v>
      </c>
      <c r="I5" s="1" t="s">
        <v>49</v>
      </c>
      <c r="J5" s="1" t="s">
        <v>51</v>
      </c>
      <c r="K5" s="1" t="s">
        <v>47</v>
      </c>
      <c r="L5" s="1">
        <v>1</v>
      </c>
      <c r="M5" s="1">
        <v>2740.46</v>
      </c>
      <c r="N5" s="1">
        <v>10</v>
      </c>
      <c r="O5" s="1">
        <v>2466.41</v>
      </c>
      <c r="U5" s="1">
        <v>10004</v>
      </c>
      <c r="V5" s="1">
        <v>1270</v>
      </c>
      <c r="W5" s="2">
        <v>45079</v>
      </c>
      <c r="X5" s="2">
        <v>45087</v>
      </c>
      <c r="Y5" s="1" t="s">
        <v>34</v>
      </c>
      <c r="Z5" s="1" t="s">
        <v>29</v>
      </c>
      <c r="AA5" s="1" t="s">
        <v>24</v>
      </c>
      <c r="AB5" s="1" t="s">
        <v>35</v>
      </c>
      <c r="AC5" s="1" t="s">
        <v>26</v>
      </c>
      <c r="AD5" s="1" t="s">
        <v>36</v>
      </c>
      <c r="AE5" s="1" t="s">
        <v>21</v>
      </c>
      <c r="AF5" s="1">
        <v>1</v>
      </c>
      <c r="AG5" s="1">
        <v>1008.79</v>
      </c>
      <c r="AH5" s="1">
        <v>15</v>
      </c>
      <c r="AI5" s="1">
        <v>857.47</v>
      </c>
    </row>
    <row r="6" spans="1:35" x14ac:dyDescent="0.3">
      <c r="A6" s="1">
        <v>10345</v>
      </c>
      <c r="B6" s="1">
        <v>1935</v>
      </c>
      <c r="C6" s="2">
        <v>44984</v>
      </c>
      <c r="D6" s="2">
        <v>44993</v>
      </c>
      <c r="E6" s="1" t="s">
        <v>34</v>
      </c>
      <c r="F6" s="1" t="s">
        <v>29</v>
      </c>
      <c r="G6" s="1" t="s">
        <v>30</v>
      </c>
      <c r="H6" s="1" t="s">
        <v>42</v>
      </c>
      <c r="I6" s="1" t="s">
        <v>26</v>
      </c>
      <c r="J6" s="1" t="s">
        <v>36</v>
      </c>
      <c r="K6" s="1" t="s">
        <v>45</v>
      </c>
      <c r="L6" s="1">
        <v>1</v>
      </c>
      <c r="M6" s="1">
        <v>3625.42</v>
      </c>
      <c r="N6" s="1">
        <v>10</v>
      </c>
      <c r="O6" s="1">
        <v>3262.88</v>
      </c>
      <c r="U6" s="1">
        <v>10309</v>
      </c>
      <c r="V6" s="1">
        <v>1400</v>
      </c>
      <c r="W6" s="2">
        <v>44928</v>
      </c>
      <c r="X6" s="2">
        <v>44936</v>
      </c>
      <c r="Y6" s="1" t="s">
        <v>34</v>
      </c>
      <c r="Z6" s="1" t="s">
        <v>29</v>
      </c>
      <c r="AA6" s="1" t="s">
        <v>30</v>
      </c>
      <c r="AB6" s="1" t="s">
        <v>44</v>
      </c>
      <c r="AC6" s="1" t="s">
        <v>49</v>
      </c>
      <c r="AD6" s="1" t="s">
        <v>51</v>
      </c>
      <c r="AE6" s="1" t="s">
        <v>47</v>
      </c>
      <c r="AF6" s="1">
        <v>1</v>
      </c>
      <c r="AG6" s="1">
        <v>2740.46</v>
      </c>
      <c r="AH6" s="1">
        <v>10</v>
      </c>
      <c r="AI6" s="1">
        <v>2466.41</v>
      </c>
    </row>
    <row r="7" spans="1:35" x14ac:dyDescent="0.3">
      <c r="A7" s="1">
        <v>10019</v>
      </c>
      <c r="B7" s="1">
        <v>1663</v>
      </c>
      <c r="C7" s="2">
        <v>44965</v>
      </c>
      <c r="D7" s="2">
        <v>44968</v>
      </c>
      <c r="E7" s="1" t="s">
        <v>34</v>
      </c>
      <c r="F7" s="1" t="s">
        <v>38</v>
      </c>
      <c r="G7" s="1" t="s">
        <v>30</v>
      </c>
      <c r="H7" s="1" t="s">
        <v>42</v>
      </c>
      <c r="I7" s="1" t="s">
        <v>31</v>
      </c>
      <c r="J7" s="1" t="s">
        <v>39</v>
      </c>
      <c r="K7" s="1" t="s">
        <v>33</v>
      </c>
      <c r="L7" s="1">
        <v>2</v>
      </c>
      <c r="M7" s="1">
        <v>990.3</v>
      </c>
      <c r="N7" s="1">
        <v>15</v>
      </c>
      <c r="O7" s="1">
        <v>1683.51</v>
      </c>
      <c r="U7" s="1">
        <v>10345</v>
      </c>
      <c r="V7" s="1">
        <v>1935</v>
      </c>
      <c r="W7" s="2">
        <v>44984</v>
      </c>
      <c r="X7" s="2">
        <v>44993</v>
      </c>
      <c r="Y7" s="1" t="s">
        <v>34</v>
      </c>
      <c r="Z7" s="1" t="s">
        <v>29</v>
      </c>
      <c r="AA7" s="1" t="s">
        <v>30</v>
      </c>
      <c r="AB7" s="1" t="s">
        <v>42</v>
      </c>
      <c r="AC7" s="1" t="s">
        <v>26</v>
      </c>
      <c r="AD7" s="1" t="s">
        <v>36</v>
      </c>
      <c r="AE7" s="1" t="s">
        <v>45</v>
      </c>
      <c r="AF7" s="1">
        <v>1</v>
      </c>
      <c r="AG7" s="1">
        <v>3625.42</v>
      </c>
      <c r="AH7" s="1">
        <v>10</v>
      </c>
      <c r="AI7" s="1">
        <v>3262.88</v>
      </c>
    </row>
    <row r="8" spans="1:35" x14ac:dyDescent="0.3">
      <c r="A8" s="1">
        <v>10317</v>
      </c>
      <c r="B8" s="1">
        <v>1981</v>
      </c>
      <c r="C8" s="2">
        <v>45051</v>
      </c>
      <c r="D8" s="2">
        <v>45056</v>
      </c>
      <c r="E8" s="1" t="s">
        <v>34</v>
      </c>
      <c r="F8" s="1" t="s">
        <v>38</v>
      </c>
      <c r="G8" s="1" t="s">
        <v>24</v>
      </c>
      <c r="H8" s="1" t="s">
        <v>25</v>
      </c>
      <c r="I8" s="1" t="s">
        <v>49</v>
      </c>
      <c r="J8" s="1" t="s">
        <v>63</v>
      </c>
      <c r="K8" s="1" t="s">
        <v>47</v>
      </c>
      <c r="L8" s="1">
        <v>2</v>
      </c>
      <c r="M8" s="1">
        <v>788.72</v>
      </c>
      <c r="N8" s="1">
        <v>20</v>
      </c>
      <c r="O8" s="1">
        <v>1261.95</v>
      </c>
      <c r="U8" s="1">
        <v>10019</v>
      </c>
      <c r="V8" s="1">
        <v>1663</v>
      </c>
      <c r="W8" s="2">
        <v>44965</v>
      </c>
      <c r="X8" s="2">
        <v>44968</v>
      </c>
      <c r="Y8" s="1" t="s">
        <v>34</v>
      </c>
      <c r="Z8" s="1" t="s">
        <v>38</v>
      </c>
      <c r="AA8" s="1" t="s">
        <v>30</v>
      </c>
      <c r="AB8" s="1" t="s">
        <v>42</v>
      </c>
      <c r="AC8" s="1" t="s">
        <v>31</v>
      </c>
      <c r="AD8" s="1" t="s">
        <v>39</v>
      </c>
      <c r="AE8" s="1" t="s">
        <v>33</v>
      </c>
      <c r="AF8" s="1">
        <v>2</v>
      </c>
      <c r="AG8" s="1">
        <v>990.3</v>
      </c>
      <c r="AH8" s="1">
        <v>15</v>
      </c>
      <c r="AI8" s="1">
        <v>1683.51</v>
      </c>
    </row>
    <row r="9" spans="1:35" x14ac:dyDescent="0.3">
      <c r="A9" s="1">
        <v>10331</v>
      </c>
      <c r="B9" s="1">
        <v>1763</v>
      </c>
      <c r="C9" s="2">
        <v>45203</v>
      </c>
      <c r="D9" s="2">
        <v>45207</v>
      </c>
      <c r="E9" s="1" t="s">
        <v>34</v>
      </c>
      <c r="F9" s="1" t="s">
        <v>38</v>
      </c>
      <c r="G9" s="1" t="s">
        <v>17</v>
      </c>
      <c r="H9" s="1" t="s">
        <v>35</v>
      </c>
      <c r="I9" s="1" t="s">
        <v>19</v>
      </c>
      <c r="J9" s="1" t="s">
        <v>55</v>
      </c>
      <c r="K9" s="1" t="s">
        <v>47</v>
      </c>
      <c r="L9" s="1">
        <v>2</v>
      </c>
      <c r="M9" s="1">
        <v>2481.1</v>
      </c>
      <c r="N9" s="1">
        <v>15</v>
      </c>
      <c r="O9" s="1">
        <v>4217.87</v>
      </c>
      <c r="U9" s="1">
        <v>10317</v>
      </c>
      <c r="V9" s="1">
        <v>1981</v>
      </c>
      <c r="W9" s="2">
        <v>45051</v>
      </c>
      <c r="X9" s="2">
        <v>45056</v>
      </c>
      <c r="Y9" s="1" t="s">
        <v>34</v>
      </c>
      <c r="Z9" s="1" t="s">
        <v>38</v>
      </c>
      <c r="AA9" s="1" t="s">
        <v>24</v>
      </c>
      <c r="AB9" s="1" t="s">
        <v>25</v>
      </c>
      <c r="AC9" s="1" t="s">
        <v>49</v>
      </c>
      <c r="AD9" s="1" t="s">
        <v>63</v>
      </c>
      <c r="AE9" s="1" t="s">
        <v>47</v>
      </c>
      <c r="AF9" s="1">
        <v>2</v>
      </c>
      <c r="AG9" s="1">
        <v>788.72</v>
      </c>
      <c r="AH9" s="1">
        <v>20</v>
      </c>
      <c r="AI9" s="1">
        <v>1261.95</v>
      </c>
    </row>
    <row r="10" spans="1:35" x14ac:dyDescent="0.3">
      <c r="A10" s="1">
        <v>10190</v>
      </c>
      <c r="B10" s="1">
        <v>1857</v>
      </c>
      <c r="C10" s="2">
        <v>45185</v>
      </c>
      <c r="D10" s="2">
        <v>45187</v>
      </c>
      <c r="E10" s="1" t="s">
        <v>34</v>
      </c>
      <c r="F10" s="1" t="s">
        <v>54</v>
      </c>
      <c r="G10" s="1" t="s">
        <v>30</v>
      </c>
      <c r="H10" s="1" t="s">
        <v>25</v>
      </c>
      <c r="I10" s="1" t="s">
        <v>49</v>
      </c>
      <c r="J10" s="1" t="s">
        <v>51</v>
      </c>
      <c r="K10" s="1" t="s">
        <v>21</v>
      </c>
      <c r="L10" s="1">
        <v>2</v>
      </c>
      <c r="M10" s="1">
        <v>1372.59</v>
      </c>
      <c r="N10" s="1">
        <v>5</v>
      </c>
      <c r="O10" s="1">
        <v>2607.92</v>
      </c>
      <c r="U10" s="1">
        <v>10331</v>
      </c>
      <c r="V10" s="1">
        <v>1763</v>
      </c>
      <c r="W10" s="2">
        <v>45203</v>
      </c>
      <c r="X10" s="2">
        <v>45207</v>
      </c>
      <c r="Y10" s="1" t="s">
        <v>34</v>
      </c>
      <c r="Z10" s="1" t="s">
        <v>38</v>
      </c>
      <c r="AA10" s="1" t="s">
        <v>17</v>
      </c>
      <c r="AB10" s="1" t="s">
        <v>35</v>
      </c>
      <c r="AC10" s="1" t="s">
        <v>19</v>
      </c>
      <c r="AD10" s="1" t="s">
        <v>55</v>
      </c>
      <c r="AE10" s="1" t="s">
        <v>47</v>
      </c>
      <c r="AF10" s="1">
        <v>2</v>
      </c>
      <c r="AG10" s="1">
        <v>2481.1</v>
      </c>
      <c r="AH10" s="1">
        <v>15</v>
      </c>
      <c r="AI10" s="1">
        <v>4217.87</v>
      </c>
    </row>
    <row r="11" spans="1:35" x14ac:dyDescent="0.3">
      <c r="A11" s="1">
        <v>10477</v>
      </c>
      <c r="B11" s="1">
        <v>1279</v>
      </c>
      <c r="C11" s="2">
        <v>45229</v>
      </c>
      <c r="D11" s="2">
        <v>45230</v>
      </c>
      <c r="E11" s="1" t="s">
        <v>34</v>
      </c>
      <c r="F11" s="1" t="s">
        <v>54</v>
      </c>
      <c r="G11" s="1" t="s">
        <v>30</v>
      </c>
      <c r="H11" s="1" t="s">
        <v>44</v>
      </c>
      <c r="I11" s="1" t="s">
        <v>31</v>
      </c>
      <c r="J11" s="1" t="s">
        <v>48</v>
      </c>
      <c r="K11" s="1" t="s">
        <v>45</v>
      </c>
      <c r="L11" s="1">
        <v>2</v>
      </c>
      <c r="M11" s="1">
        <v>2962.4</v>
      </c>
      <c r="N11" s="1">
        <v>0</v>
      </c>
      <c r="O11" s="1">
        <v>5924.8</v>
      </c>
      <c r="U11" s="1">
        <v>10190</v>
      </c>
      <c r="V11" s="1">
        <v>1857</v>
      </c>
      <c r="W11" s="2">
        <v>45185</v>
      </c>
      <c r="X11" s="2">
        <v>45187</v>
      </c>
      <c r="Y11" s="1" t="s">
        <v>34</v>
      </c>
      <c r="Z11" s="1" t="s">
        <v>54</v>
      </c>
      <c r="AA11" s="1" t="s">
        <v>30</v>
      </c>
      <c r="AB11" s="1" t="s">
        <v>25</v>
      </c>
      <c r="AC11" s="1" t="s">
        <v>49</v>
      </c>
      <c r="AD11" s="1" t="s">
        <v>51</v>
      </c>
      <c r="AE11" s="1" t="s">
        <v>21</v>
      </c>
      <c r="AF11" s="1">
        <v>2</v>
      </c>
      <c r="AG11" s="1">
        <v>1372.59</v>
      </c>
      <c r="AH11" s="1">
        <v>5</v>
      </c>
      <c r="AI11" s="1">
        <v>2607.92</v>
      </c>
    </row>
    <row r="12" spans="1:35" x14ac:dyDescent="0.3">
      <c r="A12" s="1">
        <v>10224</v>
      </c>
      <c r="B12" s="1">
        <v>1795</v>
      </c>
      <c r="C12" s="2">
        <v>45100</v>
      </c>
      <c r="D12" s="2">
        <v>45106</v>
      </c>
      <c r="E12" s="1" t="s">
        <v>34</v>
      </c>
      <c r="F12" s="1" t="s">
        <v>23</v>
      </c>
      <c r="G12" s="1" t="s">
        <v>30</v>
      </c>
      <c r="H12" s="1" t="s">
        <v>25</v>
      </c>
      <c r="I12" s="1" t="s">
        <v>57</v>
      </c>
      <c r="J12" s="1" t="s">
        <v>58</v>
      </c>
      <c r="K12" s="1" t="s">
        <v>21</v>
      </c>
      <c r="L12" s="1">
        <v>2</v>
      </c>
      <c r="M12" s="1">
        <v>1448.65</v>
      </c>
      <c r="N12" s="1">
        <v>20</v>
      </c>
      <c r="O12" s="1">
        <v>2317.84</v>
      </c>
      <c r="U12" s="1">
        <v>10477</v>
      </c>
      <c r="V12" s="1">
        <v>1279</v>
      </c>
      <c r="W12" s="2">
        <v>45229</v>
      </c>
      <c r="X12" s="2">
        <v>45230</v>
      </c>
      <c r="Y12" s="1" t="s">
        <v>34</v>
      </c>
      <c r="Z12" s="1" t="s">
        <v>54</v>
      </c>
      <c r="AA12" s="1" t="s">
        <v>30</v>
      </c>
      <c r="AB12" s="1" t="s">
        <v>44</v>
      </c>
      <c r="AC12" s="1" t="s">
        <v>31</v>
      </c>
      <c r="AD12" s="1" t="s">
        <v>48</v>
      </c>
      <c r="AE12" s="1" t="s">
        <v>45</v>
      </c>
      <c r="AF12" s="1">
        <v>2</v>
      </c>
      <c r="AG12" s="1">
        <v>2962.4</v>
      </c>
      <c r="AH12" s="1">
        <v>0</v>
      </c>
      <c r="AI12" s="1">
        <v>5924.8</v>
      </c>
    </row>
    <row r="13" spans="1:35" x14ac:dyDescent="0.3">
      <c r="A13" s="1">
        <v>10194</v>
      </c>
      <c r="B13" s="1">
        <v>1690</v>
      </c>
      <c r="C13" s="2">
        <v>45180</v>
      </c>
      <c r="D13" s="2">
        <v>45182</v>
      </c>
      <c r="E13" s="1" t="s">
        <v>34</v>
      </c>
      <c r="F13" s="1" t="s">
        <v>41</v>
      </c>
      <c r="G13" s="1" t="s">
        <v>24</v>
      </c>
      <c r="H13" s="1" t="s">
        <v>25</v>
      </c>
      <c r="I13" s="1" t="s">
        <v>57</v>
      </c>
      <c r="J13" s="1" t="s">
        <v>59</v>
      </c>
      <c r="K13" s="1" t="s">
        <v>45</v>
      </c>
      <c r="L13" s="1">
        <v>2</v>
      </c>
      <c r="M13" s="1">
        <v>894.01</v>
      </c>
      <c r="N13" s="1">
        <v>15</v>
      </c>
      <c r="O13" s="1">
        <v>1519.82</v>
      </c>
      <c r="U13" s="1">
        <v>10224</v>
      </c>
      <c r="V13" s="1">
        <v>1795</v>
      </c>
      <c r="W13" s="2">
        <v>45100</v>
      </c>
      <c r="X13" s="2">
        <v>45106</v>
      </c>
      <c r="Y13" s="1" t="s">
        <v>34</v>
      </c>
      <c r="Z13" s="1" t="s">
        <v>23</v>
      </c>
      <c r="AA13" s="1" t="s">
        <v>30</v>
      </c>
      <c r="AB13" s="1" t="s">
        <v>25</v>
      </c>
      <c r="AC13" s="1" t="s">
        <v>57</v>
      </c>
      <c r="AD13" s="1" t="s">
        <v>58</v>
      </c>
      <c r="AE13" s="1" t="s">
        <v>21</v>
      </c>
      <c r="AF13" s="1">
        <v>2</v>
      </c>
      <c r="AG13" s="1">
        <v>1448.65</v>
      </c>
      <c r="AH13" s="1">
        <v>20</v>
      </c>
      <c r="AI13" s="1">
        <v>2317.84</v>
      </c>
    </row>
    <row r="14" spans="1:35" x14ac:dyDescent="0.3">
      <c r="A14" s="1">
        <v>10239</v>
      </c>
      <c r="B14" s="1">
        <v>1384</v>
      </c>
      <c r="C14" s="2">
        <v>45146</v>
      </c>
      <c r="D14" s="2">
        <v>45149</v>
      </c>
      <c r="E14" s="1" t="s">
        <v>34</v>
      </c>
      <c r="F14" s="1" t="s">
        <v>41</v>
      </c>
      <c r="G14" s="1" t="s">
        <v>24</v>
      </c>
      <c r="H14" s="1" t="s">
        <v>25</v>
      </c>
      <c r="I14" s="1" t="s">
        <v>49</v>
      </c>
      <c r="J14" s="1" t="s">
        <v>63</v>
      </c>
      <c r="K14" s="1" t="s">
        <v>47</v>
      </c>
      <c r="L14" s="1">
        <v>2</v>
      </c>
      <c r="M14" s="1">
        <v>3960.56</v>
      </c>
      <c r="N14" s="1">
        <v>10</v>
      </c>
      <c r="O14" s="1">
        <v>7129.01</v>
      </c>
      <c r="U14" s="1">
        <v>10194</v>
      </c>
      <c r="V14" s="1">
        <v>1690</v>
      </c>
      <c r="W14" s="2">
        <v>45180</v>
      </c>
      <c r="X14" s="2">
        <v>45182</v>
      </c>
      <c r="Y14" s="1" t="s">
        <v>34</v>
      </c>
      <c r="Z14" s="1" t="s">
        <v>41</v>
      </c>
      <c r="AA14" s="1" t="s">
        <v>24</v>
      </c>
      <c r="AB14" s="1" t="s">
        <v>25</v>
      </c>
      <c r="AC14" s="1" t="s">
        <v>57</v>
      </c>
      <c r="AD14" s="1" t="s">
        <v>59</v>
      </c>
      <c r="AE14" s="1" t="s">
        <v>45</v>
      </c>
      <c r="AF14" s="1">
        <v>2</v>
      </c>
      <c r="AG14" s="1">
        <v>894.01</v>
      </c>
      <c r="AH14" s="1">
        <v>15</v>
      </c>
      <c r="AI14" s="1">
        <v>1519.82</v>
      </c>
    </row>
    <row r="15" spans="1:35" x14ac:dyDescent="0.3">
      <c r="A15" s="1">
        <v>10174</v>
      </c>
      <c r="B15" s="1">
        <v>1738</v>
      </c>
      <c r="C15" s="2">
        <v>45186</v>
      </c>
      <c r="D15" s="2">
        <v>45195</v>
      </c>
      <c r="E15" s="1" t="s">
        <v>34</v>
      </c>
      <c r="F15" s="1" t="s">
        <v>16</v>
      </c>
      <c r="G15" s="1" t="s">
        <v>30</v>
      </c>
      <c r="H15" s="1" t="s">
        <v>18</v>
      </c>
      <c r="I15" s="1" t="s">
        <v>52</v>
      </c>
      <c r="J15" s="1" t="s">
        <v>53</v>
      </c>
      <c r="K15" s="1" t="s">
        <v>28</v>
      </c>
      <c r="L15" s="1">
        <v>3</v>
      </c>
      <c r="M15" s="1">
        <v>1104.31</v>
      </c>
      <c r="N15" s="1">
        <v>15</v>
      </c>
      <c r="O15" s="1">
        <v>2815.99</v>
      </c>
      <c r="U15" s="1">
        <v>10239</v>
      </c>
      <c r="V15" s="1">
        <v>1384</v>
      </c>
      <c r="W15" s="2">
        <v>45146</v>
      </c>
      <c r="X15" s="2">
        <v>45149</v>
      </c>
      <c r="Y15" s="1" t="s">
        <v>34</v>
      </c>
      <c r="Z15" s="1" t="s">
        <v>41</v>
      </c>
      <c r="AA15" s="1" t="s">
        <v>24</v>
      </c>
      <c r="AB15" s="1" t="s">
        <v>25</v>
      </c>
      <c r="AC15" s="1" t="s">
        <v>49</v>
      </c>
      <c r="AD15" s="1" t="s">
        <v>63</v>
      </c>
      <c r="AE15" s="1" t="s">
        <v>47</v>
      </c>
      <c r="AF15" s="1">
        <v>2</v>
      </c>
      <c r="AG15" s="1">
        <v>3960.56</v>
      </c>
      <c r="AH15" s="1">
        <v>10</v>
      </c>
      <c r="AI15" s="1">
        <v>7129.01</v>
      </c>
    </row>
    <row r="16" spans="1:35" x14ac:dyDescent="0.3">
      <c r="A16" s="1">
        <v>10456</v>
      </c>
      <c r="B16" s="1">
        <v>1452</v>
      </c>
      <c r="C16" s="2">
        <v>45065</v>
      </c>
      <c r="D16" s="2">
        <v>45067</v>
      </c>
      <c r="E16" s="1" t="s">
        <v>34</v>
      </c>
      <c r="F16" s="1" t="s">
        <v>38</v>
      </c>
      <c r="G16" s="1" t="s">
        <v>24</v>
      </c>
      <c r="H16" s="1" t="s">
        <v>44</v>
      </c>
      <c r="I16" s="1" t="s">
        <v>26</v>
      </c>
      <c r="J16" s="1" t="s">
        <v>27</v>
      </c>
      <c r="K16" s="1" t="s">
        <v>21</v>
      </c>
      <c r="L16" s="1">
        <v>3</v>
      </c>
      <c r="M16" s="1">
        <v>2381.96</v>
      </c>
      <c r="N16" s="1">
        <v>10</v>
      </c>
      <c r="O16" s="1">
        <v>6431.29</v>
      </c>
      <c r="U16" s="1">
        <v>10174</v>
      </c>
      <c r="V16" s="1">
        <v>1738</v>
      </c>
      <c r="W16" s="2">
        <v>45186</v>
      </c>
      <c r="X16" s="2">
        <v>45195</v>
      </c>
      <c r="Y16" s="1" t="s">
        <v>34</v>
      </c>
      <c r="Z16" s="1" t="s">
        <v>16</v>
      </c>
      <c r="AA16" s="1" t="s">
        <v>30</v>
      </c>
      <c r="AB16" s="1" t="s">
        <v>18</v>
      </c>
      <c r="AC16" s="1" t="s">
        <v>52</v>
      </c>
      <c r="AD16" s="1" t="s">
        <v>53</v>
      </c>
      <c r="AE16" s="1" t="s">
        <v>28</v>
      </c>
      <c r="AF16" s="1">
        <v>3</v>
      </c>
      <c r="AG16" s="1">
        <v>1104.31</v>
      </c>
      <c r="AH16" s="1">
        <v>15</v>
      </c>
      <c r="AI16" s="1">
        <v>2815.99</v>
      </c>
    </row>
    <row r="17" spans="1:35" x14ac:dyDescent="0.3">
      <c r="A17" s="1">
        <v>10361</v>
      </c>
      <c r="B17" s="1">
        <v>1262</v>
      </c>
      <c r="C17" s="2">
        <v>45233</v>
      </c>
      <c r="D17" s="2">
        <v>45234</v>
      </c>
      <c r="E17" s="1" t="s">
        <v>34</v>
      </c>
      <c r="F17" s="1" t="s">
        <v>23</v>
      </c>
      <c r="G17" s="1" t="s">
        <v>24</v>
      </c>
      <c r="H17" s="1" t="s">
        <v>44</v>
      </c>
      <c r="I17" s="1" t="s">
        <v>57</v>
      </c>
      <c r="J17" s="1" t="s">
        <v>59</v>
      </c>
      <c r="K17" s="1" t="s">
        <v>21</v>
      </c>
      <c r="L17" s="1">
        <v>3</v>
      </c>
      <c r="M17" s="1">
        <v>2284.27</v>
      </c>
      <c r="N17" s="1">
        <v>20</v>
      </c>
      <c r="O17" s="1">
        <v>5482.25</v>
      </c>
      <c r="U17" s="1">
        <v>10456</v>
      </c>
      <c r="V17" s="1">
        <v>1452</v>
      </c>
      <c r="W17" s="2">
        <v>45065</v>
      </c>
      <c r="X17" s="2">
        <v>45067</v>
      </c>
      <c r="Y17" s="1" t="s">
        <v>34</v>
      </c>
      <c r="Z17" s="1" t="s">
        <v>38</v>
      </c>
      <c r="AA17" s="1" t="s">
        <v>24</v>
      </c>
      <c r="AB17" s="1" t="s">
        <v>44</v>
      </c>
      <c r="AC17" s="1" t="s">
        <v>26</v>
      </c>
      <c r="AD17" s="1" t="s">
        <v>27</v>
      </c>
      <c r="AE17" s="1" t="s">
        <v>21</v>
      </c>
      <c r="AF17" s="1">
        <v>3</v>
      </c>
      <c r="AG17" s="1">
        <v>2381.96</v>
      </c>
      <c r="AH17" s="1">
        <v>10</v>
      </c>
      <c r="AI17" s="1">
        <v>6431.29</v>
      </c>
    </row>
    <row r="18" spans="1:35" x14ac:dyDescent="0.3">
      <c r="A18" s="1">
        <v>10410</v>
      </c>
      <c r="B18" s="1">
        <v>1821</v>
      </c>
      <c r="C18" s="2">
        <v>45149</v>
      </c>
      <c r="D18" s="2">
        <v>45152</v>
      </c>
      <c r="E18" s="1" t="s">
        <v>34</v>
      </c>
      <c r="F18" s="1" t="s">
        <v>23</v>
      </c>
      <c r="G18" s="1" t="s">
        <v>30</v>
      </c>
      <c r="H18" s="1" t="s">
        <v>44</v>
      </c>
      <c r="I18" s="1" t="s">
        <v>49</v>
      </c>
      <c r="J18" s="1" t="s">
        <v>50</v>
      </c>
      <c r="K18" s="1" t="s">
        <v>21</v>
      </c>
      <c r="L18" s="1">
        <v>3</v>
      </c>
      <c r="M18" s="1">
        <v>2271.5500000000002</v>
      </c>
      <c r="N18" s="1">
        <v>5</v>
      </c>
      <c r="O18" s="1">
        <v>6473.92</v>
      </c>
      <c r="U18" s="1">
        <v>10361</v>
      </c>
      <c r="V18" s="1">
        <v>1262</v>
      </c>
      <c r="W18" s="2">
        <v>45233</v>
      </c>
      <c r="X18" s="2">
        <v>45234</v>
      </c>
      <c r="Y18" s="1" t="s">
        <v>34</v>
      </c>
      <c r="Z18" s="1" t="s">
        <v>23</v>
      </c>
      <c r="AA18" s="1" t="s">
        <v>24</v>
      </c>
      <c r="AB18" s="1" t="s">
        <v>44</v>
      </c>
      <c r="AC18" s="1" t="s">
        <v>57</v>
      </c>
      <c r="AD18" s="1" t="s">
        <v>59</v>
      </c>
      <c r="AE18" s="1" t="s">
        <v>21</v>
      </c>
      <c r="AF18" s="1">
        <v>3</v>
      </c>
      <c r="AG18" s="1">
        <v>2284.27</v>
      </c>
      <c r="AH18" s="1">
        <v>20</v>
      </c>
      <c r="AI18" s="1">
        <v>5482.25</v>
      </c>
    </row>
    <row r="19" spans="1:35" x14ac:dyDescent="0.3">
      <c r="A19" s="1">
        <v>10088</v>
      </c>
      <c r="B19" s="1">
        <v>1561</v>
      </c>
      <c r="C19" s="2">
        <v>44939</v>
      </c>
      <c r="D19" s="2">
        <v>44946</v>
      </c>
      <c r="E19" s="1" t="s">
        <v>34</v>
      </c>
      <c r="F19" s="1" t="s">
        <v>29</v>
      </c>
      <c r="G19" s="1" t="s">
        <v>17</v>
      </c>
      <c r="H19" s="1" t="s">
        <v>42</v>
      </c>
      <c r="I19" s="1" t="s">
        <v>49</v>
      </c>
      <c r="J19" s="1" t="s">
        <v>63</v>
      </c>
      <c r="K19" s="1" t="s">
        <v>47</v>
      </c>
      <c r="L19" s="1">
        <v>3</v>
      </c>
      <c r="M19" s="1">
        <v>3879.4</v>
      </c>
      <c r="N19" s="1">
        <v>20</v>
      </c>
      <c r="O19" s="1">
        <v>9310.56</v>
      </c>
      <c r="U19" s="1">
        <v>10410</v>
      </c>
      <c r="V19" s="1">
        <v>1821</v>
      </c>
      <c r="W19" s="2">
        <v>45149</v>
      </c>
      <c r="X19" s="2">
        <v>45152</v>
      </c>
      <c r="Y19" s="1" t="s">
        <v>34</v>
      </c>
      <c r="Z19" s="1" t="s">
        <v>23</v>
      </c>
      <c r="AA19" s="1" t="s">
        <v>30</v>
      </c>
      <c r="AB19" s="1" t="s">
        <v>44</v>
      </c>
      <c r="AC19" s="1" t="s">
        <v>49</v>
      </c>
      <c r="AD19" s="1" t="s">
        <v>50</v>
      </c>
      <c r="AE19" s="1" t="s">
        <v>21</v>
      </c>
      <c r="AF19" s="1">
        <v>3</v>
      </c>
      <c r="AG19" s="1">
        <v>2271.5500000000002</v>
      </c>
      <c r="AH19" s="1">
        <v>5</v>
      </c>
      <c r="AI19" s="1">
        <v>6473.92</v>
      </c>
    </row>
    <row r="20" spans="1:35" x14ac:dyDescent="0.3">
      <c r="A20" s="1">
        <v>10129</v>
      </c>
      <c r="B20" s="1">
        <v>1040</v>
      </c>
      <c r="C20" s="2">
        <v>44940</v>
      </c>
      <c r="D20" s="2">
        <v>44946</v>
      </c>
      <c r="E20" s="1" t="s">
        <v>34</v>
      </c>
      <c r="F20" s="1" t="s">
        <v>29</v>
      </c>
      <c r="G20" s="1" t="s">
        <v>24</v>
      </c>
      <c r="H20" s="1" t="s">
        <v>44</v>
      </c>
      <c r="I20" s="1" t="s">
        <v>52</v>
      </c>
      <c r="J20" s="1" t="s">
        <v>56</v>
      </c>
      <c r="K20" s="1" t="s">
        <v>21</v>
      </c>
      <c r="L20" s="1">
        <v>3</v>
      </c>
      <c r="M20" s="1">
        <v>1621.67</v>
      </c>
      <c r="N20" s="1">
        <v>0</v>
      </c>
      <c r="O20" s="1">
        <v>4865.01</v>
      </c>
      <c r="U20" s="1">
        <v>10088</v>
      </c>
      <c r="V20" s="1">
        <v>1561</v>
      </c>
      <c r="W20" s="2">
        <v>44939</v>
      </c>
      <c r="X20" s="2">
        <v>44946</v>
      </c>
      <c r="Y20" s="1" t="s">
        <v>34</v>
      </c>
      <c r="Z20" s="1" t="s">
        <v>29</v>
      </c>
      <c r="AA20" s="1" t="s">
        <v>17</v>
      </c>
      <c r="AB20" s="1" t="s">
        <v>42</v>
      </c>
      <c r="AC20" s="1" t="s">
        <v>49</v>
      </c>
      <c r="AD20" s="1" t="s">
        <v>63</v>
      </c>
      <c r="AE20" s="1" t="s">
        <v>47</v>
      </c>
      <c r="AF20" s="1">
        <v>3</v>
      </c>
      <c r="AG20" s="1">
        <v>3879.4</v>
      </c>
      <c r="AH20" s="1">
        <v>20</v>
      </c>
      <c r="AI20" s="1">
        <v>9310.56</v>
      </c>
    </row>
    <row r="21" spans="1:35" x14ac:dyDescent="0.3">
      <c r="A21" s="1">
        <v>10148</v>
      </c>
      <c r="B21" s="1">
        <v>1288</v>
      </c>
      <c r="C21" s="2">
        <v>45035</v>
      </c>
      <c r="D21" s="2">
        <v>45043</v>
      </c>
      <c r="E21" s="1" t="s">
        <v>34</v>
      </c>
      <c r="F21" s="1" t="s">
        <v>29</v>
      </c>
      <c r="G21" s="1" t="s">
        <v>30</v>
      </c>
      <c r="H21" s="1" t="s">
        <v>44</v>
      </c>
      <c r="I21" s="1" t="s">
        <v>19</v>
      </c>
      <c r="J21" s="1" t="s">
        <v>20</v>
      </c>
      <c r="K21" s="1" t="s">
        <v>47</v>
      </c>
      <c r="L21" s="1">
        <v>3</v>
      </c>
      <c r="M21" s="1">
        <v>3219.26</v>
      </c>
      <c r="N21" s="1">
        <v>10</v>
      </c>
      <c r="O21" s="1">
        <v>8692</v>
      </c>
      <c r="U21" s="1">
        <v>10129</v>
      </c>
      <c r="V21" s="1">
        <v>1040</v>
      </c>
      <c r="W21" s="2">
        <v>44940</v>
      </c>
      <c r="X21" s="2">
        <v>44946</v>
      </c>
      <c r="Y21" s="1" t="s">
        <v>34</v>
      </c>
      <c r="Z21" s="1" t="s">
        <v>29</v>
      </c>
      <c r="AA21" s="1" t="s">
        <v>24</v>
      </c>
      <c r="AB21" s="1" t="s">
        <v>44</v>
      </c>
      <c r="AC21" s="1" t="s">
        <v>52</v>
      </c>
      <c r="AD21" s="1" t="s">
        <v>56</v>
      </c>
      <c r="AE21" s="1" t="s">
        <v>21</v>
      </c>
      <c r="AF21" s="1">
        <v>3</v>
      </c>
      <c r="AG21" s="1">
        <v>1621.67</v>
      </c>
      <c r="AH21" s="1">
        <v>0</v>
      </c>
      <c r="AI21" s="1">
        <v>4865.01</v>
      </c>
    </row>
    <row r="22" spans="1:35" x14ac:dyDescent="0.3">
      <c r="A22" s="1">
        <v>10244</v>
      </c>
      <c r="B22" s="1">
        <v>1627</v>
      </c>
      <c r="C22" s="2">
        <v>45032</v>
      </c>
      <c r="D22" s="2">
        <v>45038</v>
      </c>
      <c r="E22" s="1" t="s">
        <v>34</v>
      </c>
      <c r="F22" s="1" t="s">
        <v>29</v>
      </c>
      <c r="G22" s="1" t="s">
        <v>17</v>
      </c>
      <c r="H22" s="1" t="s">
        <v>44</v>
      </c>
      <c r="I22" s="1" t="s">
        <v>52</v>
      </c>
      <c r="J22" s="1" t="s">
        <v>53</v>
      </c>
      <c r="K22" s="1" t="s">
        <v>45</v>
      </c>
      <c r="L22" s="1">
        <v>3</v>
      </c>
      <c r="M22" s="1">
        <v>800.89</v>
      </c>
      <c r="N22" s="1">
        <v>0</v>
      </c>
      <c r="O22" s="1">
        <v>2402.67</v>
      </c>
      <c r="U22" s="1">
        <v>10148</v>
      </c>
      <c r="V22" s="1">
        <v>1288</v>
      </c>
      <c r="W22" s="2">
        <v>45035</v>
      </c>
      <c r="X22" s="2">
        <v>45043</v>
      </c>
      <c r="Y22" s="1" t="s">
        <v>34</v>
      </c>
      <c r="Z22" s="1" t="s">
        <v>29</v>
      </c>
      <c r="AA22" s="1" t="s">
        <v>30</v>
      </c>
      <c r="AB22" s="1" t="s">
        <v>44</v>
      </c>
      <c r="AC22" s="1" t="s">
        <v>19</v>
      </c>
      <c r="AD22" s="1" t="s">
        <v>20</v>
      </c>
      <c r="AE22" s="1" t="s">
        <v>47</v>
      </c>
      <c r="AF22" s="1">
        <v>3</v>
      </c>
      <c r="AG22" s="1">
        <v>3219.26</v>
      </c>
      <c r="AH22" s="1">
        <v>10</v>
      </c>
      <c r="AI22" s="1">
        <v>8692</v>
      </c>
    </row>
    <row r="23" spans="1:35" x14ac:dyDescent="0.3">
      <c r="A23" s="1">
        <v>10439</v>
      </c>
      <c r="B23" s="1">
        <v>1669</v>
      </c>
      <c r="C23" s="2">
        <v>45174</v>
      </c>
      <c r="D23" s="2">
        <v>45179</v>
      </c>
      <c r="E23" s="1" t="s">
        <v>34</v>
      </c>
      <c r="F23" s="1" t="s">
        <v>29</v>
      </c>
      <c r="G23" s="1" t="s">
        <v>24</v>
      </c>
      <c r="H23" s="1" t="s">
        <v>35</v>
      </c>
      <c r="I23" s="1" t="s">
        <v>49</v>
      </c>
      <c r="J23" s="1" t="s">
        <v>51</v>
      </c>
      <c r="K23" s="1" t="s">
        <v>28</v>
      </c>
      <c r="L23" s="1">
        <v>3</v>
      </c>
      <c r="M23" s="1">
        <v>1448.62</v>
      </c>
      <c r="N23" s="1">
        <v>10</v>
      </c>
      <c r="O23" s="1">
        <v>3911.27</v>
      </c>
      <c r="U23" s="1">
        <v>10244</v>
      </c>
      <c r="V23" s="1">
        <v>1627</v>
      </c>
      <c r="W23" s="2">
        <v>45032</v>
      </c>
      <c r="X23" s="2">
        <v>45038</v>
      </c>
      <c r="Y23" s="1" t="s">
        <v>34</v>
      </c>
      <c r="Z23" s="1" t="s">
        <v>29</v>
      </c>
      <c r="AA23" s="1" t="s">
        <v>17</v>
      </c>
      <c r="AB23" s="1" t="s">
        <v>44</v>
      </c>
      <c r="AC23" s="1" t="s">
        <v>52</v>
      </c>
      <c r="AD23" s="1" t="s">
        <v>53</v>
      </c>
      <c r="AE23" s="1" t="s">
        <v>45</v>
      </c>
      <c r="AF23" s="1">
        <v>3</v>
      </c>
      <c r="AG23" s="1">
        <v>800.89</v>
      </c>
      <c r="AH23" s="1">
        <v>0</v>
      </c>
      <c r="AI23" s="1">
        <v>2402.67</v>
      </c>
    </row>
    <row r="24" spans="1:35" x14ac:dyDescent="0.3">
      <c r="A24" s="1">
        <v>10086</v>
      </c>
      <c r="B24" s="1">
        <v>1080</v>
      </c>
      <c r="C24" s="2">
        <v>44992</v>
      </c>
      <c r="D24" s="2">
        <v>44996</v>
      </c>
      <c r="E24" s="1" t="s">
        <v>34</v>
      </c>
      <c r="F24" s="1" t="s">
        <v>38</v>
      </c>
      <c r="G24" s="1" t="s">
        <v>30</v>
      </c>
      <c r="H24" s="1" t="s">
        <v>44</v>
      </c>
      <c r="I24" s="1" t="s">
        <v>31</v>
      </c>
      <c r="J24" s="1" t="s">
        <v>65</v>
      </c>
      <c r="K24" s="1" t="s">
        <v>45</v>
      </c>
      <c r="L24" s="1">
        <v>4</v>
      </c>
      <c r="M24" s="1">
        <v>518.55999999999995</v>
      </c>
      <c r="N24" s="1">
        <v>20</v>
      </c>
      <c r="O24" s="1">
        <v>1659.39</v>
      </c>
      <c r="U24" s="1">
        <v>10439</v>
      </c>
      <c r="V24" s="1">
        <v>1669</v>
      </c>
      <c r="W24" s="2">
        <v>45174</v>
      </c>
      <c r="X24" s="2">
        <v>45179</v>
      </c>
      <c r="Y24" s="1" t="s">
        <v>34</v>
      </c>
      <c r="Z24" s="1" t="s">
        <v>29</v>
      </c>
      <c r="AA24" s="1" t="s">
        <v>24</v>
      </c>
      <c r="AB24" s="1" t="s">
        <v>35</v>
      </c>
      <c r="AC24" s="1" t="s">
        <v>49</v>
      </c>
      <c r="AD24" s="1" t="s">
        <v>51</v>
      </c>
      <c r="AE24" s="1" t="s">
        <v>28</v>
      </c>
      <c r="AF24" s="1">
        <v>3</v>
      </c>
      <c r="AG24" s="1">
        <v>1448.62</v>
      </c>
      <c r="AH24" s="1">
        <v>10</v>
      </c>
      <c r="AI24" s="1">
        <v>3911.27</v>
      </c>
    </row>
    <row r="25" spans="1:35" x14ac:dyDescent="0.3">
      <c r="A25" s="1">
        <v>10165</v>
      </c>
      <c r="B25" s="1">
        <v>1727</v>
      </c>
      <c r="C25" s="2">
        <v>45039</v>
      </c>
      <c r="D25" s="2">
        <v>45043</v>
      </c>
      <c r="E25" s="1" t="s">
        <v>34</v>
      </c>
      <c r="F25" s="1" t="s">
        <v>38</v>
      </c>
      <c r="G25" s="1" t="s">
        <v>24</v>
      </c>
      <c r="H25" s="1" t="s">
        <v>35</v>
      </c>
      <c r="I25" s="1" t="s">
        <v>57</v>
      </c>
      <c r="J25" s="1" t="s">
        <v>62</v>
      </c>
      <c r="K25" s="1" t="s">
        <v>28</v>
      </c>
      <c r="L25" s="1">
        <v>4</v>
      </c>
      <c r="M25" s="1">
        <v>3718.63</v>
      </c>
      <c r="N25" s="1">
        <v>20</v>
      </c>
      <c r="O25" s="1">
        <v>11899.62</v>
      </c>
      <c r="U25" s="1">
        <v>10086</v>
      </c>
      <c r="V25" s="1">
        <v>1080</v>
      </c>
      <c r="W25" s="2">
        <v>44992</v>
      </c>
      <c r="X25" s="2">
        <v>44996</v>
      </c>
      <c r="Y25" s="1" t="s">
        <v>34</v>
      </c>
      <c r="Z25" s="1" t="s">
        <v>38</v>
      </c>
      <c r="AA25" s="1" t="s">
        <v>30</v>
      </c>
      <c r="AB25" s="1" t="s">
        <v>44</v>
      </c>
      <c r="AC25" s="1" t="s">
        <v>31</v>
      </c>
      <c r="AD25" s="1" t="s">
        <v>65</v>
      </c>
      <c r="AE25" s="1" t="s">
        <v>45</v>
      </c>
      <c r="AF25" s="1">
        <v>4</v>
      </c>
      <c r="AG25" s="1">
        <v>518.55999999999995</v>
      </c>
      <c r="AH25" s="1">
        <v>20</v>
      </c>
      <c r="AI25" s="1">
        <v>1659.39</v>
      </c>
    </row>
    <row r="26" spans="1:35" x14ac:dyDescent="0.3">
      <c r="A26" s="1">
        <v>10447</v>
      </c>
      <c r="B26" s="1">
        <v>1026</v>
      </c>
      <c r="C26" s="2">
        <v>45264</v>
      </c>
      <c r="D26" s="2">
        <v>45265</v>
      </c>
      <c r="E26" s="1" t="s">
        <v>34</v>
      </c>
      <c r="F26" s="1" t="s">
        <v>38</v>
      </c>
      <c r="G26" s="1" t="s">
        <v>17</v>
      </c>
      <c r="H26" s="1" t="s">
        <v>35</v>
      </c>
      <c r="I26" s="1" t="s">
        <v>26</v>
      </c>
      <c r="J26" s="1" t="s">
        <v>69</v>
      </c>
      <c r="K26" s="1" t="s">
        <v>28</v>
      </c>
      <c r="L26" s="1">
        <v>4</v>
      </c>
      <c r="M26" s="1">
        <v>3871.21</v>
      </c>
      <c r="N26" s="1">
        <v>10</v>
      </c>
      <c r="O26" s="1">
        <v>13936.36</v>
      </c>
      <c r="U26" s="1">
        <v>10165</v>
      </c>
      <c r="V26" s="1">
        <v>1727</v>
      </c>
      <c r="W26" s="2">
        <v>45039</v>
      </c>
      <c r="X26" s="2">
        <v>45043</v>
      </c>
      <c r="Y26" s="1" t="s">
        <v>34</v>
      </c>
      <c r="Z26" s="1" t="s">
        <v>38</v>
      </c>
      <c r="AA26" s="1" t="s">
        <v>24</v>
      </c>
      <c r="AB26" s="1" t="s">
        <v>35</v>
      </c>
      <c r="AC26" s="1" t="s">
        <v>57</v>
      </c>
      <c r="AD26" s="1" t="s">
        <v>62</v>
      </c>
      <c r="AE26" s="1" t="s">
        <v>28</v>
      </c>
      <c r="AF26" s="1">
        <v>4</v>
      </c>
      <c r="AG26" s="1">
        <v>3718.63</v>
      </c>
      <c r="AH26" s="1">
        <v>20</v>
      </c>
      <c r="AI26" s="1">
        <v>11899.62</v>
      </c>
    </row>
    <row r="27" spans="1:35" x14ac:dyDescent="0.3">
      <c r="A27" s="1">
        <v>10199</v>
      </c>
      <c r="B27" s="1">
        <v>1563</v>
      </c>
      <c r="C27" s="2">
        <v>44977</v>
      </c>
      <c r="D27" s="2">
        <v>44984</v>
      </c>
      <c r="E27" s="1" t="s">
        <v>34</v>
      </c>
      <c r="F27" s="1" t="s">
        <v>23</v>
      </c>
      <c r="G27" s="1" t="s">
        <v>24</v>
      </c>
      <c r="H27" s="1" t="s">
        <v>35</v>
      </c>
      <c r="I27" s="1" t="s">
        <v>49</v>
      </c>
      <c r="J27" s="1" t="s">
        <v>51</v>
      </c>
      <c r="K27" s="1" t="s">
        <v>47</v>
      </c>
      <c r="L27" s="1">
        <v>4</v>
      </c>
      <c r="M27" s="1">
        <v>1428.19</v>
      </c>
      <c r="N27" s="1">
        <v>10</v>
      </c>
      <c r="O27" s="1">
        <v>5141.4799999999996</v>
      </c>
      <c r="U27" s="1">
        <v>10447</v>
      </c>
      <c r="V27" s="1">
        <v>1026</v>
      </c>
      <c r="W27" s="2">
        <v>45264</v>
      </c>
      <c r="X27" s="2">
        <v>45265</v>
      </c>
      <c r="Y27" s="1" t="s">
        <v>34</v>
      </c>
      <c r="Z27" s="1" t="s">
        <v>38</v>
      </c>
      <c r="AA27" s="1" t="s">
        <v>17</v>
      </c>
      <c r="AB27" s="1" t="s">
        <v>35</v>
      </c>
      <c r="AC27" s="1" t="s">
        <v>26</v>
      </c>
      <c r="AD27" s="1" t="s">
        <v>69</v>
      </c>
      <c r="AE27" s="1" t="s">
        <v>28</v>
      </c>
      <c r="AF27" s="1">
        <v>4</v>
      </c>
      <c r="AG27" s="1">
        <v>3871.21</v>
      </c>
      <c r="AH27" s="1">
        <v>10</v>
      </c>
      <c r="AI27" s="1">
        <v>13936.36</v>
      </c>
    </row>
    <row r="28" spans="1:35" x14ac:dyDescent="0.3">
      <c r="A28" s="1">
        <v>10132</v>
      </c>
      <c r="B28" s="1">
        <v>1812</v>
      </c>
      <c r="C28" s="2">
        <v>45155</v>
      </c>
      <c r="D28" s="2">
        <v>45163</v>
      </c>
      <c r="E28" s="1" t="s">
        <v>34</v>
      </c>
      <c r="F28" s="1" t="s">
        <v>29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47</v>
      </c>
      <c r="L28" s="1">
        <v>4</v>
      </c>
      <c r="M28" s="1">
        <v>3153.73</v>
      </c>
      <c r="N28" s="1">
        <v>0</v>
      </c>
      <c r="O28" s="1">
        <v>12614.92</v>
      </c>
      <c r="U28" s="1">
        <v>10199</v>
      </c>
      <c r="V28" s="1">
        <v>1563</v>
      </c>
      <c r="W28" s="2">
        <v>44977</v>
      </c>
      <c r="X28" s="2">
        <v>44984</v>
      </c>
      <c r="Y28" s="1" t="s">
        <v>34</v>
      </c>
      <c r="Z28" s="1" t="s">
        <v>23</v>
      </c>
      <c r="AA28" s="1" t="s">
        <v>24</v>
      </c>
      <c r="AB28" s="1" t="s">
        <v>35</v>
      </c>
      <c r="AC28" s="1" t="s">
        <v>49</v>
      </c>
      <c r="AD28" s="1" t="s">
        <v>51</v>
      </c>
      <c r="AE28" s="1" t="s">
        <v>47</v>
      </c>
      <c r="AF28" s="1">
        <v>4</v>
      </c>
      <c r="AG28" s="1">
        <v>1428.19</v>
      </c>
      <c r="AH28" s="1">
        <v>10</v>
      </c>
      <c r="AI28" s="1">
        <v>5141.4799999999996</v>
      </c>
    </row>
    <row r="29" spans="1:35" x14ac:dyDescent="0.3">
      <c r="A29" s="1">
        <v>10297</v>
      </c>
      <c r="B29" s="1">
        <v>1052</v>
      </c>
      <c r="C29" s="2">
        <v>44969</v>
      </c>
      <c r="D29" s="2">
        <v>44970</v>
      </c>
      <c r="E29" s="1" t="s">
        <v>34</v>
      </c>
      <c r="F29" s="1" t="s">
        <v>29</v>
      </c>
      <c r="G29" s="1" t="s">
        <v>30</v>
      </c>
      <c r="H29" s="1" t="s">
        <v>44</v>
      </c>
      <c r="I29" s="1" t="s">
        <v>19</v>
      </c>
      <c r="J29" s="1" t="s">
        <v>20</v>
      </c>
      <c r="K29" s="1" t="s">
        <v>28</v>
      </c>
      <c r="L29" s="1">
        <v>4</v>
      </c>
      <c r="M29" s="1">
        <v>586.75</v>
      </c>
      <c r="N29" s="1">
        <v>10</v>
      </c>
      <c r="O29" s="1">
        <v>2112.3000000000002</v>
      </c>
      <c r="U29" s="1">
        <v>10132</v>
      </c>
      <c r="V29" s="1">
        <v>1812</v>
      </c>
      <c r="W29" s="2">
        <v>45155</v>
      </c>
      <c r="X29" s="2">
        <v>45163</v>
      </c>
      <c r="Y29" s="1" t="s">
        <v>34</v>
      </c>
      <c r="Z29" s="1" t="s">
        <v>29</v>
      </c>
      <c r="AA29" s="1" t="s">
        <v>24</v>
      </c>
      <c r="AB29" s="1" t="s">
        <v>35</v>
      </c>
      <c r="AC29" s="1" t="s">
        <v>57</v>
      </c>
      <c r="AD29" s="1" t="s">
        <v>58</v>
      </c>
      <c r="AE29" s="1" t="s">
        <v>47</v>
      </c>
      <c r="AF29" s="1">
        <v>4</v>
      </c>
      <c r="AG29" s="1">
        <v>3153.73</v>
      </c>
      <c r="AH29" s="1">
        <v>0</v>
      </c>
      <c r="AI29" s="1">
        <v>12614.92</v>
      </c>
    </row>
    <row r="30" spans="1:35" x14ac:dyDescent="0.3">
      <c r="A30" s="1">
        <v>10400</v>
      </c>
      <c r="B30" s="1">
        <v>1509</v>
      </c>
      <c r="C30" s="2">
        <v>44942</v>
      </c>
      <c r="D30" s="2">
        <v>44943</v>
      </c>
      <c r="E30" s="1" t="s">
        <v>34</v>
      </c>
      <c r="F30" s="1" t="s">
        <v>29</v>
      </c>
      <c r="G30" s="1" t="s">
        <v>30</v>
      </c>
      <c r="H30" s="1" t="s">
        <v>35</v>
      </c>
      <c r="I30" s="1" t="s">
        <v>52</v>
      </c>
      <c r="J30" s="1" t="s">
        <v>60</v>
      </c>
      <c r="K30" s="1" t="s">
        <v>21</v>
      </c>
      <c r="L30" s="1">
        <v>4</v>
      </c>
      <c r="M30" s="1">
        <v>3979.53</v>
      </c>
      <c r="N30" s="1">
        <v>10</v>
      </c>
      <c r="O30" s="1">
        <v>14326.31</v>
      </c>
      <c r="U30" s="1">
        <v>10297</v>
      </c>
      <c r="V30" s="1">
        <v>1052</v>
      </c>
      <c r="W30" s="2">
        <v>44969</v>
      </c>
      <c r="X30" s="2">
        <v>44970</v>
      </c>
      <c r="Y30" s="1" t="s">
        <v>34</v>
      </c>
      <c r="Z30" s="1" t="s">
        <v>29</v>
      </c>
      <c r="AA30" s="1" t="s">
        <v>30</v>
      </c>
      <c r="AB30" s="1" t="s">
        <v>44</v>
      </c>
      <c r="AC30" s="1" t="s">
        <v>19</v>
      </c>
      <c r="AD30" s="1" t="s">
        <v>20</v>
      </c>
      <c r="AE30" s="1" t="s">
        <v>28</v>
      </c>
      <c r="AF30" s="1">
        <v>4</v>
      </c>
      <c r="AG30" s="1">
        <v>586.75</v>
      </c>
      <c r="AH30" s="1">
        <v>10</v>
      </c>
      <c r="AI30" s="1">
        <v>2112.3000000000002</v>
      </c>
    </row>
    <row r="31" spans="1:35" x14ac:dyDescent="0.3">
      <c r="A31" s="1">
        <v>10079</v>
      </c>
      <c r="B31" s="1">
        <v>1454</v>
      </c>
      <c r="C31" s="2">
        <v>45246</v>
      </c>
      <c r="D31" s="2">
        <v>45254</v>
      </c>
      <c r="E31" s="1" t="s">
        <v>34</v>
      </c>
      <c r="F31" s="1" t="s">
        <v>16</v>
      </c>
      <c r="G31" s="1" t="s">
        <v>30</v>
      </c>
      <c r="H31" s="1" t="s">
        <v>35</v>
      </c>
      <c r="I31" s="1" t="s">
        <v>31</v>
      </c>
      <c r="J31" s="1" t="s">
        <v>32</v>
      </c>
      <c r="K31" s="1" t="s">
        <v>33</v>
      </c>
      <c r="L31" s="1">
        <v>5</v>
      </c>
      <c r="M31" s="1">
        <v>2291.86</v>
      </c>
      <c r="N31" s="1">
        <v>15</v>
      </c>
      <c r="O31" s="1">
        <v>9740.4</v>
      </c>
      <c r="U31" s="1">
        <v>10400</v>
      </c>
      <c r="V31" s="1">
        <v>1509</v>
      </c>
      <c r="W31" s="2">
        <v>44942</v>
      </c>
      <c r="X31" s="2">
        <v>44943</v>
      </c>
      <c r="Y31" s="1" t="s">
        <v>34</v>
      </c>
      <c r="Z31" s="1" t="s">
        <v>29</v>
      </c>
      <c r="AA31" s="1" t="s">
        <v>30</v>
      </c>
      <c r="AB31" s="1" t="s">
        <v>35</v>
      </c>
      <c r="AC31" s="1" t="s">
        <v>52</v>
      </c>
      <c r="AD31" s="1" t="s">
        <v>60</v>
      </c>
      <c r="AE31" s="1" t="s">
        <v>21</v>
      </c>
      <c r="AF31" s="1">
        <v>4</v>
      </c>
      <c r="AG31" s="1">
        <v>3979.53</v>
      </c>
      <c r="AH31" s="1">
        <v>10</v>
      </c>
      <c r="AI31" s="1">
        <v>14326.31</v>
      </c>
    </row>
    <row r="32" spans="1:35" x14ac:dyDescent="0.3">
      <c r="A32" s="1">
        <v>10010</v>
      </c>
      <c r="B32" s="1">
        <v>1121</v>
      </c>
      <c r="C32" s="2">
        <v>45139</v>
      </c>
      <c r="D32" s="2">
        <v>45147</v>
      </c>
      <c r="E32" s="1" t="s">
        <v>34</v>
      </c>
      <c r="F32" s="1" t="s">
        <v>38</v>
      </c>
      <c r="G32" s="1" t="s">
        <v>24</v>
      </c>
      <c r="H32" s="1" t="s">
        <v>35</v>
      </c>
      <c r="I32" s="1" t="s">
        <v>49</v>
      </c>
      <c r="J32" s="1" t="s">
        <v>50</v>
      </c>
      <c r="K32" s="1" t="s">
        <v>47</v>
      </c>
      <c r="L32" s="1">
        <v>5</v>
      </c>
      <c r="M32" s="1">
        <v>1780.66</v>
      </c>
      <c r="N32" s="1">
        <v>20</v>
      </c>
      <c r="O32" s="1">
        <v>7122.64</v>
      </c>
      <c r="U32" s="1">
        <v>10079</v>
      </c>
      <c r="V32" s="1">
        <v>1454</v>
      </c>
      <c r="W32" s="2">
        <v>45246</v>
      </c>
      <c r="X32" s="2">
        <v>45254</v>
      </c>
      <c r="Y32" s="1" t="s">
        <v>34</v>
      </c>
      <c r="Z32" s="1" t="s">
        <v>16</v>
      </c>
      <c r="AA32" s="1" t="s">
        <v>30</v>
      </c>
      <c r="AB32" s="1" t="s">
        <v>35</v>
      </c>
      <c r="AC32" s="1" t="s">
        <v>31</v>
      </c>
      <c r="AD32" s="1" t="s">
        <v>32</v>
      </c>
      <c r="AE32" s="1" t="s">
        <v>33</v>
      </c>
      <c r="AF32" s="1">
        <v>5</v>
      </c>
      <c r="AG32" s="1">
        <v>2291.86</v>
      </c>
      <c r="AH32" s="1">
        <v>15</v>
      </c>
      <c r="AI32" s="1">
        <v>9740.4</v>
      </c>
    </row>
    <row r="33" spans="1:35" x14ac:dyDescent="0.3">
      <c r="A33" s="1">
        <v>10007</v>
      </c>
      <c r="B33" s="1">
        <v>1700</v>
      </c>
      <c r="C33" s="2">
        <v>45050</v>
      </c>
      <c r="D33" s="2">
        <v>45054</v>
      </c>
      <c r="E33" s="1" t="s">
        <v>34</v>
      </c>
      <c r="F33" s="1" t="s">
        <v>41</v>
      </c>
      <c r="G33" s="1" t="s">
        <v>17</v>
      </c>
      <c r="H33" s="1" t="s">
        <v>44</v>
      </c>
      <c r="I33" s="1" t="s">
        <v>31</v>
      </c>
      <c r="J33" s="1" t="s">
        <v>32</v>
      </c>
      <c r="K33" s="1" t="s">
        <v>45</v>
      </c>
      <c r="L33" s="1">
        <v>5</v>
      </c>
      <c r="M33" s="1">
        <v>3030.42</v>
      </c>
      <c r="N33" s="1">
        <v>10</v>
      </c>
      <c r="O33" s="1">
        <v>13636.89</v>
      </c>
      <c r="U33" s="1">
        <v>10010</v>
      </c>
      <c r="V33" s="1">
        <v>1121</v>
      </c>
      <c r="W33" s="2">
        <v>45139</v>
      </c>
      <c r="X33" s="2">
        <v>45147</v>
      </c>
      <c r="Y33" s="1" t="s">
        <v>34</v>
      </c>
      <c r="Z33" s="1" t="s">
        <v>38</v>
      </c>
      <c r="AA33" s="1" t="s">
        <v>24</v>
      </c>
      <c r="AB33" s="1" t="s">
        <v>35</v>
      </c>
      <c r="AC33" s="1" t="s">
        <v>49</v>
      </c>
      <c r="AD33" s="1" t="s">
        <v>50</v>
      </c>
      <c r="AE33" s="1" t="s">
        <v>47</v>
      </c>
      <c r="AF33" s="1">
        <v>5</v>
      </c>
      <c r="AG33" s="1">
        <v>1780.66</v>
      </c>
      <c r="AH33" s="1">
        <v>20</v>
      </c>
      <c r="AI33" s="1">
        <v>7122.64</v>
      </c>
    </row>
    <row r="34" spans="1:35" x14ac:dyDescent="0.3">
      <c r="A34" s="1">
        <v>10198</v>
      </c>
      <c r="B34" s="1">
        <v>1240</v>
      </c>
      <c r="C34" s="2">
        <v>45291</v>
      </c>
      <c r="D34" s="2">
        <v>45292</v>
      </c>
      <c r="E34" s="1" t="s">
        <v>34</v>
      </c>
      <c r="F34" s="1" t="s">
        <v>41</v>
      </c>
      <c r="G34" s="1" t="s">
        <v>17</v>
      </c>
      <c r="H34" s="1" t="s">
        <v>42</v>
      </c>
      <c r="I34" s="1" t="s">
        <v>19</v>
      </c>
      <c r="J34" s="1" t="s">
        <v>66</v>
      </c>
      <c r="K34" s="1" t="s">
        <v>45</v>
      </c>
      <c r="L34" s="1">
        <v>5</v>
      </c>
      <c r="M34" s="1">
        <v>1227.02</v>
      </c>
      <c r="N34" s="1">
        <v>15</v>
      </c>
      <c r="O34" s="1">
        <v>5214.84</v>
      </c>
      <c r="U34" s="1">
        <v>10007</v>
      </c>
      <c r="V34" s="1">
        <v>1700</v>
      </c>
      <c r="W34" s="2">
        <v>45050</v>
      </c>
      <c r="X34" s="2">
        <v>45054</v>
      </c>
      <c r="Y34" s="1" t="s">
        <v>34</v>
      </c>
      <c r="Z34" s="1" t="s">
        <v>41</v>
      </c>
      <c r="AA34" s="1" t="s">
        <v>17</v>
      </c>
      <c r="AB34" s="1" t="s">
        <v>44</v>
      </c>
      <c r="AC34" s="1" t="s">
        <v>31</v>
      </c>
      <c r="AD34" s="1" t="s">
        <v>32</v>
      </c>
      <c r="AE34" s="1" t="s">
        <v>45</v>
      </c>
      <c r="AF34" s="1">
        <v>5</v>
      </c>
      <c r="AG34" s="1">
        <v>3030.42</v>
      </c>
      <c r="AH34" s="1">
        <v>10</v>
      </c>
      <c r="AI34" s="1">
        <v>13636.89</v>
      </c>
    </row>
    <row r="35" spans="1:35" x14ac:dyDescent="0.3">
      <c r="A35" s="1">
        <v>10151</v>
      </c>
      <c r="B35" s="1">
        <v>1489</v>
      </c>
      <c r="C35" s="2">
        <v>45240</v>
      </c>
      <c r="D35" s="2">
        <v>45241</v>
      </c>
      <c r="E35" s="1" t="s">
        <v>34</v>
      </c>
      <c r="F35" s="1" t="s">
        <v>29</v>
      </c>
      <c r="G35" s="1" t="s">
        <v>30</v>
      </c>
      <c r="H35" s="1" t="s">
        <v>18</v>
      </c>
      <c r="I35" s="1" t="s">
        <v>49</v>
      </c>
      <c r="J35" s="1" t="s">
        <v>63</v>
      </c>
      <c r="K35" s="1" t="s">
        <v>47</v>
      </c>
      <c r="L35" s="1">
        <v>5</v>
      </c>
      <c r="M35" s="1">
        <v>1461.1</v>
      </c>
      <c r="N35" s="1">
        <v>15</v>
      </c>
      <c r="O35" s="1">
        <v>6209.68</v>
      </c>
      <c r="U35" s="1">
        <v>10198</v>
      </c>
      <c r="V35" s="1">
        <v>1240</v>
      </c>
      <c r="W35" s="2">
        <v>45291</v>
      </c>
      <c r="X35" s="2">
        <v>45292</v>
      </c>
      <c r="Y35" s="1" t="s">
        <v>34</v>
      </c>
      <c r="Z35" s="1" t="s">
        <v>41</v>
      </c>
      <c r="AA35" s="1" t="s">
        <v>17</v>
      </c>
      <c r="AB35" s="1" t="s">
        <v>42</v>
      </c>
      <c r="AC35" s="1" t="s">
        <v>19</v>
      </c>
      <c r="AD35" s="1" t="s">
        <v>66</v>
      </c>
      <c r="AE35" s="1" t="s">
        <v>45</v>
      </c>
      <c r="AF35" s="1">
        <v>5</v>
      </c>
      <c r="AG35" s="1">
        <v>1227.02</v>
      </c>
      <c r="AH35" s="1">
        <v>15</v>
      </c>
      <c r="AI35" s="1">
        <v>5214.84</v>
      </c>
    </row>
    <row r="36" spans="1:35" x14ac:dyDescent="0.3">
      <c r="A36" s="1">
        <v>10176</v>
      </c>
      <c r="B36" s="1">
        <v>1942</v>
      </c>
      <c r="C36" s="2">
        <v>45166</v>
      </c>
      <c r="D36" s="2">
        <v>45168</v>
      </c>
      <c r="E36" s="1" t="s">
        <v>34</v>
      </c>
      <c r="F36" s="1" t="s">
        <v>29</v>
      </c>
      <c r="G36" s="1" t="s">
        <v>30</v>
      </c>
      <c r="H36" s="1" t="s">
        <v>25</v>
      </c>
      <c r="I36" s="1" t="s">
        <v>31</v>
      </c>
      <c r="J36" s="1" t="s">
        <v>39</v>
      </c>
      <c r="K36" s="1" t="s">
        <v>45</v>
      </c>
      <c r="L36" s="1">
        <v>5</v>
      </c>
      <c r="M36" s="1">
        <v>1551.83</v>
      </c>
      <c r="N36" s="1">
        <v>5</v>
      </c>
      <c r="O36" s="1">
        <v>7371.19</v>
      </c>
      <c r="U36" s="1">
        <v>10151</v>
      </c>
      <c r="V36" s="1">
        <v>1489</v>
      </c>
      <c r="W36" s="2">
        <v>45240</v>
      </c>
      <c r="X36" s="2">
        <v>45241</v>
      </c>
      <c r="Y36" s="1" t="s">
        <v>34</v>
      </c>
      <c r="Z36" s="1" t="s">
        <v>29</v>
      </c>
      <c r="AA36" s="1" t="s">
        <v>30</v>
      </c>
      <c r="AB36" s="1" t="s">
        <v>18</v>
      </c>
      <c r="AC36" s="1" t="s">
        <v>49</v>
      </c>
      <c r="AD36" s="1" t="s">
        <v>63</v>
      </c>
      <c r="AE36" s="1" t="s">
        <v>47</v>
      </c>
      <c r="AF36" s="1">
        <v>5</v>
      </c>
      <c r="AG36" s="1">
        <v>1461.1</v>
      </c>
      <c r="AH36" s="1">
        <v>15</v>
      </c>
      <c r="AI36" s="1">
        <v>6209.68</v>
      </c>
    </row>
    <row r="37" spans="1:35" x14ac:dyDescent="0.3">
      <c r="A37" s="1">
        <v>10159</v>
      </c>
      <c r="B37" s="1">
        <v>1929</v>
      </c>
      <c r="C37" s="2">
        <v>45109</v>
      </c>
      <c r="D37" s="2">
        <v>45113</v>
      </c>
      <c r="E37" s="1" t="s">
        <v>34</v>
      </c>
      <c r="F37" s="1" t="s">
        <v>16</v>
      </c>
      <c r="G37" s="1" t="s">
        <v>24</v>
      </c>
      <c r="H37" s="1" t="s">
        <v>25</v>
      </c>
      <c r="I37" s="1" t="s">
        <v>49</v>
      </c>
      <c r="J37" s="1" t="s">
        <v>68</v>
      </c>
      <c r="K37" s="1" t="s">
        <v>45</v>
      </c>
      <c r="L37" s="1">
        <v>6</v>
      </c>
      <c r="M37" s="1">
        <v>3800.77</v>
      </c>
      <c r="N37" s="1">
        <v>0</v>
      </c>
      <c r="O37" s="1">
        <v>22804.62</v>
      </c>
      <c r="U37" s="1">
        <v>10176</v>
      </c>
      <c r="V37" s="1">
        <v>1942</v>
      </c>
      <c r="W37" s="2">
        <v>45166</v>
      </c>
      <c r="X37" s="2">
        <v>45168</v>
      </c>
      <c r="Y37" s="1" t="s">
        <v>34</v>
      </c>
      <c r="Z37" s="1" t="s">
        <v>29</v>
      </c>
      <c r="AA37" s="1" t="s">
        <v>30</v>
      </c>
      <c r="AB37" s="1" t="s">
        <v>25</v>
      </c>
      <c r="AC37" s="1" t="s">
        <v>31</v>
      </c>
      <c r="AD37" s="1" t="s">
        <v>39</v>
      </c>
      <c r="AE37" s="1" t="s">
        <v>45</v>
      </c>
      <c r="AF37" s="1">
        <v>5</v>
      </c>
      <c r="AG37" s="1">
        <v>1551.83</v>
      </c>
      <c r="AH37" s="1">
        <v>5</v>
      </c>
      <c r="AI37" s="1">
        <v>7371.19</v>
      </c>
    </row>
    <row r="38" spans="1:35" x14ac:dyDescent="0.3">
      <c r="A38" s="1">
        <v>10011</v>
      </c>
      <c r="B38" s="1">
        <v>1466</v>
      </c>
      <c r="C38" s="2">
        <v>45098</v>
      </c>
      <c r="D38" s="2">
        <v>45106</v>
      </c>
      <c r="E38" s="1" t="s">
        <v>34</v>
      </c>
      <c r="F38" s="1" t="s">
        <v>38</v>
      </c>
      <c r="G38" s="1" t="s">
        <v>17</v>
      </c>
      <c r="H38" s="1" t="s">
        <v>35</v>
      </c>
      <c r="I38" s="1" t="s">
        <v>49</v>
      </c>
      <c r="J38" s="1" t="s">
        <v>50</v>
      </c>
      <c r="K38" s="1" t="s">
        <v>33</v>
      </c>
      <c r="L38" s="1">
        <v>6</v>
      </c>
      <c r="M38" s="1">
        <v>3205.25</v>
      </c>
      <c r="N38" s="1">
        <v>0</v>
      </c>
      <c r="O38" s="1">
        <v>19231.5</v>
      </c>
      <c r="U38" s="1">
        <v>10159</v>
      </c>
      <c r="V38" s="1">
        <v>1929</v>
      </c>
      <c r="W38" s="2">
        <v>45109</v>
      </c>
      <c r="X38" s="2">
        <v>45113</v>
      </c>
      <c r="Y38" s="1" t="s">
        <v>34</v>
      </c>
      <c r="Z38" s="1" t="s">
        <v>16</v>
      </c>
      <c r="AA38" s="1" t="s">
        <v>24</v>
      </c>
      <c r="AB38" s="1" t="s">
        <v>25</v>
      </c>
      <c r="AC38" s="1" t="s">
        <v>49</v>
      </c>
      <c r="AD38" s="1" t="s">
        <v>68</v>
      </c>
      <c r="AE38" s="1" t="s">
        <v>45</v>
      </c>
      <c r="AF38" s="1">
        <v>6</v>
      </c>
      <c r="AG38" s="1">
        <v>3800.77</v>
      </c>
      <c r="AH38" s="1">
        <v>0</v>
      </c>
      <c r="AI38" s="1">
        <v>22804.62</v>
      </c>
    </row>
    <row r="39" spans="1:35" x14ac:dyDescent="0.3">
      <c r="A39" s="1">
        <v>10034</v>
      </c>
      <c r="B39" s="1">
        <v>1313</v>
      </c>
      <c r="C39" s="2">
        <v>45182</v>
      </c>
      <c r="D39" s="2">
        <v>45191</v>
      </c>
      <c r="E39" s="1" t="s">
        <v>34</v>
      </c>
      <c r="F39" s="1" t="s">
        <v>23</v>
      </c>
      <c r="G39" s="1" t="s">
        <v>30</v>
      </c>
      <c r="H39" s="1" t="s">
        <v>25</v>
      </c>
      <c r="I39" s="1" t="s">
        <v>31</v>
      </c>
      <c r="J39" s="1" t="s">
        <v>48</v>
      </c>
      <c r="K39" s="1" t="s">
        <v>47</v>
      </c>
      <c r="L39" s="1">
        <v>6</v>
      </c>
      <c r="M39" s="1">
        <v>1529.59</v>
      </c>
      <c r="N39" s="1">
        <v>0</v>
      </c>
      <c r="O39" s="1">
        <v>9177.5400000000009</v>
      </c>
      <c r="U39" s="1">
        <v>10011</v>
      </c>
      <c r="V39" s="1">
        <v>1466</v>
      </c>
      <c r="W39" s="2">
        <v>45098</v>
      </c>
      <c r="X39" s="2">
        <v>45106</v>
      </c>
      <c r="Y39" s="1" t="s">
        <v>34</v>
      </c>
      <c r="Z39" s="1" t="s">
        <v>38</v>
      </c>
      <c r="AA39" s="1" t="s">
        <v>17</v>
      </c>
      <c r="AB39" s="1" t="s">
        <v>35</v>
      </c>
      <c r="AC39" s="1" t="s">
        <v>49</v>
      </c>
      <c r="AD39" s="1" t="s">
        <v>50</v>
      </c>
      <c r="AE39" s="1" t="s">
        <v>33</v>
      </c>
      <c r="AF39" s="1">
        <v>6</v>
      </c>
      <c r="AG39" s="1">
        <v>3205.25</v>
      </c>
      <c r="AH39" s="1">
        <v>0</v>
      </c>
      <c r="AI39" s="1">
        <v>19231.5</v>
      </c>
    </row>
    <row r="40" spans="1:35" x14ac:dyDescent="0.3">
      <c r="A40" s="1">
        <v>10195</v>
      </c>
      <c r="B40" s="1">
        <v>1574</v>
      </c>
      <c r="C40" s="2">
        <v>45044</v>
      </c>
      <c r="D40" s="2">
        <v>45045</v>
      </c>
      <c r="E40" s="1" t="s">
        <v>34</v>
      </c>
      <c r="F40" s="1" t="s">
        <v>23</v>
      </c>
      <c r="G40" s="1" t="s">
        <v>17</v>
      </c>
      <c r="H40" s="1" t="s">
        <v>35</v>
      </c>
      <c r="I40" s="1" t="s">
        <v>31</v>
      </c>
      <c r="J40" s="1" t="s">
        <v>65</v>
      </c>
      <c r="K40" s="1" t="s">
        <v>47</v>
      </c>
      <c r="L40" s="1">
        <v>6</v>
      </c>
      <c r="M40" s="1">
        <v>344.65</v>
      </c>
      <c r="N40" s="1">
        <v>10</v>
      </c>
      <c r="O40" s="1">
        <v>1861.11</v>
      </c>
      <c r="U40" s="1">
        <v>10034</v>
      </c>
      <c r="V40" s="1">
        <v>1313</v>
      </c>
      <c r="W40" s="2">
        <v>45182</v>
      </c>
      <c r="X40" s="2">
        <v>45191</v>
      </c>
      <c r="Y40" s="1" t="s">
        <v>34</v>
      </c>
      <c r="Z40" s="1" t="s">
        <v>23</v>
      </c>
      <c r="AA40" s="1" t="s">
        <v>30</v>
      </c>
      <c r="AB40" s="1" t="s">
        <v>25</v>
      </c>
      <c r="AC40" s="1" t="s">
        <v>31</v>
      </c>
      <c r="AD40" s="1" t="s">
        <v>48</v>
      </c>
      <c r="AE40" s="1" t="s">
        <v>47</v>
      </c>
      <c r="AF40" s="1">
        <v>6</v>
      </c>
      <c r="AG40" s="1">
        <v>1529.59</v>
      </c>
      <c r="AH40" s="1">
        <v>0</v>
      </c>
      <c r="AI40" s="1">
        <v>9177.5400000000009</v>
      </c>
    </row>
    <row r="41" spans="1:35" x14ac:dyDescent="0.3">
      <c r="A41" s="1">
        <v>10068</v>
      </c>
      <c r="B41" s="1">
        <v>1315</v>
      </c>
      <c r="C41" s="2">
        <v>45062</v>
      </c>
      <c r="D41" s="2">
        <v>45064</v>
      </c>
      <c r="E41" s="1" t="s">
        <v>34</v>
      </c>
      <c r="F41" s="1" t="s">
        <v>41</v>
      </c>
      <c r="G41" s="1" t="s">
        <v>30</v>
      </c>
      <c r="H41" s="1" t="s">
        <v>44</v>
      </c>
      <c r="I41" s="1" t="s">
        <v>31</v>
      </c>
      <c r="J41" s="1" t="s">
        <v>48</v>
      </c>
      <c r="K41" s="1" t="s">
        <v>28</v>
      </c>
      <c r="L41" s="1">
        <v>6</v>
      </c>
      <c r="M41" s="1">
        <v>1380.66</v>
      </c>
      <c r="N41" s="1">
        <v>0</v>
      </c>
      <c r="O41" s="1">
        <v>8283.9599999999991</v>
      </c>
      <c r="U41" s="1">
        <v>10195</v>
      </c>
      <c r="V41" s="1">
        <v>1574</v>
      </c>
      <c r="W41" s="2">
        <v>45044</v>
      </c>
      <c r="X41" s="2">
        <v>45045</v>
      </c>
      <c r="Y41" s="1" t="s">
        <v>34</v>
      </c>
      <c r="Z41" s="1" t="s">
        <v>23</v>
      </c>
      <c r="AA41" s="1" t="s">
        <v>17</v>
      </c>
      <c r="AB41" s="1" t="s">
        <v>35</v>
      </c>
      <c r="AC41" s="1" t="s">
        <v>31</v>
      </c>
      <c r="AD41" s="1" t="s">
        <v>65</v>
      </c>
      <c r="AE41" s="1" t="s">
        <v>47</v>
      </c>
      <c r="AF41" s="1">
        <v>6</v>
      </c>
      <c r="AG41" s="1">
        <v>344.65</v>
      </c>
      <c r="AH41" s="1">
        <v>10</v>
      </c>
      <c r="AI41" s="1">
        <v>1861.11</v>
      </c>
    </row>
    <row r="42" spans="1:35" x14ac:dyDescent="0.3">
      <c r="A42" s="1">
        <v>10284</v>
      </c>
      <c r="B42" s="1">
        <v>1112</v>
      </c>
      <c r="C42" s="2">
        <v>45087</v>
      </c>
      <c r="D42" s="2">
        <v>45093</v>
      </c>
      <c r="E42" s="1" t="s">
        <v>34</v>
      </c>
      <c r="F42" s="1" t="s">
        <v>41</v>
      </c>
      <c r="G42" s="1" t="s">
        <v>24</v>
      </c>
      <c r="H42" s="1" t="s">
        <v>35</v>
      </c>
      <c r="I42" s="1" t="s">
        <v>49</v>
      </c>
      <c r="J42" s="1" t="s">
        <v>51</v>
      </c>
      <c r="K42" s="1" t="s">
        <v>28</v>
      </c>
      <c r="L42" s="1">
        <v>6</v>
      </c>
      <c r="M42" s="1">
        <v>1605.69</v>
      </c>
      <c r="N42" s="1">
        <v>15</v>
      </c>
      <c r="O42" s="1">
        <v>8189.02</v>
      </c>
      <c r="U42" s="1">
        <v>10068</v>
      </c>
      <c r="V42" s="1">
        <v>1315</v>
      </c>
      <c r="W42" s="2">
        <v>45062</v>
      </c>
      <c r="X42" s="2">
        <v>45064</v>
      </c>
      <c r="Y42" s="1" t="s">
        <v>34</v>
      </c>
      <c r="Z42" s="1" t="s">
        <v>41</v>
      </c>
      <c r="AA42" s="1" t="s">
        <v>30</v>
      </c>
      <c r="AB42" s="1" t="s">
        <v>44</v>
      </c>
      <c r="AC42" s="1" t="s">
        <v>31</v>
      </c>
      <c r="AD42" s="1" t="s">
        <v>48</v>
      </c>
      <c r="AE42" s="1" t="s">
        <v>28</v>
      </c>
      <c r="AF42" s="1">
        <v>6</v>
      </c>
      <c r="AG42" s="1">
        <v>1380.66</v>
      </c>
      <c r="AH42" s="1">
        <v>0</v>
      </c>
      <c r="AI42" s="1">
        <v>8283.9599999999991</v>
      </c>
    </row>
    <row r="43" spans="1:35" x14ac:dyDescent="0.3">
      <c r="A43" s="1">
        <v>10371</v>
      </c>
      <c r="B43" s="1">
        <v>1253</v>
      </c>
      <c r="C43" s="2">
        <v>44973</v>
      </c>
      <c r="D43" s="2">
        <v>44979</v>
      </c>
      <c r="E43" s="1" t="s">
        <v>34</v>
      </c>
      <c r="F43" s="1" t="s">
        <v>41</v>
      </c>
      <c r="G43" s="1" t="s">
        <v>17</v>
      </c>
      <c r="H43" s="1" t="s">
        <v>18</v>
      </c>
      <c r="I43" s="1" t="s">
        <v>49</v>
      </c>
      <c r="J43" s="1" t="s">
        <v>68</v>
      </c>
      <c r="K43" s="1" t="s">
        <v>47</v>
      </c>
      <c r="L43" s="1">
        <v>6</v>
      </c>
      <c r="M43" s="1">
        <v>2715.13</v>
      </c>
      <c r="N43" s="1">
        <v>20</v>
      </c>
      <c r="O43" s="1">
        <v>13032.62</v>
      </c>
      <c r="U43" s="1">
        <v>10284</v>
      </c>
      <c r="V43" s="1">
        <v>1112</v>
      </c>
      <c r="W43" s="2">
        <v>45087</v>
      </c>
      <c r="X43" s="2">
        <v>45093</v>
      </c>
      <c r="Y43" s="1" t="s">
        <v>34</v>
      </c>
      <c r="Z43" s="1" t="s">
        <v>41</v>
      </c>
      <c r="AA43" s="1" t="s">
        <v>24</v>
      </c>
      <c r="AB43" s="1" t="s">
        <v>35</v>
      </c>
      <c r="AC43" s="1" t="s">
        <v>49</v>
      </c>
      <c r="AD43" s="1" t="s">
        <v>51</v>
      </c>
      <c r="AE43" s="1" t="s">
        <v>28</v>
      </c>
      <c r="AF43" s="1">
        <v>6</v>
      </c>
      <c r="AG43" s="1">
        <v>1605.69</v>
      </c>
      <c r="AH43" s="1">
        <v>15</v>
      </c>
      <c r="AI43" s="1">
        <v>8189.02</v>
      </c>
    </row>
    <row r="44" spans="1:35" x14ac:dyDescent="0.3">
      <c r="A44" s="1">
        <v>10279</v>
      </c>
      <c r="B44" s="1">
        <v>1612</v>
      </c>
      <c r="C44" s="2">
        <v>45013</v>
      </c>
      <c r="D44" s="2">
        <v>45018</v>
      </c>
      <c r="E44" s="1" t="s">
        <v>34</v>
      </c>
      <c r="F44" s="1" t="s">
        <v>29</v>
      </c>
      <c r="G44" s="1" t="s">
        <v>24</v>
      </c>
      <c r="H44" s="1" t="s">
        <v>35</v>
      </c>
      <c r="I44" s="1" t="s">
        <v>52</v>
      </c>
      <c r="J44" s="1" t="s">
        <v>60</v>
      </c>
      <c r="K44" s="1" t="s">
        <v>28</v>
      </c>
      <c r="L44" s="1">
        <v>6</v>
      </c>
      <c r="M44" s="1">
        <v>3574.87</v>
      </c>
      <c r="N44" s="1">
        <v>0</v>
      </c>
      <c r="O44" s="1">
        <v>21449.22</v>
      </c>
      <c r="U44" s="1">
        <v>10371</v>
      </c>
      <c r="V44" s="1">
        <v>1253</v>
      </c>
      <c r="W44" s="2">
        <v>44973</v>
      </c>
      <c r="X44" s="2">
        <v>44979</v>
      </c>
      <c r="Y44" s="1" t="s">
        <v>34</v>
      </c>
      <c r="Z44" s="1" t="s">
        <v>41</v>
      </c>
      <c r="AA44" s="1" t="s">
        <v>17</v>
      </c>
      <c r="AB44" s="1" t="s">
        <v>18</v>
      </c>
      <c r="AC44" s="1" t="s">
        <v>49</v>
      </c>
      <c r="AD44" s="1" t="s">
        <v>68</v>
      </c>
      <c r="AE44" s="1" t="s">
        <v>47</v>
      </c>
      <c r="AF44" s="1">
        <v>6</v>
      </c>
      <c r="AG44" s="1">
        <v>2715.13</v>
      </c>
      <c r="AH44" s="1">
        <v>20</v>
      </c>
      <c r="AI44" s="1">
        <v>13032.62</v>
      </c>
    </row>
    <row r="45" spans="1:35" x14ac:dyDescent="0.3">
      <c r="A45" s="1">
        <v>10349</v>
      </c>
      <c r="B45" s="1">
        <v>1871</v>
      </c>
      <c r="C45" s="2">
        <v>45174</v>
      </c>
      <c r="D45" s="2">
        <v>45177</v>
      </c>
      <c r="E45" s="1" t="s">
        <v>34</v>
      </c>
      <c r="F45" s="1" t="s">
        <v>29</v>
      </c>
      <c r="G45" s="1" t="s">
        <v>30</v>
      </c>
      <c r="H45" s="1" t="s">
        <v>25</v>
      </c>
      <c r="I45" s="1" t="s">
        <v>19</v>
      </c>
      <c r="J45" s="1" t="s">
        <v>55</v>
      </c>
      <c r="K45" s="1" t="s">
        <v>47</v>
      </c>
      <c r="L45" s="1">
        <v>6</v>
      </c>
      <c r="M45" s="1">
        <v>3281.72</v>
      </c>
      <c r="N45" s="1">
        <v>5</v>
      </c>
      <c r="O45" s="1">
        <v>18705.8</v>
      </c>
      <c r="U45" s="1">
        <v>10279</v>
      </c>
      <c r="V45" s="1">
        <v>1612</v>
      </c>
      <c r="W45" s="2">
        <v>45013</v>
      </c>
      <c r="X45" s="2">
        <v>45018</v>
      </c>
      <c r="Y45" s="1" t="s">
        <v>34</v>
      </c>
      <c r="Z45" s="1" t="s">
        <v>29</v>
      </c>
      <c r="AA45" s="1" t="s">
        <v>24</v>
      </c>
      <c r="AB45" s="1" t="s">
        <v>35</v>
      </c>
      <c r="AC45" s="1" t="s">
        <v>52</v>
      </c>
      <c r="AD45" s="1" t="s">
        <v>60</v>
      </c>
      <c r="AE45" s="1" t="s">
        <v>28</v>
      </c>
      <c r="AF45" s="1">
        <v>6</v>
      </c>
      <c r="AG45" s="1">
        <v>3574.87</v>
      </c>
      <c r="AH45" s="1">
        <v>0</v>
      </c>
      <c r="AI45" s="1">
        <v>21449.22</v>
      </c>
    </row>
    <row r="46" spans="1:35" x14ac:dyDescent="0.3">
      <c r="A46" s="1">
        <v>10185</v>
      </c>
      <c r="B46" s="1">
        <v>1870</v>
      </c>
      <c r="C46" s="2">
        <v>45016</v>
      </c>
      <c r="D46" s="2">
        <v>45023</v>
      </c>
      <c r="E46" s="1" t="s">
        <v>34</v>
      </c>
      <c r="F46" s="1" t="s">
        <v>16</v>
      </c>
      <c r="G46" s="1" t="s">
        <v>17</v>
      </c>
      <c r="H46" s="1" t="s">
        <v>18</v>
      </c>
      <c r="I46" s="1" t="s">
        <v>31</v>
      </c>
      <c r="J46" s="1" t="s">
        <v>39</v>
      </c>
      <c r="K46" s="1" t="s">
        <v>47</v>
      </c>
      <c r="L46" s="1">
        <v>7</v>
      </c>
      <c r="M46" s="1">
        <v>898.62</v>
      </c>
      <c r="N46" s="1">
        <v>0</v>
      </c>
      <c r="O46" s="1">
        <v>6290.34</v>
      </c>
      <c r="U46" s="1">
        <v>10349</v>
      </c>
      <c r="V46" s="1">
        <v>1871</v>
      </c>
      <c r="W46" s="2">
        <v>45174</v>
      </c>
      <c r="X46" s="2">
        <v>45177</v>
      </c>
      <c r="Y46" s="1" t="s">
        <v>34</v>
      </c>
      <c r="Z46" s="1" t="s">
        <v>29</v>
      </c>
      <c r="AA46" s="1" t="s">
        <v>30</v>
      </c>
      <c r="AB46" s="1" t="s">
        <v>25</v>
      </c>
      <c r="AC46" s="1" t="s">
        <v>19</v>
      </c>
      <c r="AD46" s="1" t="s">
        <v>55</v>
      </c>
      <c r="AE46" s="1" t="s">
        <v>47</v>
      </c>
      <c r="AF46" s="1">
        <v>6</v>
      </c>
      <c r="AG46" s="1">
        <v>3281.72</v>
      </c>
      <c r="AH46" s="1">
        <v>5</v>
      </c>
      <c r="AI46" s="1">
        <v>18705.8</v>
      </c>
    </row>
    <row r="47" spans="1:35" x14ac:dyDescent="0.3">
      <c r="A47" s="1">
        <v>10131</v>
      </c>
      <c r="B47" s="1">
        <v>1014</v>
      </c>
      <c r="C47" s="2">
        <v>45142</v>
      </c>
      <c r="D47" s="2">
        <v>45151</v>
      </c>
      <c r="E47" s="1" t="s">
        <v>34</v>
      </c>
      <c r="F47" s="1" t="s">
        <v>38</v>
      </c>
      <c r="G47" s="1" t="s">
        <v>24</v>
      </c>
      <c r="H47" s="1" t="s">
        <v>44</v>
      </c>
      <c r="I47" s="1" t="s">
        <v>31</v>
      </c>
      <c r="J47" s="1" t="s">
        <v>32</v>
      </c>
      <c r="K47" s="1" t="s">
        <v>21</v>
      </c>
      <c r="L47" s="1">
        <v>7</v>
      </c>
      <c r="M47" s="1">
        <v>1899.45</v>
      </c>
      <c r="N47" s="1">
        <v>15</v>
      </c>
      <c r="O47" s="1">
        <v>11301.73</v>
      </c>
      <c r="U47" s="1">
        <v>10185</v>
      </c>
      <c r="V47" s="1">
        <v>1870</v>
      </c>
      <c r="W47" s="2">
        <v>45016</v>
      </c>
      <c r="X47" s="2">
        <v>45023</v>
      </c>
      <c r="Y47" s="1" t="s">
        <v>34</v>
      </c>
      <c r="Z47" s="1" t="s">
        <v>16</v>
      </c>
      <c r="AA47" s="1" t="s">
        <v>17</v>
      </c>
      <c r="AB47" s="1" t="s">
        <v>18</v>
      </c>
      <c r="AC47" s="1" t="s">
        <v>31</v>
      </c>
      <c r="AD47" s="1" t="s">
        <v>39</v>
      </c>
      <c r="AE47" s="1" t="s">
        <v>47</v>
      </c>
      <c r="AF47" s="1">
        <v>7</v>
      </c>
      <c r="AG47" s="1">
        <v>898.62</v>
      </c>
      <c r="AH47" s="1">
        <v>0</v>
      </c>
      <c r="AI47" s="1">
        <v>6290.34</v>
      </c>
    </row>
    <row r="48" spans="1:35" x14ac:dyDescent="0.3">
      <c r="A48" s="1">
        <v>10482</v>
      </c>
      <c r="B48" s="1">
        <v>1606</v>
      </c>
      <c r="C48" s="2">
        <v>45153</v>
      </c>
      <c r="D48" s="2">
        <v>45162</v>
      </c>
      <c r="E48" s="1" t="s">
        <v>34</v>
      </c>
      <c r="F48" s="1" t="s">
        <v>54</v>
      </c>
      <c r="G48" s="1" t="s">
        <v>24</v>
      </c>
      <c r="H48" s="1" t="s">
        <v>25</v>
      </c>
      <c r="I48" s="1" t="s">
        <v>57</v>
      </c>
      <c r="J48" s="1" t="s">
        <v>67</v>
      </c>
      <c r="K48" s="1" t="s">
        <v>33</v>
      </c>
      <c r="L48" s="1">
        <v>7</v>
      </c>
      <c r="M48" s="1">
        <v>2172.2399999999998</v>
      </c>
      <c r="N48" s="1">
        <v>20</v>
      </c>
      <c r="O48" s="1">
        <v>12164.54</v>
      </c>
      <c r="U48" s="1">
        <v>10131</v>
      </c>
      <c r="V48" s="1">
        <v>1014</v>
      </c>
      <c r="W48" s="2">
        <v>45142</v>
      </c>
      <c r="X48" s="2">
        <v>45151</v>
      </c>
      <c r="Y48" s="1" t="s">
        <v>34</v>
      </c>
      <c r="Z48" s="1" t="s">
        <v>38</v>
      </c>
      <c r="AA48" s="1" t="s">
        <v>24</v>
      </c>
      <c r="AB48" s="1" t="s">
        <v>44</v>
      </c>
      <c r="AC48" s="1" t="s">
        <v>31</v>
      </c>
      <c r="AD48" s="1" t="s">
        <v>32</v>
      </c>
      <c r="AE48" s="1" t="s">
        <v>21</v>
      </c>
      <c r="AF48" s="1">
        <v>7</v>
      </c>
      <c r="AG48" s="1">
        <v>1899.45</v>
      </c>
      <c r="AH48" s="1">
        <v>15</v>
      </c>
      <c r="AI48" s="1">
        <v>11301.73</v>
      </c>
    </row>
    <row r="49" spans="1:35" x14ac:dyDescent="0.3">
      <c r="A49" s="1">
        <v>10039</v>
      </c>
      <c r="B49" s="1">
        <v>1560</v>
      </c>
      <c r="C49" s="2">
        <v>44948</v>
      </c>
      <c r="D49" s="2">
        <v>44953</v>
      </c>
      <c r="E49" s="1" t="s">
        <v>34</v>
      </c>
      <c r="F49" s="1" t="s">
        <v>41</v>
      </c>
      <c r="G49" s="1" t="s">
        <v>17</v>
      </c>
      <c r="H49" s="1" t="s">
        <v>18</v>
      </c>
      <c r="I49" s="1" t="s">
        <v>31</v>
      </c>
      <c r="J49" s="1" t="s">
        <v>48</v>
      </c>
      <c r="K49" s="1" t="s">
        <v>45</v>
      </c>
      <c r="L49" s="1">
        <v>7</v>
      </c>
      <c r="M49" s="1">
        <v>2369.42</v>
      </c>
      <c r="N49" s="1">
        <v>15</v>
      </c>
      <c r="O49" s="1">
        <v>14098.05</v>
      </c>
      <c r="U49" s="1">
        <v>10482</v>
      </c>
      <c r="V49" s="1">
        <v>1606</v>
      </c>
      <c r="W49" s="2">
        <v>45153</v>
      </c>
      <c r="X49" s="2">
        <v>45162</v>
      </c>
      <c r="Y49" s="1" t="s">
        <v>34</v>
      </c>
      <c r="Z49" s="1" t="s">
        <v>54</v>
      </c>
      <c r="AA49" s="1" t="s">
        <v>24</v>
      </c>
      <c r="AB49" s="1" t="s">
        <v>25</v>
      </c>
      <c r="AC49" s="1" t="s">
        <v>57</v>
      </c>
      <c r="AD49" s="1" t="s">
        <v>67</v>
      </c>
      <c r="AE49" s="1" t="s">
        <v>33</v>
      </c>
      <c r="AF49" s="1">
        <v>7</v>
      </c>
      <c r="AG49" s="1">
        <v>2172.2399999999998</v>
      </c>
      <c r="AH49" s="1">
        <v>20</v>
      </c>
      <c r="AI49" s="1">
        <v>12164.54</v>
      </c>
    </row>
    <row r="50" spans="1:35" x14ac:dyDescent="0.3">
      <c r="A50" s="1">
        <v>10238</v>
      </c>
      <c r="B50" s="1">
        <v>1224</v>
      </c>
      <c r="C50" s="2">
        <v>45089</v>
      </c>
      <c r="D50" s="2">
        <v>45093</v>
      </c>
      <c r="E50" s="1" t="s">
        <v>34</v>
      </c>
      <c r="F50" s="1" t="s">
        <v>38</v>
      </c>
      <c r="G50" s="1" t="s">
        <v>24</v>
      </c>
      <c r="H50" s="1" t="s">
        <v>35</v>
      </c>
      <c r="I50" s="1" t="s">
        <v>57</v>
      </c>
      <c r="J50" s="1" t="s">
        <v>62</v>
      </c>
      <c r="K50" s="1" t="s">
        <v>45</v>
      </c>
      <c r="L50" s="1">
        <v>8</v>
      </c>
      <c r="M50" s="1">
        <v>284.52</v>
      </c>
      <c r="N50" s="1">
        <v>15</v>
      </c>
      <c r="O50" s="1">
        <v>1934.74</v>
      </c>
      <c r="U50" s="1">
        <v>10039</v>
      </c>
      <c r="V50" s="1">
        <v>1560</v>
      </c>
      <c r="W50" s="2">
        <v>44948</v>
      </c>
      <c r="X50" s="2">
        <v>44953</v>
      </c>
      <c r="Y50" s="1" t="s">
        <v>34</v>
      </c>
      <c r="Z50" s="1" t="s">
        <v>41</v>
      </c>
      <c r="AA50" s="1" t="s">
        <v>17</v>
      </c>
      <c r="AB50" s="1" t="s">
        <v>18</v>
      </c>
      <c r="AC50" s="1" t="s">
        <v>31</v>
      </c>
      <c r="AD50" s="1" t="s">
        <v>48</v>
      </c>
      <c r="AE50" s="1" t="s">
        <v>45</v>
      </c>
      <c r="AF50" s="1">
        <v>7</v>
      </c>
      <c r="AG50" s="1">
        <v>2369.42</v>
      </c>
      <c r="AH50" s="1">
        <v>15</v>
      </c>
      <c r="AI50" s="1">
        <v>14098.05</v>
      </c>
    </row>
    <row r="51" spans="1:35" x14ac:dyDescent="0.3">
      <c r="A51" s="1">
        <v>10416</v>
      </c>
      <c r="B51" s="1">
        <v>1160</v>
      </c>
      <c r="C51" s="2">
        <v>44951</v>
      </c>
      <c r="D51" s="2">
        <v>44953</v>
      </c>
      <c r="E51" s="1" t="s">
        <v>34</v>
      </c>
      <c r="F51" s="1" t="s">
        <v>54</v>
      </c>
      <c r="G51" s="1" t="s">
        <v>24</v>
      </c>
      <c r="H51" s="1" t="s">
        <v>18</v>
      </c>
      <c r="I51" s="1" t="s">
        <v>49</v>
      </c>
      <c r="J51" s="1" t="s">
        <v>63</v>
      </c>
      <c r="K51" s="1" t="s">
        <v>33</v>
      </c>
      <c r="L51" s="1">
        <v>8</v>
      </c>
      <c r="M51" s="1">
        <v>2659.82</v>
      </c>
      <c r="N51" s="1">
        <v>0</v>
      </c>
      <c r="O51" s="1">
        <v>21278.560000000001</v>
      </c>
      <c r="U51" s="1">
        <v>10238</v>
      </c>
      <c r="V51" s="1">
        <v>1224</v>
      </c>
      <c r="W51" s="2">
        <v>45089</v>
      </c>
      <c r="X51" s="2">
        <v>45093</v>
      </c>
      <c r="Y51" s="1" t="s">
        <v>34</v>
      </c>
      <c r="Z51" s="1" t="s">
        <v>38</v>
      </c>
      <c r="AA51" s="1" t="s">
        <v>24</v>
      </c>
      <c r="AB51" s="1" t="s">
        <v>35</v>
      </c>
      <c r="AC51" s="1" t="s">
        <v>57</v>
      </c>
      <c r="AD51" s="1" t="s">
        <v>62</v>
      </c>
      <c r="AE51" s="1" t="s">
        <v>45</v>
      </c>
      <c r="AF51" s="1">
        <v>8</v>
      </c>
      <c r="AG51" s="1">
        <v>284.52</v>
      </c>
      <c r="AH51" s="1">
        <v>15</v>
      </c>
      <c r="AI51" s="1">
        <v>1934.74</v>
      </c>
    </row>
    <row r="52" spans="1:35" x14ac:dyDescent="0.3">
      <c r="A52" s="1">
        <v>10489</v>
      </c>
      <c r="B52" s="1">
        <v>1980</v>
      </c>
      <c r="C52" s="2">
        <v>45178</v>
      </c>
      <c r="D52" s="2">
        <v>45187</v>
      </c>
      <c r="E52" s="1" t="s">
        <v>34</v>
      </c>
      <c r="F52" s="1" t="s">
        <v>23</v>
      </c>
      <c r="G52" s="1" t="s">
        <v>24</v>
      </c>
      <c r="H52" s="1" t="s">
        <v>18</v>
      </c>
      <c r="I52" s="1" t="s">
        <v>57</v>
      </c>
      <c r="J52" s="1" t="s">
        <v>62</v>
      </c>
      <c r="K52" s="1" t="s">
        <v>33</v>
      </c>
      <c r="L52" s="1">
        <v>8</v>
      </c>
      <c r="M52" s="1">
        <v>2536.88</v>
      </c>
      <c r="N52" s="1">
        <v>5</v>
      </c>
      <c r="O52" s="1">
        <v>19280.29</v>
      </c>
      <c r="U52" s="1">
        <v>10416</v>
      </c>
      <c r="V52" s="1">
        <v>1160</v>
      </c>
      <c r="W52" s="2">
        <v>44951</v>
      </c>
      <c r="X52" s="2">
        <v>44953</v>
      </c>
      <c r="Y52" s="1" t="s">
        <v>34</v>
      </c>
      <c r="Z52" s="1" t="s">
        <v>54</v>
      </c>
      <c r="AA52" s="1" t="s">
        <v>24</v>
      </c>
      <c r="AB52" s="1" t="s">
        <v>18</v>
      </c>
      <c r="AC52" s="1" t="s">
        <v>49</v>
      </c>
      <c r="AD52" s="1" t="s">
        <v>63</v>
      </c>
      <c r="AE52" s="1" t="s">
        <v>33</v>
      </c>
      <c r="AF52" s="1">
        <v>8</v>
      </c>
      <c r="AG52" s="1">
        <v>2659.82</v>
      </c>
      <c r="AH52" s="1">
        <v>0</v>
      </c>
      <c r="AI52" s="1">
        <v>21278.560000000001</v>
      </c>
    </row>
    <row r="53" spans="1:35" x14ac:dyDescent="0.3">
      <c r="A53" s="1">
        <v>10360</v>
      </c>
      <c r="B53" s="1">
        <v>1610</v>
      </c>
      <c r="C53" s="2">
        <v>45123</v>
      </c>
      <c r="D53" s="2">
        <v>45124</v>
      </c>
      <c r="E53" s="1" t="s">
        <v>34</v>
      </c>
      <c r="F53" s="1" t="s">
        <v>41</v>
      </c>
      <c r="G53" s="1" t="s">
        <v>30</v>
      </c>
      <c r="H53" s="1" t="s">
        <v>42</v>
      </c>
      <c r="I53" s="1" t="s">
        <v>31</v>
      </c>
      <c r="J53" s="1" t="s">
        <v>32</v>
      </c>
      <c r="K53" s="1" t="s">
        <v>45</v>
      </c>
      <c r="L53" s="1">
        <v>8</v>
      </c>
      <c r="M53" s="1">
        <v>1392.5</v>
      </c>
      <c r="N53" s="1">
        <v>15</v>
      </c>
      <c r="O53" s="1">
        <v>9469</v>
      </c>
      <c r="U53" s="1">
        <v>10489</v>
      </c>
      <c r="V53" s="1">
        <v>1980</v>
      </c>
      <c r="W53" s="2">
        <v>45178</v>
      </c>
      <c r="X53" s="2">
        <v>45187</v>
      </c>
      <c r="Y53" s="1" t="s">
        <v>34</v>
      </c>
      <c r="Z53" s="1" t="s">
        <v>23</v>
      </c>
      <c r="AA53" s="1" t="s">
        <v>24</v>
      </c>
      <c r="AB53" s="1" t="s">
        <v>18</v>
      </c>
      <c r="AC53" s="1" t="s">
        <v>57</v>
      </c>
      <c r="AD53" s="1" t="s">
        <v>62</v>
      </c>
      <c r="AE53" s="1" t="s">
        <v>33</v>
      </c>
      <c r="AF53" s="1">
        <v>8</v>
      </c>
      <c r="AG53" s="1">
        <v>2536.88</v>
      </c>
      <c r="AH53" s="1">
        <v>5</v>
      </c>
      <c r="AI53" s="1">
        <v>19280.29</v>
      </c>
    </row>
    <row r="54" spans="1:35" x14ac:dyDescent="0.3">
      <c r="A54" s="1">
        <v>10481</v>
      </c>
      <c r="B54" s="1">
        <v>1180</v>
      </c>
      <c r="C54" s="2">
        <v>44947</v>
      </c>
      <c r="D54" s="2">
        <v>44955</v>
      </c>
      <c r="E54" s="1" t="s">
        <v>34</v>
      </c>
      <c r="F54" s="1" t="s">
        <v>41</v>
      </c>
      <c r="G54" s="1" t="s">
        <v>17</v>
      </c>
      <c r="H54" s="1" t="s">
        <v>44</v>
      </c>
      <c r="I54" s="1" t="s">
        <v>49</v>
      </c>
      <c r="J54" s="1" t="s">
        <v>50</v>
      </c>
      <c r="K54" s="1" t="s">
        <v>47</v>
      </c>
      <c r="L54" s="1">
        <v>8</v>
      </c>
      <c r="M54" s="1">
        <v>1160.51</v>
      </c>
      <c r="N54" s="1">
        <v>0</v>
      </c>
      <c r="O54" s="1">
        <v>9284.08</v>
      </c>
      <c r="U54" s="1">
        <v>10360</v>
      </c>
      <c r="V54" s="1">
        <v>1610</v>
      </c>
      <c r="W54" s="2">
        <v>45123</v>
      </c>
      <c r="X54" s="2">
        <v>45124</v>
      </c>
      <c r="Y54" s="1" t="s">
        <v>34</v>
      </c>
      <c r="Z54" s="1" t="s">
        <v>41</v>
      </c>
      <c r="AA54" s="1" t="s">
        <v>30</v>
      </c>
      <c r="AB54" s="1" t="s">
        <v>42</v>
      </c>
      <c r="AC54" s="1" t="s">
        <v>31</v>
      </c>
      <c r="AD54" s="1" t="s">
        <v>32</v>
      </c>
      <c r="AE54" s="1" t="s">
        <v>45</v>
      </c>
      <c r="AF54" s="1">
        <v>8</v>
      </c>
      <c r="AG54" s="1">
        <v>1392.5</v>
      </c>
      <c r="AH54" s="1">
        <v>15</v>
      </c>
      <c r="AI54" s="1">
        <v>9469</v>
      </c>
    </row>
    <row r="55" spans="1:35" x14ac:dyDescent="0.3">
      <c r="A55" s="1">
        <v>10470</v>
      </c>
      <c r="B55" s="1">
        <v>1045</v>
      </c>
      <c r="C55" s="2">
        <v>44927</v>
      </c>
      <c r="D55" s="2">
        <v>44936</v>
      </c>
      <c r="E55" s="1" t="s">
        <v>34</v>
      </c>
      <c r="F55" s="1" t="s">
        <v>29</v>
      </c>
      <c r="G55" s="1" t="s">
        <v>30</v>
      </c>
      <c r="H55" s="1" t="s">
        <v>18</v>
      </c>
      <c r="I55" s="1" t="s">
        <v>26</v>
      </c>
      <c r="J55" s="1" t="s">
        <v>36</v>
      </c>
      <c r="K55" s="1" t="s">
        <v>28</v>
      </c>
      <c r="L55" s="1">
        <v>8</v>
      </c>
      <c r="M55" s="1">
        <v>150.72</v>
      </c>
      <c r="N55" s="1">
        <v>5</v>
      </c>
      <c r="O55" s="1">
        <v>1145.47</v>
      </c>
      <c r="U55" s="1">
        <v>10481</v>
      </c>
      <c r="V55" s="1">
        <v>1180</v>
      </c>
      <c r="W55" s="2">
        <v>44947</v>
      </c>
      <c r="X55" s="2">
        <v>44955</v>
      </c>
      <c r="Y55" s="1" t="s">
        <v>34</v>
      </c>
      <c r="Z55" s="1" t="s">
        <v>41</v>
      </c>
      <c r="AA55" s="1" t="s">
        <v>17</v>
      </c>
      <c r="AB55" s="1" t="s">
        <v>44</v>
      </c>
      <c r="AC55" s="1" t="s">
        <v>49</v>
      </c>
      <c r="AD55" s="1" t="s">
        <v>50</v>
      </c>
      <c r="AE55" s="1" t="s">
        <v>47</v>
      </c>
      <c r="AF55" s="1">
        <v>8</v>
      </c>
      <c r="AG55" s="1">
        <v>1160.51</v>
      </c>
      <c r="AH55" s="1">
        <v>0</v>
      </c>
      <c r="AI55" s="1">
        <v>9284.08</v>
      </c>
    </row>
    <row r="56" spans="1:35" x14ac:dyDescent="0.3">
      <c r="A56" s="1">
        <v>10026</v>
      </c>
      <c r="B56" s="1">
        <v>1413</v>
      </c>
      <c r="C56" s="2">
        <v>45228</v>
      </c>
      <c r="D56" s="2">
        <v>45231</v>
      </c>
      <c r="E56" s="1" t="s">
        <v>34</v>
      </c>
      <c r="F56" s="1" t="s">
        <v>16</v>
      </c>
      <c r="G56" s="1" t="s">
        <v>30</v>
      </c>
      <c r="H56" s="1" t="s">
        <v>42</v>
      </c>
      <c r="I56" s="1" t="s">
        <v>52</v>
      </c>
      <c r="J56" s="1" t="s">
        <v>60</v>
      </c>
      <c r="K56" s="1" t="s">
        <v>33</v>
      </c>
      <c r="L56" s="1">
        <v>9</v>
      </c>
      <c r="M56" s="1">
        <v>444.29</v>
      </c>
      <c r="N56" s="1">
        <v>5</v>
      </c>
      <c r="O56" s="1">
        <v>3798.68</v>
      </c>
      <c r="U56" s="1">
        <v>10470</v>
      </c>
      <c r="V56" s="1">
        <v>1045</v>
      </c>
      <c r="W56" s="2">
        <v>44927</v>
      </c>
      <c r="X56" s="2">
        <v>44936</v>
      </c>
      <c r="Y56" s="1" t="s">
        <v>34</v>
      </c>
      <c r="Z56" s="1" t="s">
        <v>29</v>
      </c>
      <c r="AA56" s="1" t="s">
        <v>30</v>
      </c>
      <c r="AB56" s="1" t="s">
        <v>18</v>
      </c>
      <c r="AC56" s="1" t="s">
        <v>26</v>
      </c>
      <c r="AD56" s="1" t="s">
        <v>36</v>
      </c>
      <c r="AE56" s="1" t="s">
        <v>28</v>
      </c>
      <c r="AF56" s="1">
        <v>8</v>
      </c>
      <c r="AG56" s="1">
        <v>150.72</v>
      </c>
      <c r="AH56" s="1">
        <v>5</v>
      </c>
      <c r="AI56" s="1">
        <v>1145.47</v>
      </c>
    </row>
    <row r="57" spans="1:35" x14ac:dyDescent="0.3">
      <c r="A57" s="1">
        <v>10250</v>
      </c>
      <c r="B57" s="1">
        <v>1455</v>
      </c>
      <c r="C57" s="2">
        <v>45227</v>
      </c>
      <c r="D57" s="2">
        <v>45233</v>
      </c>
      <c r="E57" s="1" t="s">
        <v>34</v>
      </c>
      <c r="F57" s="1" t="s">
        <v>16</v>
      </c>
      <c r="G57" s="1" t="s">
        <v>17</v>
      </c>
      <c r="H57" s="1" t="s">
        <v>35</v>
      </c>
      <c r="I57" s="1" t="s">
        <v>26</v>
      </c>
      <c r="J57" s="1" t="s">
        <v>69</v>
      </c>
      <c r="K57" s="1" t="s">
        <v>28</v>
      </c>
      <c r="L57" s="1">
        <v>9</v>
      </c>
      <c r="M57" s="1">
        <v>3106.82</v>
      </c>
      <c r="N57" s="1">
        <v>15</v>
      </c>
      <c r="O57" s="1">
        <v>23767.17</v>
      </c>
      <c r="U57" s="1">
        <v>10026</v>
      </c>
      <c r="V57" s="1">
        <v>1413</v>
      </c>
      <c r="W57" s="2">
        <v>45228</v>
      </c>
      <c r="X57" s="2">
        <v>45231</v>
      </c>
      <c r="Y57" s="1" t="s">
        <v>34</v>
      </c>
      <c r="Z57" s="1" t="s">
        <v>16</v>
      </c>
      <c r="AA57" s="1" t="s">
        <v>30</v>
      </c>
      <c r="AB57" s="1" t="s">
        <v>42</v>
      </c>
      <c r="AC57" s="1" t="s">
        <v>52</v>
      </c>
      <c r="AD57" s="1" t="s">
        <v>60</v>
      </c>
      <c r="AE57" s="1" t="s">
        <v>33</v>
      </c>
      <c r="AF57" s="1">
        <v>9</v>
      </c>
      <c r="AG57" s="1">
        <v>444.29</v>
      </c>
      <c r="AH57" s="1">
        <v>5</v>
      </c>
      <c r="AI57" s="1">
        <v>3798.68</v>
      </c>
    </row>
    <row r="58" spans="1:35" x14ac:dyDescent="0.3">
      <c r="A58" s="1">
        <v>10454</v>
      </c>
      <c r="B58" s="1">
        <v>1959</v>
      </c>
      <c r="C58" s="2">
        <v>45251</v>
      </c>
      <c r="D58" s="2">
        <v>45255</v>
      </c>
      <c r="E58" s="1" t="s">
        <v>34</v>
      </c>
      <c r="F58" s="1" t="s">
        <v>41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28</v>
      </c>
      <c r="L58" s="1">
        <v>9</v>
      </c>
      <c r="M58" s="1">
        <v>3191.56</v>
      </c>
      <c r="N58" s="1">
        <v>20</v>
      </c>
      <c r="O58" s="1">
        <v>22979.23</v>
      </c>
      <c r="U58" s="1">
        <v>10250</v>
      </c>
      <c r="V58" s="1">
        <v>1455</v>
      </c>
      <c r="W58" s="2">
        <v>45227</v>
      </c>
      <c r="X58" s="2">
        <v>45233</v>
      </c>
      <c r="Y58" s="1" t="s">
        <v>34</v>
      </c>
      <c r="Z58" s="1" t="s">
        <v>16</v>
      </c>
      <c r="AA58" s="1" t="s">
        <v>17</v>
      </c>
      <c r="AB58" s="1" t="s">
        <v>35</v>
      </c>
      <c r="AC58" s="1" t="s">
        <v>26</v>
      </c>
      <c r="AD58" s="1" t="s">
        <v>69</v>
      </c>
      <c r="AE58" s="1" t="s">
        <v>28</v>
      </c>
      <c r="AF58" s="1">
        <v>9</v>
      </c>
      <c r="AG58" s="1">
        <v>3106.82</v>
      </c>
      <c r="AH58" s="1">
        <v>15</v>
      </c>
      <c r="AI58" s="1">
        <v>23767.17</v>
      </c>
    </row>
    <row r="59" spans="1:35" x14ac:dyDescent="0.3">
      <c r="A59" s="1">
        <v>10353</v>
      </c>
      <c r="B59" s="1">
        <v>1952</v>
      </c>
      <c r="C59" s="2">
        <v>44968</v>
      </c>
      <c r="D59" s="2">
        <v>44972</v>
      </c>
      <c r="E59" s="1" t="s">
        <v>34</v>
      </c>
      <c r="F59" s="1" t="s">
        <v>29</v>
      </c>
      <c r="G59" s="1" t="s">
        <v>30</v>
      </c>
      <c r="H59" s="1" t="s">
        <v>44</v>
      </c>
      <c r="I59" s="1" t="s">
        <v>57</v>
      </c>
      <c r="J59" s="1" t="s">
        <v>67</v>
      </c>
      <c r="K59" s="1" t="s">
        <v>33</v>
      </c>
      <c r="L59" s="1">
        <v>9</v>
      </c>
      <c r="M59" s="1">
        <v>1375.31</v>
      </c>
      <c r="N59" s="1">
        <v>15</v>
      </c>
      <c r="O59" s="1">
        <v>10521.12</v>
      </c>
      <c r="U59" s="1">
        <v>10454</v>
      </c>
      <c r="V59" s="1">
        <v>1959</v>
      </c>
      <c r="W59" s="2">
        <v>45251</v>
      </c>
      <c r="X59" s="2">
        <v>45255</v>
      </c>
      <c r="Y59" s="1" t="s">
        <v>34</v>
      </c>
      <c r="Z59" s="1" t="s">
        <v>41</v>
      </c>
      <c r="AA59" s="1" t="s">
        <v>17</v>
      </c>
      <c r="AB59" s="1" t="s">
        <v>25</v>
      </c>
      <c r="AC59" s="1" t="s">
        <v>57</v>
      </c>
      <c r="AD59" s="1" t="s">
        <v>58</v>
      </c>
      <c r="AE59" s="1" t="s">
        <v>28</v>
      </c>
      <c r="AF59" s="1">
        <v>9</v>
      </c>
      <c r="AG59" s="1">
        <v>3191.56</v>
      </c>
      <c r="AH59" s="1">
        <v>20</v>
      </c>
      <c r="AI59" s="1">
        <v>22979.23</v>
      </c>
    </row>
    <row r="60" spans="1:35" x14ac:dyDescent="0.3">
      <c r="A60" s="1">
        <v>10379</v>
      </c>
      <c r="B60" s="1">
        <v>1658</v>
      </c>
      <c r="C60" s="2">
        <v>45262</v>
      </c>
      <c r="D60" s="2">
        <v>45270</v>
      </c>
      <c r="E60" s="1" t="s">
        <v>15</v>
      </c>
      <c r="F60" s="1" t="s">
        <v>16</v>
      </c>
      <c r="G60" s="1" t="s">
        <v>24</v>
      </c>
      <c r="H60" s="1" t="s">
        <v>35</v>
      </c>
      <c r="I60" s="1" t="s">
        <v>26</v>
      </c>
      <c r="J60" s="1" t="s">
        <v>69</v>
      </c>
      <c r="K60" s="1" t="s">
        <v>45</v>
      </c>
      <c r="L60" s="1">
        <v>1</v>
      </c>
      <c r="M60" s="1">
        <v>3910.66</v>
      </c>
      <c r="N60" s="1">
        <v>5</v>
      </c>
      <c r="O60" s="1">
        <v>3715.13</v>
      </c>
      <c r="U60" s="1">
        <v>10353</v>
      </c>
      <c r="V60" s="1">
        <v>1952</v>
      </c>
      <c r="W60" s="2">
        <v>44968</v>
      </c>
      <c r="X60" s="2">
        <v>44972</v>
      </c>
      <c r="Y60" s="1" t="s">
        <v>34</v>
      </c>
      <c r="Z60" s="1" t="s">
        <v>29</v>
      </c>
      <c r="AA60" s="1" t="s">
        <v>30</v>
      </c>
      <c r="AB60" s="1" t="s">
        <v>44</v>
      </c>
      <c r="AC60" s="1" t="s">
        <v>57</v>
      </c>
      <c r="AD60" s="1" t="s">
        <v>67</v>
      </c>
      <c r="AE60" s="1" t="s">
        <v>33</v>
      </c>
      <c r="AF60" s="1">
        <v>9</v>
      </c>
      <c r="AG60" s="1">
        <v>1375.31</v>
      </c>
      <c r="AH60" s="1">
        <v>15</v>
      </c>
      <c r="AI60" s="1">
        <v>10521.12</v>
      </c>
    </row>
    <row r="61" spans="1:35" x14ac:dyDescent="0.3">
      <c r="A61" s="1">
        <v>10500</v>
      </c>
      <c r="B61" s="1">
        <v>1569</v>
      </c>
      <c r="C61" s="2">
        <v>44972</v>
      </c>
      <c r="D61" s="2">
        <v>44977</v>
      </c>
      <c r="E61" s="1" t="s">
        <v>15</v>
      </c>
      <c r="F61" s="1" t="s">
        <v>16</v>
      </c>
      <c r="G61" s="1" t="s">
        <v>30</v>
      </c>
      <c r="H61" s="1" t="s">
        <v>42</v>
      </c>
      <c r="I61" s="1" t="s">
        <v>31</v>
      </c>
      <c r="J61" s="1" t="s">
        <v>65</v>
      </c>
      <c r="K61" s="1" t="s">
        <v>33</v>
      </c>
      <c r="L61" s="1">
        <v>1</v>
      </c>
      <c r="M61" s="1">
        <v>2432.17</v>
      </c>
      <c r="N61" s="1">
        <v>20</v>
      </c>
      <c r="O61" s="1">
        <v>1945.74</v>
      </c>
    </row>
    <row r="62" spans="1:35" x14ac:dyDescent="0.3">
      <c r="A62" s="1">
        <v>10111</v>
      </c>
      <c r="B62" s="1">
        <v>1461</v>
      </c>
      <c r="C62" s="2">
        <v>44950</v>
      </c>
      <c r="D62" s="2">
        <v>44959</v>
      </c>
      <c r="E62" s="1" t="s">
        <v>15</v>
      </c>
      <c r="F62" s="1" t="s">
        <v>54</v>
      </c>
      <c r="G62" s="1" t="s">
        <v>30</v>
      </c>
      <c r="H62" s="1" t="s">
        <v>35</v>
      </c>
      <c r="I62" s="1" t="s">
        <v>49</v>
      </c>
      <c r="J62" s="1" t="s">
        <v>68</v>
      </c>
      <c r="K62" s="1" t="s">
        <v>33</v>
      </c>
      <c r="L62" s="1">
        <v>1</v>
      </c>
      <c r="M62" s="1">
        <v>1820.02</v>
      </c>
      <c r="N62" s="1">
        <v>10</v>
      </c>
      <c r="O62" s="1">
        <v>1638.02</v>
      </c>
    </row>
    <row r="63" spans="1:35" x14ac:dyDescent="0.3">
      <c r="A63" s="1">
        <v>10130</v>
      </c>
      <c r="B63" s="1">
        <v>1156</v>
      </c>
      <c r="C63" s="2">
        <v>44929</v>
      </c>
      <c r="D63" s="2">
        <v>44938</v>
      </c>
      <c r="E63" s="1" t="s">
        <v>15</v>
      </c>
      <c r="F63" s="1" t="s">
        <v>41</v>
      </c>
      <c r="G63" s="1" t="s">
        <v>17</v>
      </c>
      <c r="H63" s="1" t="s">
        <v>42</v>
      </c>
      <c r="I63" s="1" t="s">
        <v>57</v>
      </c>
      <c r="J63" s="1" t="s">
        <v>62</v>
      </c>
      <c r="K63" s="1" t="s">
        <v>33</v>
      </c>
      <c r="L63" s="1">
        <v>1</v>
      </c>
      <c r="M63" s="1">
        <v>2534.4699999999998</v>
      </c>
      <c r="N63" s="1">
        <v>5</v>
      </c>
      <c r="O63" s="1">
        <v>2407.75</v>
      </c>
    </row>
    <row r="64" spans="1:35" x14ac:dyDescent="0.3">
      <c r="A64" s="1">
        <v>10350</v>
      </c>
      <c r="B64" s="1">
        <v>1640</v>
      </c>
      <c r="C64" s="2">
        <v>45180</v>
      </c>
      <c r="D64" s="2">
        <v>45185</v>
      </c>
      <c r="E64" s="1" t="s">
        <v>15</v>
      </c>
      <c r="F64" s="1" t="s">
        <v>41</v>
      </c>
      <c r="G64" s="1" t="s">
        <v>17</v>
      </c>
      <c r="H64" s="1" t="s">
        <v>44</v>
      </c>
      <c r="I64" s="1" t="s">
        <v>57</v>
      </c>
      <c r="J64" s="1" t="s">
        <v>62</v>
      </c>
      <c r="K64" s="1" t="s">
        <v>21</v>
      </c>
      <c r="L64" s="1">
        <v>1</v>
      </c>
      <c r="M64" s="1">
        <v>3708.38</v>
      </c>
      <c r="N64" s="1">
        <v>20</v>
      </c>
      <c r="O64" s="1">
        <v>2966.7</v>
      </c>
    </row>
    <row r="65" spans="1:15" x14ac:dyDescent="0.3">
      <c r="A65" s="1">
        <v>10018</v>
      </c>
      <c r="B65" s="1">
        <v>1871</v>
      </c>
      <c r="C65" s="2">
        <v>45045</v>
      </c>
      <c r="D65" s="2">
        <v>45048</v>
      </c>
      <c r="E65" s="1" t="s">
        <v>15</v>
      </c>
      <c r="F65" s="1" t="s">
        <v>29</v>
      </c>
      <c r="G65" s="1" t="s">
        <v>24</v>
      </c>
      <c r="H65" s="1" t="s">
        <v>18</v>
      </c>
      <c r="I65" s="1" t="s">
        <v>19</v>
      </c>
      <c r="J65" s="1" t="s">
        <v>55</v>
      </c>
      <c r="K65" s="1" t="s">
        <v>28</v>
      </c>
      <c r="L65" s="1">
        <v>1</v>
      </c>
      <c r="M65" s="1">
        <v>2165.81</v>
      </c>
      <c r="N65" s="1">
        <v>15</v>
      </c>
      <c r="O65" s="1">
        <v>1840.94</v>
      </c>
    </row>
    <row r="66" spans="1:15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</row>
    <row r="67" spans="1:15" x14ac:dyDescent="0.3">
      <c r="A67" s="1">
        <v>10261</v>
      </c>
      <c r="B67" s="1">
        <v>1826</v>
      </c>
      <c r="C67" s="2">
        <v>44933</v>
      </c>
      <c r="D67" s="2">
        <v>44936</v>
      </c>
      <c r="E67" s="1" t="s">
        <v>15</v>
      </c>
      <c r="F67" s="1" t="s">
        <v>54</v>
      </c>
      <c r="G67" s="1" t="s">
        <v>24</v>
      </c>
      <c r="H67" s="1" t="s">
        <v>25</v>
      </c>
      <c r="I67" s="1" t="s">
        <v>31</v>
      </c>
      <c r="J67" s="1" t="s">
        <v>32</v>
      </c>
      <c r="K67" s="1" t="s">
        <v>33</v>
      </c>
      <c r="L67" s="1">
        <v>2</v>
      </c>
      <c r="M67" s="1">
        <v>533.25</v>
      </c>
      <c r="N67" s="1">
        <v>0</v>
      </c>
      <c r="O67" s="1">
        <v>1066.5</v>
      </c>
    </row>
    <row r="68" spans="1:15" x14ac:dyDescent="0.3">
      <c r="A68" s="1">
        <v>10285</v>
      </c>
      <c r="B68" s="1">
        <v>1001</v>
      </c>
      <c r="C68" s="2">
        <v>45104</v>
      </c>
      <c r="D68" s="2">
        <v>45109</v>
      </c>
      <c r="E68" s="1" t="s">
        <v>15</v>
      </c>
      <c r="F68" s="1" t="s">
        <v>23</v>
      </c>
      <c r="G68" s="1" t="s">
        <v>17</v>
      </c>
      <c r="H68" s="1" t="s">
        <v>44</v>
      </c>
      <c r="I68" s="1" t="s">
        <v>52</v>
      </c>
      <c r="J68" s="1" t="s">
        <v>56</v>
      </c>
      <c r="K68" s="1" t="s">
        <v>21</v>
      </c>
      <c r="L68" s="1">
        <v>2</v>
      </c>
      <c r="M68" s="1">
        <v>702.07</v>
      </c>
      <c r="N68" s="1">
        <v>10</v>
      </c>
      <c r="O68" s="1">
        <v>1263.73</v>
      </c>
    </row>
    <row r="69" spans="1:15" x14ac:dyDescent="0.3">
      <c r="A69" s="1">
        <v>10332</v>
      </c>
      <c r="B69" s="1">
        <v>1954</v>
      </c>
      <c r="C69" s="2">
        <v>44946</v>
      </c>
      <c r="D69" s="2">
        <v>44955</v>
      </c>
      <c r="E69" s="1" t="s">
        <v>15</v>
      </c>
      <c r="F69" s="1" t="s">
        <v>23</v>
      </c>
      <c r="G69" s="1" t="s">
        <v>17</v>
      </c>
      <c r="H69" s="1" t="s">
        <v>42</v>
      </c>
      <c r="I69" s="1" t="s">
        <v>57</v>
      </c>
      <c r="J69" s="1" t="s">
        <v>67</v>
      </c>
      <c r="K69" s="1" t="s">
        <v>21</v>
      </c>
      <c r="L69" s="1">
        <v>2</v>
      </c>
      <c r="M69" s="1">
        <v>1335.36</v>
      </c>
      <c r="N69" s="1">
        <v>5</v>
      </c>
      <c r="O69" s="1">
        <v>2537.1799999999998</v>
      </c>
    </row>
    <row r="70" spans="1:15" x14ac:dyDescent="0.3">
      <c r="A70" s="1">
        <v>10386</v>
      </c>
      <c r="B70" s="1">
        <v>1119</v>
      </c>
      <c r="C70" s="2">
        <v>45146</v>
      </c>
      <c r="D70" s="2">
        <v>45154</v>
      </c>
      <c r="E70" s="1" t="s">
        <v>15</v>
      </c>
      <c r="F70" s="1" t="s">
        <v>23</v>
      </c>
      <c r="G70" s="1" t="s">
        <v>24</v>
      </c>
      <c r="H70" s="1" t="s">
        <v>44</v>
      </c>
      <c r="I70" s="1" t="s">
        <v>49</v>
      </c>
      <c r="J70" s="1" t="s">
        <v>68</v>
      </c>
      <c r="K70" s="1" t="s">
        <v>28</v>
      </c>
      <c r="L70" s="1">
        <v>2</v>
      </c>
      <c r="M70" s="1">
        <v>1984.38</v>
      </c>
      <c r="N70" s="1">
        <v>10</v>
      </c>
      <c r="O70" s="1">
        <v>3571.88</v>
      </c>
    </row>
    <row r="71" spans="1:15" x14ac:dyDescent="0.3">
      <c r="A71" s="1">
        <v>10108</v>
      </c>
      <c r="B71" s="1">
        <v>1815</v>
      </c>
      <c r="C71" s="2">
        <v>45037</v>
      </c>
      <c r="D71" s="2">
        <v>45045</v>
      </c>
      <c r="E71" s="1" t="s">
        <v>15</v>
      </c>
      <c r="F71" s="1" t="s">
        <v>29</v>
      </c>
      <c r="G71" s="1" t="s">
        <v>24</v>
      </c>
      <c r="H71" s="1" t="s">
        <v>18</v>
      </c>
      <c r="I71" s="1" t="s">
        <v>26</v>
      </c>
      <c r="J71" s="1" t="s">
        <v>36</v>
      </c>
      <c r="K71" s="1" t="s">
        <v>21</v>
      </c>
      <c r="L71" s="1">
        <v>2</v>
      </c>
      <c r="M71" s="1">
        <v>564.30999999999995</v>
      </c>
      <c r="N71" s="1">
        <v>15</v>
      </c>
      <c r="O71" s="1">
        <v>959.33</v>
      </c>
    </row>
    <row r="72" spans="1:15" x14ac:dyDescent="0.3">
      <c r="A72" s="1">
        <v>10192</v>
      </c>
      <c r="B72" s="1">
        <v>1891</v>
      </c>
      <c r="C72" s="2">
        <v>45039</v>
      </c>
      <c r="D72" s="2">
        <v>45042</v>
      </c>
      <c r="E72" s="1" t="s">
        <v>15</v>
      </c>
      <c r="F72" s="1" t="s">
        <v>29</v>
      </c>
      <c r="G72" s="1" t="s">
        <v>30</v>
      </c>
      <c r="H72" s="1" t="s">
        <v>35</v>
      </c>
      <c r="I72" s="1" t="s">
        <v>52</v>
      </c>
      <c r="J72" s="1" t="s">
        <v>60</v>
      </c>
      <c r="K72" s="1" t="s">
        <v>21</v>
      </c>
      <c r="L72" s="1">
        <v>2</v>
      </c>
      <c r="M72" s="1">
        <v>487.23</v>
      </c>
      <c r="N72" s="1">
        <v>15</v>
      </c>
      <c r="O72" s="1">
        <v>828.29</v>
      </c>
    </row>
    <row r="73" spans="1:15" x14ac:dyDescent="0.3">
      <c r="A73" s="1">
        <v>10420</v>
      </c>
      <c r="B73" s="1">
        <v>1276</v>
      </c>
      <c r="C73" s="2">
        <v>45207</v>
      </c>
      <c r="D73" s="2">
        <v>45209</v>
      </c>
      <c r="E73" s="1" t="s">
        <v>15</v>
      </c>
      <c r="F73" s="1" t="s">
        <v>29</v>
      </c>
      <c r="G73" s="1" t="s">
        <v>24</v>
      </c>
      <c r="H73" s="1" t="s">
        <v>18</v>
      </c>
      <c r="I73" s="1" t="s">
        <v>19</v>
      </c>
      <c r="J73" s="1" t="s">
        <v>66</v>
      </c>
      <c r="K73" s="1" t="s">
        <v>21</v>
      </c>
      <c r="L73" s="1">
        <v>2</v>
      </c>
      <c r="M73" s="1">
        <v>406.77</v>
      </c>
      <c r="N73" s="1">
        <v>10</v>
      </c>
      <c r="O73" s="1">
        <v>732.19</v>
      </c>
    </row>
    <row r="74" spans="1:15" x14ac:dyDescent="0.3">
      <c r="A74" s="1">
        <v>10455</v>
      </c>
      <c r="B74" s="1">
        <v>1480</v>
      </c>
      <c r="C74" s="2">
        <v>45034</v>
      </c>
      <c r="D74" s="2">
        <v>45036</v>
      </c>
      <c r="E74" s="1" t="s">
        <v>15</v>
      </c>
      <c r="F74" s="1" t="s">
        <v>29</v>
      </c>
      <c r="G74" s="1" t="s">
        <v>17</v>
      </c>
      <c r="H74" s="1" t="s">
        <v>18</v>
      </c>
      <c r="I74" s="1" t="s">
        <v>52</v>
      </c>
      <c r="J74" s="1" t="s">
        <v>64</v>
      </c>
      <c r="K74" s="1" t="s">
        <v>45</v>
      </c>
      <c r="L74" s="1">
        <v>2</v>
      </c>
      <c r="M74" s="1">
        <v>1374.23</v>
      </c>
      <c r="N74" s="1">
        <v>0</v>
      </c>
      <c r="O74" s="1">
        <v>2748.46</v>
      </c>
    </row>
    <row r="75" spans="1:15" x14ac:dyDescent="0.3">
      <c r="A75" s="1">
        <v>10173</v>
      </c>
      <c r="B75" s="1">
        <v>1960</v>
      </c>
      <c r="C75" s="2">
        <v>45124</v>
      </c>
      <c r="D75" s="2">
        <v>45127</v>
      </c>
      <c r="E75" s="1" t="s">
        <v>15</v>
      </c>
      <c r="F75" s="1" t="s">
        <v>38</v>
      </c>
      <c r="G75" s="1" t="s">
        <v>24</v>
      </c>
      <c r="H75" s="1" t="s">
        <v>42</v>
      </c>
      <c r="I75" s="1" t="s">
        <v>31</v>
      </c>
      <c r="J75" s="1" t="s">
        <v>65</v>
      </c>
      <c r="K75" s="1" t="s">
        <v>28</v>
      </c>
      <c r="L75" s="1">
        <v>3</v>
      </c>
      <c r="M75" s="1">
        <v>1357.77</v>
      </c>
      <c r="N75" s="1">
        <v>5</v>
      </c>
      <c r="O75" s="1">
        <v>3869.64</v>
      </c>
    </row>
    <row r="76" spans="1:15" x14ac:dyDescent="0.3">
      <c r="A76" s="1">
        <v>10080</v>
      </c>
      <c r="B76" s="1">
        <v>1427</v>
      </c>
      <c r="C76" s="2">
        <v>45288</v>
      </c>
      <c r="D76" s="2">
        <v>45293</v>
      </c>
      <c r="E76" s="1" t="s">
        <v>15</v>
      </c>
      <c r="F76" s="1" t="s">
        <v>54</v>
      </c>
      <c r="G76" s="1" t="s">
        <v>17</v>
      </c>
      <c r="H76" s="1" t="s">
        <v>25</v>
      </c>
      <c r="I76" s="1" t="s">
        <v>52</v>
      </c>
      <c r="J76" s="1" t="s">
        <v>56</v>
      </c>
      <c r="K76" s="1" t="s">
        <v>28</v>
      </c>
      <c r="L76" s="1">
        <v>3</v>
      </c>
      <c r="M76" s="1">
        <v>262.25</v>
      </c>
      <c r="N76" s="1">
        <v>10</v>
      </c>
      <c r="O76" s="1">
        <v>708.07</v>
      </c>
    </row>
    <row r="77" spans="1:15" x14ac:dyDescent="0.3">
      <c r="A77" s="1">
        <v>10436</v>
      </c>
      <c r="B77" s="1">
        <v>1374</v>
      </c>
      <c r="C77" s="2">
        <v>45212</v>
      </c>
      <c r="D77" s="2">
        <v>45213</v>
      </c>
      <c r="E77" s="1" t="s">
        <v>15</v>
      </c>
      <c r="F77" s="1" t="s">
        <v>23</v>
      </c>
      <c r="G77" s="1" t="s">
        <v>30</v>
      </c>
      <c r="H77" s="1" t="s">
        <v>18</v>
      </c>
      <c r="I77" s="1" t="s">
        <v>52</v>
      </c>
      <c r="J77" s="1" t="s">
        <v>60</v>
      </c>
      <c r="K77" s="1" t="s">
        <v>21</v>
      </c>
      <c r="L77" s="1">
        <v>3</v>
      </c>
      <c r="M77" s="1">
        <v>3986.78</v>
      </c>
      <c r="N77" s="1">
        <v>20</v>
      </c>
      <c r="O77" s="1">
        <v>9568.27</v>
      </c>
    </row>
    <row r="78" spans="1:15" x14ac:dyDescent="0.3">
      <c r="A78" s="1">
        <v>10071</v>
      </c>
      <c r="B78" s="1">
        <v>1776</v>
      </c>
      <c r="C78" s="2">
        <v>45070</v>
      </c>
      <c r="D78" s="2">
        <v>45078</v>
      </c>
      <c r="E78" s="1" t="s">
        <v>15</v>
      </c>
      <c r="F78" s="1" t="s">
        <v>29</v>
      </c>
      <c r="G78" s="1" t="s">
        <v>17</v>
      </c>
      <c r="H78" s="1" t="s">
        <v>18</v>
      </c>
      <c r="I78" s="1" t="s">
        <v>26</v>
      </c>
      <c r="J78" s="1" t="s">
        <v>61</v>
      </c>
      <c r="K78" s="1" t="s">
        <v>47</v>
      </c>
      <c r="L78" s="1">
        <v>3</v>
      </c>
      <c r="M78" s="1">
        <v>3854.71</v>
      </c>
      <c r="N78" s="1">
        <v>5</v>
      </c>
      <c r="O78" s="1">
        <v>10985.92</v>
      </c>
    </row>
    <row r="79" spans="1:15" x14ac:dyDescent="0.3">
      <c r="A79" s="1">
        <v>10200</v>
      </c>
      <c r="B79" s="1">
        <v>1095</v>
      </c>
      <c r="C79" s="2">
        <v>45171</v>
      </c>
      <c r="D79" s="2">
        <v>45176</v>
      </c>
      <c r="E79" s="1" t="s">
        <v>15</v>
      </c>
      <c r="F79" s="1" t="s">
        <v>29</v>
      </c>
      <c r="G79" s="1" t="s">
        <v>30</v>
      </c>
      <c r="H79" s="1" t="s">
        <v>44</v>
      </c>
      <c r="I79" s="1" t="s">
        <v>19</v>
      </c>
      <c r="J79" s="1" t="s">
        <v>66</v>
      </c>
      <c r="K79" s="1" t="s">
        <v>33</v>
      </c>
      <c r="L79" s="1">
        <v>3</v>
      </c>
      <c r="M79" s="1">
        <v>2701.77</v>
      </c>
      <c r="N79" s="1">
        <v>15</v>
      </c>
      <c r="O79" s="1">
        <v>6889.51</v>
      </c>
    </row>
    <row r="80" spans="1:15" x14ac:dyDescent="0.3">
      <c r="A80" s="1">
        <v>10435</v>
      </c>
      <c r="B80" s="1">
        <v>1469</v>
      </c>
      <c r="C80" s="2">
        <v>45002</v>
      </c>
      <c r="D80" s="2">
        <v>45009</v>
      </c>
      <c r="E80" s="1" t="s">
        <v>15</v>
      </c>
      <c r="F80" s="1" t="s">
        <v>29</v>
      </c>
      <c r="G80" s="1" t="s">
        <v>24</v>
      </c>
      <c r="H80" s="1" t="s">
        <v>44</v>
      </c>
      <c r="I80" s="1" t="s">
        <v>52</v>
      </c>
      <c r="J80" s="1" t="s">
        <v>56</v>
      </c>
      <c r="K80" s="1" t="s">
        <v>21</v>
      </c>
      <c r="L80" s="1">
        <v>3</v>
      </c>
      <c r="M80" s="1">
        <v>3644.78</v>
      </c>
      <c r="N80" s="1">
        <v>0</v>
      </c>
      <c r="O80" s="1">
        <v>10934.34</v>
      </c>
    </row>
    <row r="81" spans="1:15" x14ac:dyDescent="0.3">
      <c r="A81" s="1">
        <v>10264</v>
      </c>
      <c r="B81" s="1">
        <v>1607</v>
      </c>
      <c r="C81" s="2">
        <v>45086</v>
      </c>
      <c r="D81" s="2">
        <v>45091</v>
      </c>
      <c r="E81" s="1" t="s">
        <v>15</v>
      </c>
      <c r="F81" s="1" t="s">
        <v>16</v>
      </c>
      <c r="G81" s="1" t="s">
        <v>30</v>
      </c>
      <c r="H81" s="1" t="s">
        <v>44</v>
      </c>
      <c r="I81" s="1" t="s">
        <v>52</v>
      </c>
      <c r="J81" s="1" t="s">
        <v>60</v>
      </c>
      <c r="K81" s="1" t="s">
        <v>47</v>
      </c>
      <c r="L81" s="1">
        <v>4</v>
      </c>
      <c r="M81" s="1">
        <v>1126.3</v>
      </c>
      <c r="N81" s="1">
        <v>20</v>
      </c>
      <c r="O81" s="1">
        <v>3604.16</v>
      </c>
    </row>
    <row r="82" spans="1:15" x14ac:dyDescent="0.3">
      <c r="A82" s="1">
        <v>10307</v>
      </c>
      <c r="B82" s="1">
        <v>1183</v>
      </c>
      <c r="C82" s="2">
        <v>45267</v>
      </c>
      <c r="D82" s="2">
        <v>45273</v>
      </c>
      <c r="E82" s="1" t="s">
        <v>15</v>
      </c>
      <c r="F82" s="1" t="s">
        <v>16</v>
      </c>
      <c r="G82" s="1" t="s">
        <v>24</v>
      </c>
      <c r="H82" s="1" t="s">
        <v>42</v>
      </c>
      <c r="I82" s="1" t="s">
        <v>57</v>
      </c>
      <c r="J82" s="1" t="s">
        <v>58</v>
      </c>
      <c r="K82" s="1" t="s">
        <v>28</v>
      </c>
      <c r="L82" s="1">
        <v>4</v>
      </c>
      <c r="M82" s="1">
        <v>2008.45</v>
      </c>
      <c r="N82" s="1">
        <v>5</v>
      </c>
      <c r="O82" s="1">
        <v>7632.11</v>
      </c>
    </row>
    <row r="83" spans="1:15" x14ac:dyDescent="0.3">
      <c r="A83" s="1">
        <v>10042</v>
      </c>
      <c r="B83" s="1">
        <v>1510</v>
      </c>
      <c r="C83" s="2">
        <v>45195</v>
      </c>
      <c r="D83" s="2">
        <v>45204</v>
      </c>
      <c r="E83" s="1" t="s">
        <v>15</v>
      </c>
      <c r="F83" s="1" t="s">
        <v>54</v>
      </c>
      <c r="G83" s="1" t="s">
        <v>24</v>
      </c>
      <c r="H83" s="1" t="s">
        <v>35</v>
      </c>
      <c r="I83" s="1" t="s">
        <v>26</v>
      </c>
      <c r="J83" s="1" t="s">
        <v>27</v>
      </c>
      <c r="K83" s="1" t="s">
        <v>33</v>
      </c>
      <c r="L83" s="1">
        <v>4</v>
      </c>
      <c r="M83" s="1">
        <v>1211.67</v>
      </c>
      <c r="N83" s="1">
        <v>20</v>
      </c>
      <c r="O83" s="1">
        <v>3877.34</v>
      </c>
    </row>
    <row r="84" spans="1:15" x14ac:dyDescent="0.3">
      <c r="A84" s="1">
        <v>10339</v>
      </c>
      <c r="B84" s="1">
        <v>1147</v>
      </c>
      <c r="C84" s="2">
        <v>45005</v>
      </c>
      <c r="D84" s="2">
        <v>45012</v>
      </c>
      <c r="E84" s="1" t="s">
        <v>15</v>
      </c>
      <c r="F84" s="1" t="s">
        <v>54</v>
      </c>
      <c r="G84" s="1" t="s">
        <v>17</v>
      </c>
      <c r="H84" s="1" t="s">
        <v>25</v>
      </c>
      <c r="I84" s="1" t="s">
        <v>31</v>
      </c>
      <c r="J84" s="1" t="s">
        <v>32</v>
      </c>
      <c r="K84" s="1" t="s">
        <v>21</v>
      </c>
      <c r="L84" s="1">
        <v>4</v>
      </c>
      <c r="M84" s="1">
        <v>3708.51</v>
      </c>
      <c r="N84" s="1">
        <v>5</v>
      </c>
      <c r="O84" s="1">
        <v>14092.34</v>
      </c>
    </row>
    <row r="85" spans="1:15" x14ac:dyDescent="0.3">
      <c r="A85" s="1">
        <v>10433</v>
      </c>
      <c r="B85" s="1">
        <v>1954</v>
      </c>
      <c r="C85" s="2">
        <v>45152</v>
      </c>
      <c r="D85" s="2">
        <v>45159</v>
      </c>
      <c r="E85" s="1" t="s">
        <v>15</v>
      </c>
      <c r="F85" s="1" t="s">
        <v>54</v>
      </c>
      <c r="G85" s="1" t="s">
        <v>17</v>
      </c>
      <c r="H85" s="1" t="s">
        <v>18</v>
      </c>
      <c r="I85" s="1" t="s">
        <v>49</v>
      </c>
      <c r="J85" s="1" t="s">
        <v>51</v>
      </c>
      <c r="K85" s="1" t="s">
        <v>33</v>
      </c>
      <c r="L85" s="1">
        <v>4</v>
      </c>
      <c r="M85" s="1">
        <v>3590.5</v>
      </c>
      <c r="N85" s="1">
        <v>0</v>
      </c>
      <c r="O85" s="1">
        <v>14362</v>
      </c>
    </row>
    <row r="86" spans="1:15" x14ac:dyDescent="0.3">
      <c r="A86" s="1">
        <v>10032</v>
      </c>
      <c r="B86" s="1">
        <v>1160</v>
      </c>
      <c r="C86" s="2">
        <v>45150</v>
      </c>
      <c r="D86" s="2">
        <v>45158</v>
      </c>
      <c r="E86" s="1" t="s">
        <v>15</v>
      </c>
      <c r="F86" s="1" t="s">
        <v>41</v>
      </c>
      <c r="G86" s="1" t="s">
        <v>30</v>
      </c>
      <c r="H86" s="1" t="s">
        <v>18</v>
      </c>
      <c r="I86" s="1" t="s">
        <v>19</v>
      </c>
      <c r="J86" s="1" t="s">
        <v>43</v>
      </c>
      <c r="K86" s="1" t="s">
        <v>21</v>
      </c>
      <c r="L86" s="1">
        <v>4</v>
      </c>
      <c r="M86" s="1">
        <v>750.74</v>
      </c>
      <c r="N86" s="1">
        <v>5</v>
      </c>
      <c r="O86" s="1">
        <v>2852.81</v>
      </c>
    </row>
    <row r="87" spans="1:15" x14ac:dyDescent="0.3">
      <c r="A87" s="1">
        <v>10213</v>
      </c>
      <c r="B87" s="1">
        <v>1838</v>
      </c>
      <c r="C87" s="2">
        <v>45186</v>
      </c>
      <c r="D87" s="2">
        <v>45193</v>
      </c>
      <c r="E87" s="1" t="s">
        <v>15</v>
      </c>
      <c r="F87" s="1" t="s">
        <v>41</v>
      </c>
      <c r="G87" s="1" t="s">
        <v>24</v>
      </c>
      <c r="H87" s="1" t="s">
        <v>42</v>
      </c>
      <c r="I87" s="1" t="s">
        <v>49</v>
      </c>
      <c r="J87" s="1" t="s">
        <v>63</v>
      </c>
      <c r="K87" s="1" t="s">
        <v>21</v>
      </c>
      <c r="L87" s="1">
        <v>4</v>
      </c>
      <c r="M87" s="1">
        <v>1484.25</v>
      </c>
      <c r="N87" s="1">
        <v>20</v>
      </c>
      <c r="O87" s="1">
        <v>4749.6000000000004</v>
      </c>
    </row>
    <row r="88" spans="1:15" x14ac:dyDescent="0.3">
      <c r="A88" s="1">
        <v>10301</v>
      </c>
      <c r="B88" s="1">
        <v>1709</v>
      </c>
      <c r="C88" s="2">
        <v>44943</v>
      </c>
      <c r="D88" s="2">
        <v>44947</v>
      </c>
      <c r="E88" s="1" t="s">
        <v>15</v>
      </c>
      <c r="F88" s="1" t="s">
        <v>29</v>
      </c>
      <c r="G88" s="1" t="s">
        <v>17</v>
      </c>
      <c r="H88" s="1" t="s">
        <v>25</v>
      </c>
      <c r="I88" s="1" t="s">
        <v>52</v>
      </c>
      <c r="J88" s="1" t="s">
        <v>53</v>
      </c>
      <c r="K88" s="1" t="s">
        <v>21</v>
      </c>
      <c r="L88" s="1">
        <v>4</v>
      </c>
      <c r="M88" s="1">
        <v>1733.79</v>
      </c>
      <c r="N88" s="1">
        <v>5</v>
      </c>
      <c r="O88" s="1">
        <v>6588.4</v>
      </c>
    </row>
    <row r="89" spans="1:15" x14ac:dyDescent="0.3">
      <c r="A89" s="1">
        <v>10347</v>
      </c>
      <c r="B89" s="1">
        <v>1550</v>
      </c>
      <c r="C89" s="2">
        <v>44952</v>
      </c>
      <c r="D89" s="2">
        <v>44954</v>
      </c>
      <c r="E89" s="1" t="s">
        <v>15</v>
      </c>
      <c r="F89" s="1" t="s">
        <v>29</v>
      </c>
      <c r="G89" s="1" t="s">
        <v>24</v>
      </c>
      <c r="H89" s="1" t="s">
        <v>44</v>
      </c>
      <c r="I89" s="1" t="s">
        <v>19</v>
      </c>
      <c r="J89" s="1" t="s">
        <v>20</v>
      </c>
      <c r="K89" s="1" t="s">
        <v>45</v>
      </c>
      <c r="L89" s="1">
        <v>4</v>
      </c>
      <c r="M89" s="1">
        <v>640.37</v>
      </c>
      <c r="N89" s="1">
        <v>20</v>
      </c>
      <c r="O89" s="1">
        <v>2049.1799999999998</v>
      </c>
    </row>
    <row r="90" spans="1:15" x14ac:dyDescent="0.3">
      <c r="A90" s="1">
        <v>10215</v>
      </c>
      <c r="B90" s="1">
        <v>1242</v>
      </c>
      <c r="C90" s="2">
        <v>45157</v>
      </c>
      <c r="D90" s="2">
        <v>45162</v>
      </c>
      <c r="E90" s="1" t="s">
        <v>15</v>
      </c>
      <c r="F90" s="1" t="s">
        <v>16</v>
      </c>
      <c r="G90" s="1" t="s">
        <v>17</v>
      </c>
      <c r="H90" s="1" t="s">
        <v>25</v>
      </c>
      <c r="I90" s="1" t="s">
        <v>26</v>
      </c>
      <c r="J90" s="1" t="s">
        <v>27</v>
      </c>
      <c r="K90" s="1" t="s">
        <v>21</v>
      </c>
      <c r="L90" s="1">
        <v>5</v>
      </c>
      <c r="M90" s="1">
        <v>633.42999999999995</v>
      </c>
      <c r="N90" s="1">
        <v>20</v>
      </c>
      <c r="O90" s="1">
        <v>2533.7199999999998</v>
      </c>
    </row>
    <row r="91" spans="1:15" x14ac:dyDescent="0.3">
      <c r="A91" s="1">
        <v>10366</v>
      </c>
      <c r="B91" s="1">
        <v>1571</v>
      </c>
      <c r="C91" s="2">
        <v>45223</v>
      </c>
      <c r="D91" s="2">
        <v>45226</v>
      </c>
      <c r="E91" s="1" t="s">
        <v>15</v>
      </c>
      <c r="F91" s="1" t="s">
        <v>16</v>
      </c>
      <c r="G91" s="1" t="s">
        <v>24</v>
      </c>
      <c r="H91" s="1" t="s">
        <v>42</v>
      </c>
      <c r="I91" s="1" t="s">
        <v>49</v>
      </c>
      <c r="J91" s="1" t="s">
        <v>63</v>
      </c>
      <c r="K91" s="1" t="s">
        <v>21</v>
      </c>
      <c r="L91" s="1">
        <v>5</v>
      </c>
      <c r="M91" s="1">
        <v>3320.88</v>
      </c>
      <c r="N91" s="1">
        <v>0</v>
      </c>
      <c r="O91" s="1">
        <v>16604.400000000001</v>
      </c>
    </row>
    <row r="92" spans="1:15" x14ac:dyDescent="0.3">
      <c r="A92" s="1">
        <v>10322</v>
      </c>
      <c r="B92" s="1">
        <v>1608</v>
      </c>
      <c r="C92" s="2">
        <v>45220</v>
      </c>
      <c r="D92" s="2">
        <v>45222</v>
      </c>
      <c r="E92" s="1" t="s">
        <v>15</v>
      </c>
      <c r="F92" s="1" t="s">
        <v>54</v>
      </c>
      <c r="G92" s="1" t="s">
        <v>30</v>
      </c>
      <c r="H92" s="1" t="s">
        <v>35</v>
      </c>
      <c r="I92" s="1" t="s">
        <v>26</v>
      </c>
      <c r="J92" s="1" t="s">
        <v>61</v>
      </c>
      <c r="K92" s="1" t="s">
        <v>28</v>
      </c>
      <c r="L92" s="1">
        <v>5</v>
      </c>
      <c r="M92" s="1">
        <v>640.82000000000005</v>
      </c>
      <c r="N92" s="1">
        <v>0</v>
      </c>
      <c r="O92" s="1">
        <v>3204.1</v>
      </c>
    </row>
    <row r="93" spans="1:15" x14ac:dyDescent="0.3">
      <c r="A93" s="1">
        <v>10342</v>
      </c>
      <c r="B93" s="1">
        <v>1819</v>
      </c>
      <c r="C93" s="2">
        <v>45018</v>
      </c>
      <c r="D93" s="2">
        <v>45019</v>
      </c>
      <c r="E93" s="1" t="s">
        <v>15</v>
      </c>
      <c r="F93" s="1" t="s">
        <v>54</v>
      </c>
      <c r="G93" s="1" t="s">
        <v>17</v>
      </c>
      <c r="H93" s="1" t="s">
        <v>35</v>
      </c>
      <c r="I93" s="1" t="s">
        <v>26</v>
      </c>
      <c r="J93" s="1" t="s">
        <v>27</v>
      </c>
      <c r="K93" s="1" t="s">
        <v>47</v>
      </c>
      <c r="L93" s="1">
        <v>5</v>
      </c>
      <c r="M93" s="1">
        <v>1853.11</v>
      </c>
      <c r="N93" s="1">
        <v>10</v>
      </c>
      <c r="O93" s="1">
        <v>8338.99</v>
      </c>
    </row>
    <row r="94" spans="1:15" x14ac:dyDescent="0.3">
      <c r="A94" s="1">
        <v>10472</v>
      </c>
      <c r="B94" s="1">
        <v>1517</v>
      </c>
      <c r="C94" s="2">
        <v>45269</v>
      </c>
      <c r="D94" s="2">
        <v>45278</v>
      </c>
      <c r="E94" s="1" t="s">
        <v>15</v>
      </c>
      <c r="F94" s="1" t="s">
        <v>54</v>
      </c>
      <c r="G94" s="1" t="s">
        <v>30</v>
      </c>
      <c r="H94" s="1" t="s">
        <v>35</v>
      </c>
      <c r="I94" s="1" t="s">
        <v>31</v>
      </c>
      <c r="J94" s="1" t="s">
        <v>48</v>
      </c>
      <c r="K94" s="1" t="s">
        <v>28</v>
      </c>
      <c r="L94" s="1">
        <v>5</v>
      </c>
      <c r="M94" s="1">
        <v>2523.25</v>
      </c>
      <c r="N94" s="1">
        <v>10</v>
      </c>
      <c r="O94" s="1">
        <v>11354.63</v>
      </c>
    </row>
    <row r="95" spans="1:15" x14ac:dyDescent="0.3">
      <c r="A95" s="1">
        <v>10181</v>
      </c>
      <c r="B95" s="1">
        <v>1217</v>
      </c>
      <c r="C95" s="2">
        <v>45050</v>
      </c>
      <c r="D95" s="2">
        <v>45053</v>
      </c>
      <c r="E95" s="1" t="s">
        <v>15</v>
      </c>
      <c r="F95" s="1" t="s">
        <v>23</v>
      </c>
      <c r="G95" s="1" t="s">
        <v>17</v>
      </c>
      <c r="H95" s="1" t="s">
        <v>42</v>
      </c>
      <c r="I95" s="1" t="s">
        <v>49</v>
      </c>
      <c r="J95" s="1" t="s">
        <v>50</v>
      </c>
      <c r="K95" s="1" t="s">
        <v>33</v>
      </c>
      <c r="L95" s="1">
        <v>5</v>
      </c>
      <c r="M95" s="1">
        <v>2329.38</v>
      </c>
      <c r="N95" s="1">
        <v>20</v>
      </c>
      <c r="O95" s="1">
        <v>9317.52</v>
      </c>
    </row>
    <row r="96" spans="1:15" x14ac:dyDescent="0.3">
      <c r="A96" s="1">
        <v>10269</v>
      </c>
      <c r="B96" s="1">
        <v>1829</v>
      </c>
      <c r="C96" s="2">
        <v>45125</v>
      </c>
      <c r="D96" s="2">
        <v>45132</v>
      </c>
      <c r="E96" s="1" t="s">
        <v>15</v>
      </c>
      <c r="F96" s="1" t="s">
        <v>41</v>
      </c>
      <c r="G96" s="1" t="s">
        <v>24</v>
      </c>
      <c r="H96" s="1" t="s">
        <v>35</v>
      </c>
      <c r="I96" s="1" t="s">
        <v>49</v>
      </c>
      <c r="J96" s="1" t="s">
        <v>51</v>
      </c>
      <c r="K96" s="1" t="s">
        <v>47</v>
      </c>
      <c r="L96" s="1">
        <v>5</v>
      </c>
      <c r="M96" s="1">
        <v>3156.54</v>
      </c>
      <c r="N96" s="1">
        <v>20</v>
      </c>
      <c r="O96" s="1">
        <v>12626.16</v>
      </c>
    </row>
    <row r="97" spans="1:15" x14ac:dyDescent="0.3">
      <c r="A97" s="1">
        <v>10469</v>
      </c>
      <c r="B97" s="1">
        <v>1476</v>
      </c>
      <c r="C97" s="2">
        <v>45050</v>
      </c>
      <c r="D97" s="2">
        <v>45052</v>
      </c>
      <c r="E97" s="1" t="s">
        <v>15</v>
      </c>
      <c r="F97" s="1" t="s">
        <v>41</v>
      </c>
      <c r="G97" s="1" t="s">
        <v>30</v>
      </c>
      <c r="H97" s="1" t="s">
        <v>18</v>
      </c>
      <c r="I97" s="1" t="s">
        <v>31</v>
      </c>
      <c r="J97" s="1" t="s">
        <v>48</v>
      </c>
      <c r="K97" s="1" t="s">
        <v>45</v>
      </c>
      <c r="L97" s="1">
        <v>5</v>
      </c>
      <c r="M97" s="1">
        <v>3945.35</v>
      </c>
      <c r="N97" s="1">
        <v>5</v>
      </c>
      <c r="O97" s="1">
        <v>18740.41</v>
      </c>
    </row>
    <row r="98" spans="1:15" x14ac:dyDescent="0.3">
      <c r="A98" s="1">
        <v>10009</v>
      </c>
      <c r="B98" s="1">
        <v>1614</v>
      </c>
      <c r="C98" s="2">
        <v>45204</v>
      </c>
      <c r="D98" s="2">
        <v>45213</v>
      </c>
      <c r="E98" s="1" t="s">
        <v>15</v>
      </c>
      <c r="F98" s="1" t="s">
        <v>29</v>
      </c>
      <c r="G98" s="1" t="s">
        <v>24</v>
      </c>
      <c r="H98" s="1" t="s">
        <v>25</v>
      </c>
      <c r="I98" s="1" t="s">
        <v>31</v>
      </c>
      <c r="J98" s="1" t="s">
        <v>48</v>
      </c>
      <c r="K98" s="1" t="s">
        <v>28</v>
      </c>
      <c r="L98" s="1">
        <v>5</v>
      </c>
      <c r="M98" s="1">
        <v>1098.04</v>
      </c>
      <c r="N98" s="1">
        <v>15</v>
      </c>
      <c r="O98" s="1">
        <v>4666.67</v>
      </c>
    </row>
    <row r="99" spans="1:15" x14ac:dyDescent="0.3">
      <c r="A99" s="1">
        <v>10031</v>
      </c>
      <c r="B99" s="1">
        <v>1276</v>
      </c>
      <c r="C99" s="2">
        <v>45162</v>
      </c>
      <c r="D99" s="2">
        <v>45166</v>
      </c>
      <c r="E99" s="1" t="s">
        <v>15</v>
      </c>
      <c r="F99" s="1" t="s">
        <v>29</v>
      </c>
      <c r="G99" s="1" t="s">
        <v>30</v>
      </c>
      <c r="H99" s="1" t="s">
        <v>42</v>
      </c>
      <c r="I99" s="1" t="s">
        <v>57</v>
      </c>
      <c r="J99" s="1" t="s">
        <v>62</v>
      </c>
      <c r="K99" s="1" t="s">
        <v>47</v>
      </c>
      <c r="L99" s="1">
        <v>5</v>
      </c>
      <c r="M99" s="1">
        <v>2295.65</v>
      </c>
      <c r="N99" s="1">
        <v>20</v>
      </c>
      <c r="O99" s="1">
        <v>9182.6</v>
      </c>
    </row>
    <row r="100" spans="1:15" x14ac:dyDescent="0.3">
      <c r="A100" s="1">
        <v>10201</v>
      </c>
      <c r="B100" s="1">
        <v>1899</v>
      </c>
      <c r="C100" s="2">
        <v>44961</v>
      </c>
      <c r="D100" s="2">
        <v>44966</v>
      </c>
      <c r="E100" s="1" t="s">
        <v>15</v>
      </c>
      <c r="F100" s="1" t="s">
        <v>29</v>
      </c>
      <c r="G100" s="1" t="s">
        <v>30</v>
      </c>
      <c r="H100" s="1" t="s">
        <v>42</v>
      </c>
      <c r="I100" s="1" t="s">
        <v>57</v>
      </c>
      <c r="J100" s="1" t="s">
        <v>59</v>
      </c>
      <c r="K100" s="1" t="s">
        <v>28</v>
      </c>
      <c r="L100" s="1">
        <v>5</v>
      </c>
      <c r="M100" s="1">
        <v>3501.94</v>
      </c>
      <c r="N100" s="1">
        <v>20</v>
      </c>
      <c r="O100" s="1">
        <v>14007.76</v>
      </c>
    </row>
    <row r="101" spans="1:15" x14ac:dyDescent="0.3">
      <c r="A101" s="1">
        <v>10040</v>
      </c>
      <c r="B101" s="1">
        <v>1474</v>
      </c>
      <c r="C101" s="2">
        <v>45274</v>
      </c>
      <c r="D101" s="2">
        <v>45277</v>
      </c>
      <c r="E101" s="1" t="s">
        <v>15</v>
      </c>
      <c r="F101" s="1" t="s">
        <v>16</v>
      </c>
      <c r="G101" s="1" t="s">
        <v>30</v>
      </c>
      <c r="H101" s="1" t="s">
        <v>35</v>
      </c>
      <c r="I101" s="1" t="s">
        <v>26</v>
      </c>
      <c r="J101" s="1" t="s">
        <v>27</v>
      </c>
      <c r="K101" s="1" t="s">
        <v>28</v>
      </c>
      <c r="L101" s="1">
        <v>6</v>
      </c>
      <c r="M101" s="1">
        <v>3083.25</v>
      </c>
      <c r="N101" s="1">
        <v>10</v>
      </c>
      <c r="O101" s="1">
        <v>16649.55</v>
      </c>
    </row>
    <row r="102" spans="1:15" x14ac:dyDescent="0.3">
      <c r="A102" s="1">
        <v>10462</v>
      </c>
      <c r="B102" s="1">
        <v>1191</v>
      </c>
      <c r="C102" s="2">
        <v>45198</v>
      </c>
      <c r="D102" s="2">
        <v>45205</v>
      </c>
      <c r="E102" s="1" t="s">
        <v>15</v>
      </c>
      <c r="F102" s="1" t="s">
        <v>38</v>
      </c>
      <c r="G102" s="1" t="s">
        <v>17</v>
      </c>
      <c r="H102" s="1" t="s">
        <v>25</v>
      </c>
      <c r="I102" s="1" t="s">
        <v>52</v>
      </c>
      <c r="J102" s="1" t="s">
        <v>64</v>
      </c>
      <c r="K102" s="1" t="s">
        <v>45</v>
      </c>
      <c r="L102" s="1">
        <v>6</v>
      </c>
      <c r="M102" s="1">
        <v>385.25</v>
      </c>
      <c r="N102" s="1">
        <v>10</v>
      </c>
      <c r="O102" s="1">
        <v>2080.35</v>
      </c>
    </row>
    <row r="103" spans="1:15" x14ac:dyDescent="0.3">
      <c r="A103" s="1">
        <v>10069</v>
      </c>
      <c r="B103" s="1">
        <v>1013</v>
      </c>
      <c r="C103" s="2">
        <v>45288</v>
      </c>
      <c r="D103" s="2">
        <v>45296</v>
      </c>
      <c r="E103" s="1" t="s">
        <v>15</v>
      </c>
      <c r="F103" s="1" t="s">
        <v>23</v>
      </c>
      <c r="G103" s="1" t="s">
        <v>17</v>
      </c>
      <c r="H103" s="1" t="s">
        <v>44</v>
      </c>
      <c r="I103" s="1" t="s">
        <v>57</v>
      </c>
      <c r="J103" s="1" t="s">
        <v>62</v>
      </c>
      <c r="K103" s="1" t="s">
        <v>33</v>
      </c>
      <c r="L103" s="1">
        <v>6</v>
      </c>
      <c r="M103" s="1">
        <v>1836.98</v>
      </c>
      <c r="N103" s="1">
        <v>5</v>
      </c>
      <c r="O103" s="1">
        <v>10470.790000000001</v>
      </c>
    </row>
    <row r="104" spans="1:15" x14ac:dyDescent="0.3">
      <c r="A104" s="1">
        <v>10496</v>
      </c>
      <c r="B104" s="1">
        <v>1017</v>
      </c>
      <c r="C104" s="2">
        <v>45177</v>
      </c>
      <c r="D104" s="2">
        <v>45178</v>
      </c>
      <c r="E104" s="1" t="s">
        <v>15</v>
      </c>
      <c r="F104" s="1" t="s">
        <v>23</v>
      </c>
      <c r="G104" s="1" t="s">
        <v>17</v>
      </c>
      <c r="H104" s="1" t="s">
        <v>42</v>
      </c>
      <c r="I104" s="1" t="s">
        <v>52</v>
      </c>
      <c r="J104" s="1" t="s">
        <v>60</v>
      </c>
      <c r="K104" s="1" t="s">
        <v>45</v>
      </c>
      <c r="L104" s="1">
        <v>6</v>
      </c>
      <c r="M104" s="1">
        <v>1128.9100000000001</v>
      </c>
      <c r="N104" s="1">
        <v>20</v>
      </c>
      <c r="O104" s="1">
        <v>5418.77</v>
      </c>
    </row>
    <row r="105" spans="1:15" x14ac:dyDescent="0.3">
      <c r="A105" s="1">
        <v>10003</v>
      </c>
      <c r="B105" s="1">
        <v>1860</v>
      </c>
      <c r="C105" s="2">
        <v>45109</v>
      </c>
      <c r="D105" s="2">
        <v>45114</v>
      </c>
      <c r="E105" s="1" t="s">
        <v>15</v>
      </c>
      <c r="F105" s="1" t="s">
        <v>29</v>
      </c>
      <c r="G105" s="1" t="s">
        <v>30</v>
      </c>
      <c r="H105" s="1" t="s">
        <v>25</v>
      </c>
      <c r="I105" s="1" t="s">
        <v>31</v>
      </c>
      <c r="J105" s="1" t="s">
        <v>32</v>
      </c>
      <c r="K105" s="1" t="s">
        <v>33</v>
      </c>
      <c r="L105" s="1">
        <v>6</v>
      </c>
      <c r="M105" s="1">
        <v>3474.34</v>
      </c>
      <c r="N105" s="1">
        <v>15</v>
      </c>
      <c r="O105" s="1">
        <v>17719.13</v>
      </c>
    </row>
    <row r="106" spans="1:15" x14ac:dyDescent="0.3">
      <c r="A106" s="1">
        <v>10286</v>
      </c>
      <c r="B106" s="1">
        <v>1641</v>
      </c>
      <c r="C106" s="2">
        <v>45043</v>
      </c>
      <c r="D106" s="2">
        <v>45050</v>
      </c>
      <c r="E106" s="1" t="s">
        <v>15</v>
      </c>
      <c r="F106" s="1" t="s">
        <v>29</v>
      </c>
      <c r="G106" s="1" t="s">
        <v>17</v>
      </c>
      <c r="H106" s="1" t="s">
        <v>44</v>
      </c>
      <c r="I106" s="1" t="s">
        <v>57</v>
      </c>
      <c r="J106" s="1" t="s">
        <v>58</v>
      </c>
      <c r="K106" s="1" t="s">
        <v>28</v>
      </c>
      <c r="L106" s="1">
        <v>6</v>
      </c>
      <c r="M106" s="1">
        <v>220.79</v>
      </c>
      <c r="N106" s="1">
        <v>5</v>
      </c>
      <c r="O106" s="1">
        <v>1258.5</v>
      </c>
    </row>
    <row r="107" spans="1:15" x14ac:dyDescent="0.3">
      <c r="A107" s="1">
        <v>10391</v>
      </c>
      <c r="B107" s="1">
        <v>1624</v>
      </c>
      <c r="C107" s="2">
        <v>45033</v>
      </c>
      <c r="D107" s="2">
        <v>45037</v>
      </c>
      <c r="E107" s="1" t="s">
        <v>15</v>
      </c>
      <c r="F107" s="1" t="s">
        <v>29</v>
      </c>
      <c r="G107" s="1" t="s">
        <v>30</v>
      </c>
      <c r="H107" s="1" t="s">
        <v>25</v>
      </c>
      <c r="I107" s="1" t="s">
        <v>19</v>
      </c>
      <c r="J107" s="1" t="s">
        <v>66</v>
      </c>
      <c r="K107" s="1" t="s">
        <v>33</v>
      </c>
      <c r="L107" s="1">
        <v>6</v>
      </c>
      <c r="M107" s="1">
        <v>2824.42</v>
      </c>
      <c r="N107" s="1">
        <v>0</v>
      </c>
      <c r="O107" s="1">
        <v>16946.52</v>
      </c>
    </row>
    <row r="108" spans="1:15" x14ac:dyDescent="0.3">
      <c r="A108" s="1">
        <v>10001</v>
      </c>
      <c r="B108" s="1">
        <v>1102</v>
      </c>
      <c r="C108" s="2">
        <v>45197</v>
      </c>
      <c r="D108" s="2">
        <v>45203</v>
      </c>
      <c r="E108" s="1" t="s">
        <v>15</v>
      </c>
      <c r="F108" s="1" t="s">
        <v>16</v>
      </c>
      <c r="G108" s="1" t="s">
        <v>17</v>
      </c>
      <c r="H108" s="1" t="s">
        <v>18</v>
      </c>
      <c r="I108" s="1" t="s">
        <v>19</v>
      </c>
      <c r="J108" s="1" t="s">
        <v>20</v>
      </c>
      <c r="K108" s="1" t="s">
        <v>21</v>
      </c>
      <c r="L108" s="1">
        <v>7</v>
      </c>
      <c r="M108" s="1">
        <v>2843.87</v>
      </c>
      <c r="N108" s="1">
        <v>0</v>
      </c>
      <c r="O108" s="1">
        <v>19907.09</v>
      </c>
    </row>
    <row r="109" spans="1:15" x14ac:dyDescent="0.3">
      <c r="A109" s="1">
        <v>10389</v>
      </c>
      <c r="B109" s="1">
        <v>1627</v>
      </c>
      <c r="C109" s="2">
        <v>45027</v>
      </c>
      <c r="D109" s="2">
        <v>45030</v>
      </c>
      <c r="E109" s="1" t="s">
        <v>15</v>
      </c>
      <c r="F109" s="1" t="s">
        <v>38</v>
      </c>
      <c r="G109" s="1" t="s">
        <v>17</v>
      </c>
      <c r="H109" s="1" t="s">
        <v>35</v>
      </c>
      <c r="I109" s="1" t="s">
        <v>26</v>
      </c>
      <c r="J109" s="1" t="s">
        <v>69</v>
      </c>
      <c r="K109" s="1" t="s">
        <v>21</v>
      </c>
      <c r="L109" s="1">
        <v>7</v>
      </c>
      <c r="M109" s="1">
        <v>3459.29</v>
      </c>
      <c r="N109" s="1">
        <v>0</v>
      </c>
      <c r="O109" s="1">
        <v>24215.03</v>
      </c>
    </row>
    <row r="110" spans="1:15" x14ac:dyDescent="0.3">
      <c r="A110" s="1">
        <v>10247</v>
      </c>
      <c r="B110" s="1">
        <v>1258</v>
      </c>
      <c r="C110" s="2">
        <v>44996</v>
      </c>
      <c r="D110" s="2">
        <v>44998</v>
      </c>
      <c r="E110" s="1" t="s">
        <v>15</v>
      </c>
      <c r="F110" s="1" t="s">
        <v>54</v>
      </c>
      <c r="G110" s="1" t="s">
        <v>30</v>
      </c>
      <c r="H110" s="1" t="s">
        <v>35</v>
      </c>
      <c r="I110" s="1" t="s">
        <v>52</v>
      </c>
      <c r="J110" s="1" t="s">
        <v>64</v>
      </c>
      <c r="K110" s="1" t="s">
        <v>47</v>
      </c>
      <c r="L110" s="1">
        <v>7</v>
      </c>
      <c r="M110" s="1">
        <v>2102.27</v>
      </c>
      <c r="N110" s="1">
        <v>20</v>
      </c>
      <c r="O110" s="1">
        <v>11772.71</v>
      </c>
    </row>
    <row r="111" spans="1:15" x14ac:dyDescent="0.3">
      <c r="A111" s="1">
        <v>10183</v>
      </c>
      <c r="B111" s="1">
        <v>1766</v>
      </c>
      <c r="C111" s="2">
        <v>45285</v>
      </c>
      <c r="D111" s="2">
        <v>45294</v>
      </c>
      <c r="E111" s="1" t="s">
        <v>15</v>
      </c>
      <c r="F111" s="1" t="s">
        <v>23</v>
      </c>
      <c r="G111" s="1" t="s">
        <v>30</v>
      </c>
      <c r="H111" s="1" t="s">
        <v>18</v>
      </c>
      <c r="I111" s="1" t="s">
        <v>31</v>
      </c>
      <c r="J111" s="1" t="s">
        <v>39</v>
      </c>
      <c r="K111" s="1" t="s">
        <v>47</v>
      </c>
      <c r="L111" s="1">
        <v>7</v>
      </c>
      <c r="M111" s="1">
        <v>658.07</v>
      </c>
      <c r="N111" s="1">
        <v>20</v>
      </c>
      <c r="O111" s="1">
        <v>3685.19</v>
      </c>
    </row>
    <row r="112" spans="1:15" x14ac:dyDescent="0.3">
      <c r="A112" s="1">
        <v>10262</v>
      </c>
      <c r="B112" s="1">
        <v>1373</v>
      </c>
      <c r="C112" s="2">
        <v>44996</v>
      </c>
      <c r="D112" s="2">
        <v>44998</v>
      </c>
      <c r="E112" s="1" t="s">
        <v>15</v>
      </c>
      <c r="F112" s="1" t="s">
        <v>23</v>
      </c>
      <c r="G112" s="1" t="s">
        <v>17</v>
      </c>
      <c r="H112" s="1" t="s">
        <v>44</v>
      </c>
      <c r="I112" s="1" t="s">
        <v>57</v>
      </c>
      <c r="J112" s="1" t="s">
        <v>59</v>
      </c>
      <c r="K112" s="1" t="s">
        <v>21</v>
      </c>
      <c r="L112" s="1">
        <v>7</v>
      </c>
      <c r="M112" s="1">
        <v>2472.29</v>
      </c>
      <c r="N112" s="1">
        <v>10</v>
      </c>
      <c r="O112" s="1">
        <v>15575.43</v>
      </c>
    </row>
    <row r="113" spans="1:15" x14ac:dyDescent="0.3">
      <c r="A113" s="1">
        <v>10318</v>
      </c>
      <c r="B113" s="1">
        <v>1906</v>
      </c>
      <c r="C113" s="2">
        <v>45093</v>
      </c>
      <c r="D113" s="2">
        <v>45097</v>
      </c>
      <c r="E113" s="1" t="s">
        <v>15</v>
      </c>
      <c r="F113" s="1" t="s">
        <v>23</v>
      </c>
      <c r="G113" s="1" t="s">
        <v>30</v>
      </c>
      <c r="H113" s="1" t="s">
        <v>35</v>
      </c>
      <c r="I113" s="1" t="s">
        <v>49</v>
      </c>
      <c r="J113" s="1" t="s">
        <v>68</v>
      </c>
      <c r="K113" s="1" t="s">
        <v>21</v>
      </c>
      <c r="L113" s="1">
        <v>7</v>
      </c>
      <c r="M113" s="1">
        <v>245.03</v>
      </c>
      <c r="N113" s="1">
        <v>0</v>
      </c>
      <c r="O113" s="1">
        <v>1715.21</v>
      </c>
    </row>
    <row r="114" spans="1:15" x14ac:dyDescent="0.3">
      <c r="A114" s="1">
        <v>10451</v>
      </c>
      <c r="B114" s="1">
        <v>1608</v>
      </c>
      <c r="C114" s="2">
        <v>45102</v>
      </c>
      <c r="D114" s="2">
        <v>45110</v>
      </c>
      <c r="E114" s="1" t="s">
        <v>15</v>
      </c>
      <c r="F114" s="1" t="s">
        <v>29</v>
      </c>
      <c r="G114" s="1" t="s">
        <v>24</v>
      </c>
      <c r="H114" s="1" t="s">
        <v>25</v>
      </c>
      <c r="I114" s="1" t="s">
        <v>57</v>
      </c>
      <c r="J114" s="1" t="s">
        <v>59</v>
      </c>
      <c r="K114" s="1" t="s">
        <v>28</v>
      </c>
      <c r="L114" s="1">
        <v>7</v>
      </c>
      <c r="M114" s="1">
        <v>1332.87</v>
      </c>
      <c r="N114" s="1">
        <v>0</v>
      </c>
      <c r="O114" s="1">
        <v>9330.09</v>
      </c>
    </row>
    <row r="115" spans="1:15" x14ac:dyDescent="0.3">
      <c r="A115" s="1">
        <v>10490</v>
      </c>
      <c r="B115" s="1">
        <v>1927</v>
      </c>
      <c r="C115" s="2">
        <v>45259</v>
      </c>
      <c r="D115" s="2">
        <v>45261</v>
      </c>
      <c r="E115" s="1" t="s">
        <v>15</v>
      </c>
      <c r="F115" s="1" t="s">
        <v>29</v>
      </c>
      <c r="G115" s="1" t="s">
        <v>17</v>
      </c>
      <c r="H115" s="1" t="s">
        <v>35</v>
      </c>
      <c r="I115" s="1" t="s">
        <v>31</v>
      </c>
      <c r="J115" s="1" t="s">
        <v>32</v>
      </c>
      <c r="K115" s="1" t="s">
        <v>45</v>
      </c>
      <c r="L115" s="1">
        <v>7</v>
      </c>
      <c r="M115" s="1">
        <v>2838.06</v>
      </c>
      <c r="N115" s="1">
        <v>20</v>
      </c>
      <c r="O115" s="1">
        <v>15893.14</v>
      </c>
    </row>
    <row r="116" spans="1:15" x14ac:dyDescent="0.3">
      <c r="A116" s="1">
        <v>10245</v>
      </c>
      <c r="B116" s="1">
        <v>1972</v>
      </c>
      <c r="C116" s="2">
        <v>45143</v>
      </c>
      <c r="D116" s="2">
        <v>45148</v>
      </c>
      <c r="E116" s="1" t="s">
        <v>15</v>
      </c>
      <c r="F116" s="1" t="s">
        <v>16</v>
      </c>
      <c r="G116" s="1" t="s">
        <v>30</v>
      </c>
      <c r="H116" s="1" t="s">
        <v>42</v>
      </c>
      <c r="I116" s="1" t="s">
        <v>49</v>
      </c>
      <c r="J116" s="1" t="s">
        <v>51</v>
      </c>
      <c r="K116" s="1" t="s">
        <v>47</v>
      </c>
      <c r="L116" s="1">
        <v>8</v>
      </c>
      <c r="M116" s="1">
        <v>1504.45</v>
      </c>
      <c r="N116" s="1">
        <v>20</v>
      </c>
      <c r="O116" s="1">
        <v>9628.48</v>
      </c>
    </row>
    <row r="117" spans="1:15" x14ac:dyDescent="0.3">
      <c r="A117" s="1">
        <v>10320</v>
      </c>
      <c r="B117" s="1">
        <v>1751</v>
      </c>
      <c r="C117" s="2">
        <v>45002</v>
      </c>
      <c r="D117" s="2">
        <v>45005</v>
      </c>
      <c r="E117" s="1" t="s">
        <v>15</v>
      </c>
      <c r="F117" s="1" t="s">
        <v>16</v>
      </c>
      <c r="G117" s="1" t="s">
        <v>17</v>
      </c>
      <c r="H117" s="1" t="s">
        <v>35</v>
      </c>
      <c r="I117" s="1" t="s">
        <v>26</v>
      </c>
      <c r="J117" s="1" t="s">
        <v>36</v>
      </c>
      <c r="K117" s="1" t="s">
        <v>28</v>
      </c>
      <c r="L117" s="1">
        <v>8</v>
      </c>
      <c r="M117" s="1">
        <v>2254.7800000000002</v>
      </c>
      <c r="N117" s="1">
        <v>0</v>
      </c>
      <c r="O117" s="1">
        <v>18038.240000000002</v>
      </c>
    </row>
    <row r="118" spans="1:15" x14ac:dyDescent="0.3">
      <c r="A118" s="1">
        <v>10419</v>
      </c>
      <c r="B118" s="1">
        <v>1397</v>
      </c>
      <c r="C118" s="2">
        <v>45122</v>
      </c>
      <c r="D118" s="2">
        <v>45129</v>
      </c>
      <c r="E118" s="1" t="s">
        <v>15</v>
      </c>
      <c r="F118" s="1" t="s">
        <v>16</v>
      </c>
      <c r="G118" s="1" t="s">
        <v>24</v>
      </c>
      <c r="H118" s="1" t="s">
        <v>35</v>
      </c>
      <c r="I118" s="1" t="s">
        <v>26</v>
      </c>
      <c r="J118" s="1" t="s">
        <v>27</v>
      </c>
      <c r="K118" s="1" t="s">
        <v>47</v>
      </c>
      <c r="L118" s="1">
        <v>8</v>
      </c>
      <c r="M118" s="1">
        <v>1975.53</v>
      </c>
      <c r="N118" s="1">
        <v>5</v>
      </c>
      <c r="O118" s="1">
        <v>15014.03</v>
      </c>
    </row>
    <row r="119" spans="1:15" x14ac:dyDescent="0.3">
      <c r="A119" s="1">
        <v>10210</v>
      </c>
      <c r="B119" s="1">
        <v>1035</v>
      </c>
      <c r="C119" s="2">
        <v>45282</v>
      </c>
      <c r="D119" s="2">
        <v>45284</v>
      </c>
      <c r="E119" s="1" t="s">
        <v>15</v>
      </c>
      <c r="F119" s="1" t="s">
        <v>54</v>
      </c>
      <c r="G119" s="1" t="s">
        <v>30</v>
      </c>
      <c r="H119" s="1" t="s">
        <v>18</v>
      </c>
      <c r="I119" s="1" t="s">
        <v>19</v>
      </c>
      <c r="J119" s="1" t="s">
        <v>20</v>
      </c>
      <c r="K119" s="1" t="s">
        <v>45</v>
      </c>
      <c r="L119" s="1">
        <v>8</v>
      </c>
      <c r="M119" s="1">
        <v>3656.59</v>
      </c>
      <c r="N119" s="1">
        <v>15</v>
      </c>
      <c r="O119" s="1">
        <v>24864.81</v>
      </c>
    </row>
    <row r="120" spans="1:15" x14ac:dyDescent="0.3">
      <c r="A120" s="1">
        <v>10228</v>
      </c>
      <c r="B120" s="1">
        <v>1339</v>
      </c>
      <c r="C120" s="2">
        <v>44983</v>
      </c>
      <c r="D120" s="2">
        <v>44990</v>
      </c>
      <c r="E120" s="1" t="s">
        <v>15</v>
      </c>
      <c r="F120" s="1" t="s">
        <v>54</v>
      </c>
      <c r="G120" s="1" t="s">
        <v>17</v>
      </c>
      <c r="H120" s="1" t="s">
        <v>35</v>
      </c>
      <c r="I120" s="1" t="s">
        <v>57</v>
      </c>
      <c r="J120" s="1" t="s">
        <v>62</v>
      </c>
      <c r="K120" s="1" t="s">
        <v>21</v>
      </c>
      <c r="L120" s="1">
        <v>8</v>
      </c>
      <c r="M120" s="1">
        <v>2645.2</v>
      </c>
      <c r="N120" s="1">
        <v>20</v>
      </c>
      <c r="O120" s="1">
        <v>16929.28</v>
      </c>
    </row>
    <row r="121" spans="1:15" x14ac:dyDescent="0.3">
      <c r="A121" s="1">
        <v>10066</v>
      </c>
      <c r="B121" s="1">
        <v>1387</v>
      </c>
      <c r="C121" s="2">
        <v>45155</v>
      </c>
      <c r="D121" s="2">
        <v>45158</v>
      </c>
      <c r="E121" s="1" t="s">
        <v>15</v>
      </c>
      <c r="F121" s="1" t="s">
        <v>23</v>
      </c>
      <c r="G121" s="1" t="s">
        <v>17</v>
      </c>
      <c r="H121" s="1" t="s">
        <v>35</v>
      </c>
      <c r="I121" s="1" t="s">
        <v>57</v>
      </c>
      <c r="J121" s="1" t="s">
        <v>67</v>
      </c>
      <c r="K121" s="1" t="s">
        <v>45</v>
      </c>
      <c r="L121" s="1">
        <v>8</v>
      </c>
      <c r="M121" s="1">
        <v>3769.71</v>
      </c>
      <c r="N121" s="1">
        <v>5</v>
      </c>
      <c r="O121" s="1">
        <v>28649.8</v>
      </c>
    </row>
    <row r="122" spans="1:15" x14ac:dyDescent="0.3">
      <c r="A122" s="1">
        <v>10495</v>
      </c>
      <c r="B122" s="1">
        <v>1127</v>
      </c>
      <c r="C122" s="2">
        <v>45060</v>
      </c>
      <c r="D122" s="2">
        <v>45063</v>
      </c>
      <c r="E122" s="1" t="s">
        <v>15</v>
      </c>
      <c r="F122" s="1" t="s">
        <v>23</v>
      </c>
      <c r="G122" s="1" t="s">
        <v>30</v>
      </c>
      <c r="H122" s="1" t="s">
        <v>25</v>
      </c>
      <c r="I122" s="1" t="s">
        <v>57</v>
      </c>
      <c r="J122" s="1" t="s">
        <v>59</v>
      </c>
      <c r="K122" s="1" t="s">
        <v>45</v>
      </c>
      <c r="L122" s="1">
        <v>8</v>
      </c>
      <c r="M122" s="1">
        <v>598.44000000000005</v>
      </c>
      <c r="N122" s="1">
        <v>0</v>
      </c>
      <c r="O122" s="1">
        <v>4787.5200000000004</v>
      </c>
    </row>
    <row r="123" spans="1:15" x14ac:dyDescent="0.3">
      <c r="A123" s="1">
        <v>10171</v>
      </c>
      <c r="B123" s="1">
        <v>1986</v>
      </c>
      <c r="C123" s="2">
        <v>45227</v>
      </c>
      <c r="D123" s="2">
        <v>45228</v>
      </c>
      <c r="E123" s="1" t="s">
        <v>15</v>
      </c>
      <c r="F123" s="1" t="s">
        <v>41</v>
      </c>
      <c r="G123" s="1" t="s">
        <v>24</v>
      </c>
      <c r="H123" s="1" t="s">
        <v>18</v>
      </c>
      <c r="I123" s="1" t="s">
        <v>19</v>
      </c>
      <c r="J123" s="1" t="s">
        <v>43</v>
      </c>
      <c r="K123" s="1" t="s">
        <v>21</v>
      </c>
      <c r="L123" s="1">
        <v>8</v>
      </c>
      <c r="M123" s="1">
        <v>3795.01</v>
      </c>
      <c r="N123" s="1">
        <v>5</v>
      </c>
      <c r="O123" s="1">
        <v>28842.080000000002</v>
      </c>
    </row>
    <row r="124" spans="1:15" x14ac:dyDescent="0.3">
      <c r="A124" s="1">
        <v>10180</v>
      </c>
      <c r="B124" s="1">
        <v>1004</v>
      </c>
      <c r="C124" s="2">
        <v>45004</v>
      </c>
      <c r="D124" s="2">
        <v>45006</v>
      </c>
      <c r="E124" s="1" t="s">
        <v>15</v>
      </c>
      <c r="F124" s="1" t="s">
        <v>29</v>
      </c>
      <c r="G124" s="1" t="s">
        <v>17</v>
      </c>
      <c r="H124" s="1" t="s">
        <v>35</v>
      </c>
      <c r="I124" s="1" t="s">
        <v>19</v>
      </c>
      <c r="J124" s="1" t="s">
        <v>43</v>
      </c>
      <c r="K124" s="1" t="s">
        <v>45</v>
      </c>
      <c r="L124" s="1">
        <v>8</v>
      </c>
      <c r="M124" s="1">
        <v>2211.17</v>
      </c>
      <c r="N124" s="1">
        <v>10</v>
      </c>
      <c r="O124" s="1">
        <v>15920.42</v>
      </c>
    </row>
    <row r="125" spans="1:15" x14ac:dyDescent="0.3">
      <c r="A125" s="1">
        <v>10358</v>
      </c>
      <c r="B125" s="1">
        <v>1989</v>
      </c>
      <c r="C125" s="2">
        <v>45015</v>
      </c>
      <c r="D125" s="2">
        <v>45019</v>
      </c>
      <c r="E125" s="1" t="s">
        <v>15</v>
      </c>
      <c r="F125" s="1" t="s">
        <v>29</v>
      </c>
      <c r="G125" s="1" t="s">
        <v>30</v>
      </c>
      <c r="H125" s="1" t="s">
        <v>35</v>
      </c>
      <c r="I125" s="1" t="s">
        <v>57</v>
      </c>
      <c r="J125" s="1" t="s">
        <v>58</v>
      </c>
      <c r="K125" s="1" t="s">
        <v>33</v>
      </c>
      <c r="L125" s="1">
        <v>8</v>
      </c>
      <c r="M125" s="1">
        <v>3581.12</v>
      </c>
      <c r="N125" s="1">
        <v>15</v>
      </c>
      <c r="O125" s="1">
        <v>24351.62</v>
      </c>
    </row>
    <row r="126" spans="1:15" x14ac:dyDescent="0.3">
      <c r="A126" s="1">
        <v>10291</v>
      </c>
      <c r="B126" s="1">
        <v>1735</v>
      </c>
      <c r="C126" s="2">
        <v>45007</v>
      </c>
      <c r="D126" s="2">
        <v>45008</v>
      </c>
      <c r="E126" s="1" t="s">
        <v>15</v>
      </c>
      <c r="F126" s="1" t="s">
        <v>54</v>
      </c>
      <c r="G126" s="1" t="s">
        <v>24</v>
      </c>
      <c r="H126" s="1" t="s">
        <v>25</v>
      </c>
      <c r="I126" s="1" t="s">
        <v>52</v>
      </c>
      <c r="J126" s="1" t="s">
        <v>53</v>
      </c>
      <c r="K126" s="1" t="s">
        <v>33</v>
      </c>
      <c r="L126" s="1">
        <v>9</v>
      </c>
      <c r="M126" s="1">
        <v>2661.11</v>
      </c>
      <c r="N126" s="1">
        <v>10</v>
      </c>
      <c r="O126" s="1">
        <v>21554.99</v>
      </c>
    </row>
    <row r="127" spans="1:15" x14ac:dyDescent="0.3">
      <c r="A127" s="1">
        <v>10442</v>
      </c>
      <c r="B127" s="1">
        <v>1364</v>
      </c>
      <c r="C127" s="2">
        <v>45089</v>
      </c>
      <c r="D127" s="2">
        <v>45094</v>
      </c>
      <c r="E127" s="1" t="s">
        <v>15</v>
      </c>
      <c r="F127" s="1" t="s">
        <v>23</v>
      </c>
      <c r="G127" s="1" t="s">
        <v>24</v>
      </c>
      <c r="H127" s="1" t="s">
        <v>35</v>
      </c>
      <c r="I127" s="1" t="s">
        <v>57</v>
      </c>
      <c r="J127" s="1" t="s">
        <v>58</v>
      </c>
      <c r="K127" s="1" t="s">
        <v>45</v>
      </c>
      <c r="L127" s="1">
        <v>9</v>
      </c>
      <c r="M127" s="1">
        <v>2969.7</v>
      </c>
      <c r="N127" s="1">
        <v>10</v>
      </c>
      <c r="O127" s="1">
        <v>24054.57</v>
      </c>
    </row>
    <row r="128" spans="1:15" x14ac:dyDescent="0.3">
      <c r="A128" s="1">
        <v>10242</v>
      </c>
      <c r="B128" s="1">
        <v>1957</v>
      </c>
      <c r="C128" s="2">
        <v>45262</v>
      </c>
      <c r="D128" s="2">
        <v>45263</v>
      </c>
      <c r="E128" s="1" t="s">
        <v>15</v>
      </c>
      <c r="F128" s="1" t="s">
        <v>29</v>
      </c>
      <c r="G128" s="1" t="s">
        <v>24</v>
      </c>
      <c r="H128" s="1" t="s">
        <v>44</v>
      </c>
      <c r="I128" s="1" t="s">
        <v>52</v>
      </c>
      <c r="J128" s="1" t="s">
        <v>64</v>
      </c>
      <c r="K128" s="1" t="s">
        <v>47</v>
      </c>
      <c r="L128" s="1">
        <v>9</v>
      </c>
      <c r="M128" s="1">
        <v>2092.7800000000002</v>
      </c>
      <c r="N128" s="1">
        <v>20</v>
      </c>
      <c r="O128" s="1">
        <v>15068.02</v>
      </c>
    </row>
    <row r="129" spans="1:15" x14ac:dyDescent="0.3">
      <c r="A129" s="1">
        <v>10348</v>
      </c>
      <c r="B129" s="1">
        <v>1337</v>
      </c>
      <c r="C129" s="2">
        <v>44992</v>
      </c>
      <c r="D129" s="2">
        <v>44993</v>
      </c>
      <c r="E129" s="1" t="s">
        <v>15</v>
      </c>
      <c r="F129" s="1" t="s">
        <v>29</v>
      </c>
      <c r="G129" s="1" t="s">
        <v>17</v>
      </c>
      <c r="H129" s="1" t="s">
        <v>42</v>
      </c>
      <c r="I129" s="1" t="s">
        <v>49</v>
      </c>
      <c r="J129" s="1" t="s">
        <v>68</v>
      </c>
      <c r="K129" s="1" t="s">
        <v>47</v>
      </c>
      <c r="L129" s="1">
        <v>9</v>
      </c>
      <c r="M129" s="1">
        <v>636.14</v>
      </c>
      <c r="N129" s="1">
        <v>20</v>
      </c>
      <c r="O129" s="1">
        <v>4580.21</v>
      </c>
    </row>
    <row r="130" spans="1:15" x14ac:dyDescent="0.3">
      <c r="A130" s="1">
        <v>10142</v>
      </c>
      <c r="B130" s="1">
        <v>1138</v>
      </c>
      <c r="C130" s="2">
        <v>45114</v>
      </c>
      <c r="D130" s="2">
        <v>45123</v>
      </c>
      <c r="E130" s="1" t="s">
        <v>16</v>
      </c>
      <c r="F130" s="1" t="s">
        <v>38</v>
      </c>
      <c r="G130" s="1" t="s">
        <v>17</v>
      </c>
      <c r="H130" s="1" t="s">
        <v>42</v>
      </c>
      <c r="I130" s="1" t="s">
        <v>49</v>
      </c>
      <c r="J130" s="1" t="s">
        <v>51</v>
      </c>
      <c r="K130" s="1" t="s">
        <v>33</v>
      </c>
      <c r="L130" s="1">
        <v>1</v>
      </c>
      <c r="M130" s="1">
        <v>2063.0500000000002</v>
      </c>
      <c r="N130" s="1">
        <v>0</v>
      </c>
      <c r="O130" s="1">
        <v>2063.0500000000002</v>
      </c>
    </row>
    <row r="131" spans="1:15" x14ac:dyDescent="0.3">
      <c r="A131" s="1">
        <v>10403</v>
      </c>
      <c r="B131" s="1">
        <v>1152</v>
      </c>
      <c r="C131" s="2">
        <v>45035</v>
      </c>
      <c r="D131" s="2">
        <v>45037</v>
      </c>
      <c r="E131" s="1" t="s">
        <v>16</v>
      </c>
      <c r="F131" s="1" t="s">
        <v>38</v>
      </c>
      <c r="G131" s="1" t="s">
        <v>24</v>
      </c>
      <c r="H131" s="1" t="s">
        <v>44</v>
      </c>
      <c r="I131" s="1" t="s">
        <v>26</v>
      </c>
      <c r="J131" s="1" t="s">
        <v>36</v>
      </c>
      <c r="K131" s="1" t="s">
        <v>21</v>
      </c>
      <c r="L131" s="1">
        <v>1</v>
      </c>
      <c r="M131" s="1">
        <v>2743.75</v>
      </c>
      <c r="N131" s="1">
        <v>15</v>
      </c>
      <c r="O131" s="1">
        <v>2332.19</v>
      </c>
    </row>
    <row r="132" spans="1:15" x14ac:dyDescent="0.3">
      <c r="A132" s="1">
        <v>10163</v>
      </c>
      <c r="B132" s="1">
        <v>1406</v>
      </c>
      <c r="C132" s="2">
        <v>45245</v>
      </c>
      <c r="D132" s="2">
        <v>45249</v>
      </c>
      <c r="E132" s="1" t="s">
        <v>16</v>
      </c>
      <c r="F132" s="1" t="s">
        <v>23</v>
      </c>
      <c r="G132" s="1" t="s">
        <v>30</v>
      </c>
      <c r="H132" s="1" t="s">
        <v>44</v>
      </c>
      <c r="I132" s="1" t="s">
        <v>52</v>
      </c>
      <c r="J132" s="1" t="s">
        <v>53</v>
      </c>
      <c r="K132" s="1" t="s">
        <v>45</v>
      </c>
      <c r="L132" s="1">
        <v>1</v>
      </c>
      <c r="M132" s="1">
        <v>1219.22</v>
      </c>
      <c r="N132" s="1">
        <v>20</v>
      </c>
      <c r="O132" s="1">
        <v>975.38</v>
      </c>
    </row>
    <row r="133" spans="1:15" x14ac:dyDescent="0.3">
      <c r="A133" s="1">
        <v>10067</v>
      </c>
      <c r="B133" s="1">
        <v>1600</v>
      </c>
      <c r="C133" s="2">
        <v>45037</v>
      </c>
      <c r="D133" s="2">
        <v>45038</v>
      </c>
      <c r="E133" s="1" t="s">
        <v>16</v>
      </c>
      <c r="F133" s="1" t="s">
        <v>41</v>
      </c>
      <c r="G133" s="1" t="s">
        <v>24</v>
      </c>
      <c r="H133" s="1" t="s">
        <v>42</v>
      </c>
      <c r="I133" s="1" t="s">
        <v>52</v>
      </c>
      <c r="J133" s="1" t="s">
        <v>64</v>
      </c>
      <c r="K133" s="1" t="s">
        <v>28</v>
      </c>
      <c r="L133" s="1">
        <v>1</v>
      </c>
      <c r="M133" s="1">
        <v>330.13</v>
      </c>
      <c r="N133" s="1">
        <v>15</v>
      </c>
      <c r="O133" s="1">
        <v>280.61</v>
      </c>
    </row>
    <row r="134" spans="1:15" x14ac:dyDescent="0.3">
      <c r="A134" s="1">
        <v>10187</v>
      </c>
      <c r="B134" s="1">
        <v>1392</v>
      </c>
      <c r="C134" s="2">
        <v>44987</v>
      </c>
      <c r="D134" s="2">
        <v>44991</v>
      </c>
      <c r="E134" s="1" t="s">
        <v>16</v>
      </c>
      <c r="F134" s="1" t="s">
        <v>41</v>
      </c>
      <c r="G134" s="1" t="s">
        <v>17</v>
      </c>
      <c r="H134" s="1" t="s">
        <v>44</v>
      </c>
      <c r="I134" s="1" t="s">
        <v>19</v>
      </c>
      <c r="J134" s="1" t="s">
        <v>43</v>
      </c>
      <c r="K134" s="1" t="s">
        <v>33</v>
      </c>
      <c r="L134" s="1">
        <v>1</v>
      </c>
      <c r="M134" s="1">
        <v>1730.41</v>
      </c>
      <c r="N134" s="1">
        <v>10</v>
      </c>
      <c r="O134" s="1">
        <v>1557.37</v>
      </c>
    </row>
    <row r="135" spans="1:15" x14ac:dyDescent="0.3">
      <c r="A135" s="1">
        <v>10233</v>
      </c>
      <c r="B135" s="1">
        <v>1505</v>
      </c>
      <c r="C135" s="2">
        <v>45139</v>
      </c>
      <c r="D135" s="2">
        <v>45143</v>
      </c>
      <c r="E135" s="1" t="s">
        <v>16</v>
      </c>
      <c r="F135" s="1" t="s">
        <v>41</v>
      </c>
      <c r="G135" s="1" t="s">
        <v>17</v>
      </c>
      <c r="H135" s="1" t="s">
        <v>44</v>
      </c>
      <c r="I135" s="1" t="s">
        <v>19</v>
      </c>
      <c r="J135" s="1" t="s">
        <v>55</v>
      </c>
      <c r="K135" s="1" t="s">
        <v>47</v>
      </c>
      <c r="L135" s="1">
        <v>1</v>
      </c>
      <c r="M135" s="1">
        <v>556.53</v>
      </c>
      <c r="N135" s="1">
        <v>5</v>
      </c>
      <c r="O135" s="1">
        <v>528.70000000000005</v>
      </c>
    </row>
    <row r="136" spans="1:15" x14ac:dyDescent="0.3">
      <c r="A136" s="1">
        <v>10336</v>
      </c>
      <c r="B136" s="1">
        <v>1962</v>
      </c>
      <c r="C136" s="2">
        <v>45069</v>
      </c>
      <c r="D136" s="2">
        <v>45072</v>
      </c>
      <c r="E136" s="1" t="s">
        <v>16</v>
      </c>
      <c r="F136" s="1" t="s">
        <v>41</v>
      </c>
      <c r="G136" s="1" t="s">
        <v>24</v>
      </c>
      <c r="H136" s="1" t="s">
        <v>42</v>
      </c>
      <c r="I136" s="1" t="s">
        <v>19</v>
      </c>
      <c r="J136" s="1" t="s">
        <v>66</v>
      </c>
      <c r="K136" s="1" t="s">
        <v>33</v>
      </c>
      <c r="L136" s="1">
        <v>1</v>
      </c>
      <c r="M136" s="1">
        <v>1126.5</v>
      </c>
      <c r="N136" s="1">
        <v>15</v>
      </c>
      <c r="O136" s="1">
        <v>957.52</v>
      </c>
    </row>
    <row r="137" spans="1:15" x14ac:dyDescent="0.3">
      <c r="A137" s="1">
        <v>10359</v>
      </c>
      <c r="B137" s="1">
        <v>1297</v>
      </c>
      <c r="C137" s="2">
        <v>45104</v>
      </c>
      <c r="D137" s="2">
        <v>45105</v>
      </c>
      <c r="E137" s="1" t="s">
        <v>16</v>
      </c>
      <c r="F137" s="1" t="s">
        <v>41</v>
      </c>
      <c r="G137" s="1" t="s">
        <v>17</v>
      </c>
      <c r="H137" s="1" t="s">
        <v>25</v>
      </c>
      <c r="I137" s="1" t="s">
        <v>31</v>
      </c>
      <c r="J137" s="1" t="s">
        <v>48</v>
      </c>
      <c r="K137" s="1" t="s">
        <v>47</v>
      </c>
      <c r="L137" s="1">
        <v>1</v>
      </c>
      <c r="M137" s="1">
        <v>202.49</v>
      </c>
      <c r="N137" s="1">
        <v>5</v>
      </c>
      <c r="O137" s="1">
        <v>192.37</v>
      </c>
    </row>
    <row r="138" spans="1:15" x14ac:dyDescent="0.3">
      <c r="A138" s="1">
        <v>10363</v>
      </c>
      <c r="B138" s="1">
        <v>1143</v>
      </c>
      <c r="C138" s="2">
        <v>45194</v>
      </c>
      <c r="D138" s="2">
        <v>45202</v>
      </c>
      <c r="E138" s="1" t="s">
        <v>16</v>
      </c>
      <c r="F138" s="1" t="s">
        <v>41</v>
      </c>
      <c r="G138" s="1" t="s">
        <v>30</v>
      </c>
      <c r="H138" s="1" t="s">
        <v>18</v>
      </c>
      <c r="I138" s="1" t="s">
        <v>57</v>
      </c>
      <c r="J138" s="1" t="s">
        <v>62</v>
      </c>
      <c r="K138" s="1" t="s">
        <v>45</v>
      </c>
      <c r="L138" s="1">
        <v>1</v>
      </c>
      <c r="M138" s="1">
        <v>504.58</v>
      </c>
      <c r="N138" s="1">
        <v>5</v>
      </c>
      <c r="O138" s="1">
        <v>479.35</v>
      </c>
    </row>
    <row r="139" spans="1:15" x14ac:dyDescent="0.3">
      <c r="A139" s="1">
        <v>10212</v>
      </c>
      <c r="B139" s="1">
        <v>1159</v>
      </c>
      <c r="C139" s="2">
        <v>45016</v>
      </c>
      <c r="D139" s="2">
        <v>45019</v>
      </c>
      <c r="E139" s="1" t="s">
        <v>16</v>
      </c>
      <c r="F139" s="1" t="s">
        <v>29</v>
      </c>
      <c r="G139" s="1" t="s">
        <v>30</v>
      </c>
      <c r="H139" s="1" t="s">
        <v>44</v>
      </c>
      <c r="I139" s="1" t="s">
        <v>26</v>
      </c>
      <c r="J139" s="1" t="s">
        <v>61</v>
      </c>
      <c r="K139" s="1" t="s">
        <v>33</v>
      </c>
      <c r="L139" s="1">
        <v>1</v>
      </c>
      <c r="M139" s="1">
        <v>2975.54</v>
      </c>
      <c r="N139" s="1">
        <v>15</v>
      </c>
      <c r="O139" s="1">
        <v>2529.21</v>
      </c>
    </row>
    <row r="140" spans="1:15" x14ac:dyDescent="0.3">
      <c r="A140" s="1">
        <v>10246</v>
      </c>
      <c r="B140" s="1">
        <v>1744</v>
      </c>
      <c r="C140" s="2">
        <v>45131</v>
      </c>
      <c r="D140" s="2">
        <v>45139</v>
      </c>
      <c r="E140" s="1" t="s">
        <v>16</v>
      </c>
      <c r="F140" s="1" t="s">
        <v>29</v>
      </c>
      <c r="G140" s="1" t="s">
        <v>24</v>
      </c>
      <c r="H140" s="1" t="s">
        <v>25</v>
      </c>
      <c r="I140" s="1" t="s">
        <v>52</v>
      </c>
      <c r="J140" s="1" t="s">
        <v>53</v>
      </c>
      <c r="K140" s="1" t="s">
        <v>45</v>
      </c>
      <c r="L140" s="1">
        <v>1</v>
      </c>
      <c r="M140" s="1">
        <v>3082.45</v>
      </c>
      <c r="N140" s="1">
        <v>5</v>
      </c>
      <c r="O140" s="1">
        <v>2928.33</v>
      </c>
    </row>
    <row r="141" spans="1:15" x14ac:dyDescent="0.3">
      <c r="A141" s="1">
        <v>10406</v>
      </c>
      <c r="B141" s="1">
        <v>1895</v>
      </c>
      <c r="C141" s="2">
        <v>45195</v>
      </c>
      <c r="D141" s="2">
        <v>45204</v>
      </c>
      <c r="E141" s="1" t="s">
        <v>16</v>
      </c>
      <c r="F141" s="1" t="s">
        <v>29</v>
      </c>
      <c r="G141" s="1" t="s">
        <v>30</v>
      </c>
      <c r="H141" s="1" t="s">
        <v>44</v>
      </c>
      <c r="I141" s="1" t="s">
        <v>49</v>
      </c>
      <c r="J141" s="1" t="s">
        <v>51</v>
      </c>
      <c r="K141" s="1" t="s">
        <v>21</v>
      </c>
      <c r="L141" s="1">
        <v>1</v>
      </c>
      <c r="M141" s="1">
        <v>2044.41</v>
      </c>
      <c r="N141" s="1">
        <v>0</v>
      </c>
      <c r="O141" s="1">
        <v>2044.41</v>
      </c>
    </row>
    <row r="142" spans="1:15" x14ac:dyDescent="0.3">
      <c r="A142" s="1">
        <v>10485</v>
      </c>
      <c r="B142" s="1">
        <v>1992</v>
      </c>
      <c r="C142" s="2">
        <v>45228</v>
      </c>
      <c r="D142" s="2">
        <v>45237</v>
      </c>
      <c r="E142" s="1" t="s">
        <v>16</v>
      </c>
      <c r="F142" s="1" t="s">
        <v>16</v>
      </c>
      <c r="G142" s="1" t="s">
        <v>17</v>
      </c>
      <c r="H142" s="1" t="s">
        <v>42</v>
      </c>
      <c r="I142" s="1" t="s">
        <v>19</v>
      </c>
      <c r="J142" s="1" t="s">
        <v>43</v>
      </c>
      <c r="K142" s="1" t="s">
        <v>45</v>
      </c>
      <c r="L142" s="1">
        <v>2</v>
      </c>
      <c r="M142" s="1">
        <v>1294.8399999999999</v>
      </c>
      <c r="N142" s="1">
        <v>15</v>
      </c>
      <c r="O142" s="1">
        <v>2201.23</v>
      </c>
    </row>
    <row r="143" spans="1:15" x14ac:dyDescent="0.3">
      <c r="A143" s="1">
        <v>10017</v>
      </c>
      <c r="B143" s="1">
        <v>1099</v>
      </c>
      <c r="C143" s="2">
        <v>45148</v>
      </c>
      <c r="D143" s="2">
        <v>45151</v>
      </c>
      <c r="E143" s="1" t="s">
        <v>16</v>
      </c>
      <c r="F143" s="1" t="s">
        <v>54</v>
      </c>
      <c r="G143" s="1" t="s">
        <v>17</v>
      </c>
      <c r="H143" s="1" t="s">
        <v>44</v>
      </c>
      <c r="I143" s="1" t="s">
        <v>31</v>
      </c>
      <c r="J143" s="1" t="s">
        <v>39</v>
      </c>
      <c r="K143" s="1" t="s">
        <v>28</v>
      </c>
      <c r="L143" s="1">
        <v>2</v>
      </c>
      <c r="M143" s="1">
        <v>254.91</v>
      </c>
      <c r="N143" s="1">
        <v>15</v>
      </c>
      <c r="O143" s="1">
        <v>433.35</v>
      </c>
    </row>
    <row r="144" spans="1:15" x14ac:dyDescent="0.3">
      <c r="A144" s="1">
        <v>10023</v>
      </c>
      <c r="B144" s="1">
        <v>1769</v>
      </c>
      <c r="C144" s="2">
        <v>45075</v>
      </c>
      <c r="D144" s="2">
        <v>45084</v>
      </c>
      <c r="E144" s="1" t="s">
        <v>16</v>
      </c>
      <c r="F144" s="1" t="s">
        <v>23</v>
      </c>
      <c r="G144" s="1" t="s">
        <v>17</v>
      </c>
      <c r="H144" s="1" t="s">
        <v>42</v>
      </c>
      <c r="I144" s="1" t="s">
        <v>31</v>
      </c>
      <c r="J144" s="1" t="s">
        <v>32</v>
      </c>
      <c r="K144" s="1" t="s">
        <v>45</v>
      </c>
      <c r="L144" s="1">
        <v>2</v>
      </c>
      <c r="M144" s="1">
        <v>2801.74</v>
      </c>
      <c r="N144" s="1">
        <v>20</v>
      </c>
      <c r="O144" s="1">
        <v>4482.78</v>
      </c>
    </row>
    <row r="145" spans="1:15" x14ac:dyDescent="0.3">
      <c r="A145" s="1">
        <v>10372</v>
      </c>
      <c r="B145" s="1">
        <v>1651</v>
      </c>
      <c r="C145" s="2">
        <v>45164</v>
      </c>
      <c r="D145" s="2">
        <v>45167</v>
      </c>
      <c r="E145" s="1" t="s">
        <v>16</v>
      </c>
      <c r="F145" s="1" t="s">
        <v>23</v>
      </c>
      <c r="G145" s="1" t="s">
        <v>24</v>
      </c>
      <c r="H145" s="1" t="s">
        <v>35</v>
      </c>
      <c r="I145" s="1" t="s">
        <v>49</v>
      </c>
      <c r="J145" s="1" t="s">
        <v>63</v>
      </c>
      <c r="K145" s="1" t="s">
        <v>21</v>
      </c>
      <c r="L145" s="1">
        <v>2</v>
      </c>
      <c r="M145" s="1">
        <v>3957.02</v>
      </c>
      <c r="N145" s="1">
        <v>5</v>
      </c>
      <c r="O145" s="1">
        <v>7518.34</v>
      </c>
    </row>
    <row r="146" spans="1:15" x14ac:dyDescent="0.3">
      <c r="A146" s="1">
        <v>10395</v>
      </c>
      <c r="B146" s="1">
        <v>1103</v>
      </c>
      <c r="C146" s="2">
        <v>45201</v>
      </c>
      <c r="D146" s="2">
        <v>45206</v>
      </c>
      <c r="E146" s="1" t="s">
        <v>16</v>
      </c>
      <c r="F146" s="1" t="s">
        <v>23</v>
      </c>
      <c r="G146" s="1" t="s">
        <v>24</v>
      </c>
      <c r="H146" s="1" t="s">
        <v>44</v>
      </c>
      <c r="I146" s="1" t="s">
        <v>26</v>
      </c>
      <c r="J146" s="1" t="s">
        <v>36</v>
      </c>
      <c r="K146" s="1" t="s">
        <v>45</v>
      </c>
      <c r="L146" s="1">
        <v>2</v>
      </c>
      <c r="M146" s="1">
        <v>610.30999999999995</v>
      </c>
      <c r="N146" s="1">
        <v>10</v>
      </c>
      <c r="O146" s="1">
        <v>1098.56</v>
      </c>
    </row>
    <row r="147" spans="1:15" x14ac:dyDescent="0.3">
      <c r="A147" s="1">
        <v>10189</v>
      </c>
      <c r="B147" s="1">
        <v>1014</v>
      </c>
      <c r="C147" s="2">
        <v>44976</v>
      </c>
      <c r="D147" s="2">
        <v>44981</v>
      </c>
      <c r="E147" s="1" t="s">
        <v>16</v>
      </c>
      <c r="F147" s="1" t="s">
        <v>29</v>
      </c>
      <c r="G147" s="1" t="s">
        <v>17</v>
      </c>
      <c r="H147" s="1" t="s">
        <v>35</v>
      </c>
      <c r="I147" s="1" t="s">
        <v>57</v>
      </c>
      <c r="J147" s="1" t="s">
        <v>62</v>
      </c>
      <c r="K147" s="1" t="s">
        <v>21</v>
      </c>
      <c r="L147" s="1">
        <v>2</v>
      </c>
      <c r="M147" s="1">
        <v>1003.86</v>
      </c>
      <c r="N147" s="1">
        <v>10</v>
      </c>
      <c r="O147" s="1">
        <v>1806.95</v>
      </c>
    </row>
    <row r="148" spans="1:15" x14ac:dyDescent="0.3">
      <c r="A148" s="1">
        <v>10399</v>
      </c>
      <c r="B148" s="1">
        <v>1111</v>
      </c>
      <c r="C148" s="2">
        <v>45228</v>
      </c>
      <c r="D148" s="2">
        <v>45237</v>
      </c>
      <c r="E148" s="1" t="s">
        <v>16</v>
      </c>
      <c r="F148" s="1" t="s">
        <v>16</v>
      </c>
      <c r="G148" s="1" t="s">
        <v>24</v>
      </c>
      <c r="H148" s="1" t="s">
        <v>42</v>
      </c>
      <c r="I148" s="1" t="s">
        <v>19</v>
      </c>
      <c r="J148" s="1" t="s">
        <v>43</v>
      </c>
      <c r="K148" s="1" t="s">
        <v>33</v>
      </c>
      <c r="L148" s="1">
        <v>3</v>
      </c>
      <c r="M148" s="1">
        <v>1789.86</v>
      </c>
      <c r="N148" s="1">
        <v>0</v>
      </c>
      <c r="O148" s="1">
        <v>5369.58</v>
      </c>
    </row>
    <row r="149" spans="1:15" x14ac:dyDescent="0.3">
      <c r="A149" s="1">
        <v>10072</v>
      </c>
      <c r="B149" s="1">
        <v>1345</v>
      </c>
      <c r="C149" s="2">
        <v>44998</v>
      </c>
      <c r="D149" s="2">
        <v>45005</v>
      </c>
      <c r="E149" s="1" t="s">
        <v>16</v>
      </c>
      <c r="F149" s="1" t="s">
        <v>54</v>
      </c>
      <c r="G149" s="1" t="s">
        <v>17</v>
      </c>
      <c r="H149" s="1" t="s">
        <v>18</v>
      </c>
      <c r="I149" s="1" t="s">
        <v>19</v>
      </c>
      <c r="J149" s="1" t="s">
        <v>55</v>
      </c>
      <c r="K149" s="1" t="s">
        <v>47</v>
      </c>
      <c r="L149" s="1">
        <v>3</v>
      </c>
      <c r="M149" s="1">
        <v>1859.84</v>
      </c>
      <c r="N149" s="1">
        <v>15</v>
      </c>
      <c r="O149" s="1">
        <v>4742.59</v>
      </c>
    </row>
    <row r="150" spans="1:15" x14ac:dyDescent="0.3">
      <c r="A150" s="1">
        <v>10074</v>
      </c>
      <c r="B150" s="1">
        <v>1897</v>
      </c>
      <c r="C150" s="2">
        <v>45290</v>
      </c>
      <c r="D150" s="2">
        <v>45296</v>
      </c>
      <c r="E150" s="1" t="s">
        <v>16</v>
      </c>
      <c r="F150" s="1" t="s">
        <v>54</v>
      </c>
      <c r="G150" s="1" t="s">
        <v>30</v>
      </c>
      <c r="H150" s="1" t="s">
        <v>35</v>
      </c>
      <c r="I150" s="1" t="s">
        <v>19</v>
      </c>
      <c r="J150" s="1" t="s">
        <v>43</v>
      </c>
      <c r="K150" s="1" t="s">
        <v>33</v>
      </c>
      <c r="L150" s="1">
        <v>3</v>
      </c>
      <c r="M150" s="1">
        <v>2196.89</v>
      </c>
      <c r="N150" s="1">
        <v>0</v>
      </c>
      <c r="O150" s="1">
        <v>6590.67</v>
      </c>
    </row>
    <row r="151" spans="1:15" x14ac:dyDescent="0.3">
      <c r="A151" s="1">
        <v>10381</v>
      </c>
      <c r="B151" s="1">
        <v>1207</v>
      </c>
      <c r="C151" s="2">
        <v>45185</v>
      </c>
      <c r="D151" s="2">
        <v>45188</v>
      </c>
      <c r="E151" s="1" t="s">
        <v>16</v>
      </c>
      <c r="F151" s="1" t="s">
        <v>23</v>
      </c>
      <c r="G151" s="1" t="s">
        <v>24</v>
      </c>
      <c r="H151" s="1" t="s">
        <v>44</v>
      </c>
      <c r="I151" s="1" t="s">
        <v>52</v>
      </c>
      <c r="J151" s="1" t="s">
        <v>56</v>
      </c>
      <c r="K151" s="1" t="s">
        <v>47</v>
      </c>
      <c r="L151" s="1">
        <v>3</v>
      </c>
      <c r="M151" s="1">
        <v>487.45</v>
      </c>
      <c r="N151" s="1">
        <v>5</v>
      </c>
      <c r="O151" s="1">
        <v>1389.23</v>
      </c>
    </row>
    <row r="152" spans="1:15" x14ac:dyDescent="0.3">
      <c r="A152" s="1">
        <v>10385</v>
      </c>
      <c r="B152" s="1">
        <v>1053</v>
      </c>
      <c r="C152" s="2">
        <v>44966</v>
      </c>
      <c r="D152" s="2">
        <v>44967</v>
      </c>
      <c r="E152" s="1" t="s">
        <v>16</v>
      </c>
      <c r="F152" s="1" t="s">
        <v>23</v>
      </c>
      <c r="G152" s="1" t="s">
        <v>24</v>
      </c>
      <c r="H152" s="1" t="s">
        <v>42</v>
      </c>
      <c r="I152" s="1" t="s">
        <v>52</v>
      </c>
      <c r="J152" s="1" t="s">
        <v>64</v>
      </c>
      <c r="K152" s="1" t="s">
        <v>33</v>
      </c>
      <c r="L152" s="1">
        <v>3</v>
      </c>
      <c r="M152" s="1">
        <v>1382.11</v>
      </c>
      <c r="N152" s="1">
        <v>10</v>
      </c>
      <c r="O152" s="1">
        <v>3731.7</v>
      </c>
    </row>
    <row r="153" spans="1:15" x14ac:dyDescent="0.3">
      <c r="A153" s="1">
        <v>10441</v>
      </c>
      <c r="B153" s="1">
        <v>1229</v>
      </c>
      <c r="C153" s="2">
        <v>45116</v>
      </c>
      <c r="D153" s="2">
        <v>45119</v>
      </c>
      <c r="E153" s="1" t="s">
        <v>16</v>
      </c>
      <c r="F153" s="1" t="s">
        <v>23</v>
      </c>
      <c r="G153" s="1" t="s">
        <v>17</v>
      </c>
      <c r="H153" s="1" t="s">
        <v>42</v>
      </c>
      <c r="I153" s="1" t="s">
        <v>31</v>
      </c>
      <c r="J153" s="1" t="s">
        <v>65</v>
      </c>
      <c r="K153" s="1" t="s">
        <v>45</v>
      </c>
      <c r="L153" s="1">
        <v>3</v>
      </c>
      <c r="M153" s="1">
        <v>2189.4</v>
      </c>
      <c r="N153" s="1">
        <v>20</v>
      </c>
      <c r="O153" s="1">
        <v>5254.56</v>
      </c>
    </row>
    <row r="154" spans="1:15" x14ac:dyDescent="0.3">
      <c r="A154" s="1">
        <v>10283</v>
      </c>
      <c r="B154" s="1">
        <v>1698</v>
      </c>
      <c r="C154" s="2">
        <v>45267</v>
      </c>
      <c r="D154" s="2">
        <v>45269</v>
      </c>
      <c r="E154" s="1" t="s">
        <v>16</v>
      </c>
      <c r="F154" s="1" t="s">
        <v>41</v>
      </c>
      <c r="G154" s="1" t="s">
        <v>30</v>
      </c>
      <c r="H154" s="1" t="s">
        <v>42</v>
      </c>
      <c r="I154" s="1" t="s">
        <v>49</v>
      </c>
      <c r="J154" s="1" t="s">
        <v>63</v>
      </c>
      <c r="K154" s="1" t="s">
        <v>33</v>
      </c>
      <c r="L154" s="1">
        <v>3</v>
      </c>
      <c r="M154" s="1">
        <v>155.18</v>
      </c>
      <c r="N154" s="1">
        <v>0</v>
      </c>
      <c r="O154" s="1">
        <v>465.54</v>
      </c>
    </row>
    <row r="155" spans="1:15" x14ac:dyDescent="0.3">
      <c r="A155" s="1">
        <v>10197</v>
      </c>
      <c r="B155" s="1">
        <v>1742</v>
      </c>
      <c r="C155" s="2">
        <v>45263</v>
      </c>
      <c r="D155" s="2">
        <v>45266</v>
      </c>
      <c r="E155" s="1" t="s">
        <v>16</v>
      </c>
      <c r="F155" s="1" t="s">
        <v>38</v>
      </c>
      <c r="G155" s="1" t="s">
        <v>17</v>
      </c>
      <c r="H155" s="1" t="s">
        <v>35</v>
      </c>
      <c r="I155" s="1" t="s">
        <v>49</v>
      </c>
      <c r="J155" s="1" t="s">
        <v>68</v>
      </c>
      <c r="K155" s="1" t="s">
        <v>45</v>
      </c>
      <c r="L155" s="1">
        <v>4</v>
      </c>
      <c r="M155" s="1">
        <v>1256.21</v>
      </c>
      <c r="N155" s="1">
        <v>10</v>
      </c>
      <c r="O155" s="1">
        <v>4522.3599999999997</v>
      </c>
    </row>
    <row r="156" spans="1:15" x14ac:dyDescent="0.3">
      <c r="A156" s="1">
        <v>10140</v>
      </c>
      <c r="B156" s="1">
        <v>1471</v>
      </c>
      <c r="C156" s="2">
        <v>45008</v>
      </c>
      <c r="D156" s="2">
        <v>45015</v>
      </c>
      <c r="E156" s="1" t="s">
        <v>16</v>
      </c>
      <c r="F156" s="1" t="s">
        <v>54</v>
      </c>
      <c r="G156" s="1" t="s">
        <v>30</v>
      </c>
      <c r="H156" s="1" t="s">
        <v>42</v>
      </c>
      <c r="I156" s="1" t="s">
        <v>57</v>
      </c>
      <c r="J156" s="1" t="s">
        <v>59</v>
      </c>
      <c r="K156" s="1" t="s">
        <v>47</v>
      </c>
      <c r="L156" s="1">
        <v>4</v>
      </c>
      <c r="M156" s="1">
        <v>3565.41</v>
      </c>
      <c r="N156" s="1">
        <v>20</v>
      </c>
      <c r="O156" s="1">
        <v>11409.31</v>
      </c>
    </row>
    <row r="157" spans="1:15" x14ac:dyDescent="0.3">
      <c r="A157" s="1">
        <v>10404</v>
      </c>
      <c r="B157" s="1">
        <v>1860</v>
      </c>
      <c r="C157" s="2">
        <v>44947</v>
      </c>
      <c r="D157" s="2">
        <v>44955</v>
      </c>
      <c r="E157" s="1" t="s">
        <v>16</v>
      </c>
      <c r="F157" s="1" t="s">
        <v>54</v>
      </c>
      <c r="G157" s="1" t="s">
        <v>17</v>
      </c>
      <c r="H157" s="1" t="s">
        <v>25</v>
      </c>
      <c r="I157" s="1" t="s">
        <v>19</v>
      </c>
      <c r="J157" s="1" t="s">
        <v>66</v>
      </c>
      <c r="K157" s="1" t="s">
        <v>45</v>
      </c>
      <c r="L157" s="1">
        <v>4</v>
      </c>
      <c r="M157" s="1">
        <v>3104.87</v>
      </c>
      <c r="N157" s="1">
        <v>10</v>
      </c>
      <c r="O157" s="1">
        <v>11177.53</v>
      </c>
    </row>
    <row r="158" spans="1:15" x14ac:dyDescent="0.3">
      <c r="A158" s="1">
        <v>10449</v>
      </c>
      <c r="B158" s="1">
        <v>1276</v>
      </c>
      <c r="C158" s="2">
        <v>45001</v>
      </c>
      <c r="D158" s="2">
        <v>45008</v>
      </c>
      <c r="E158" s="1" t="s">
        <v>16</v>
      </c>
      <c r="F158" s="1" t="s">
        <v>54</v>
      </c>
      <c r="G158" s="1" t="s">
        <v>24</v>
      </c>
      <c r="H158" s="1" t="s">
        <v>18</v>
      </c>
      <c r="I158" s="1" t="s">
        <v>19</v>
      </c>
      <c r="J158" s="1" t="s">
        <v>66</v>
      </c>
      <c r="K158" s="1" t="s">
        <v>33</v>
      </c>
      <c r="L158" s="1">
        <v>4</v>
      </c>
      <c r="M158" s="1">
        <v>3732.97</v>
      </c>
      <c r="N158" s="1">
        <v>5</v>
      </c>
      <c r="O158" s="1">
        <v>14185.29</v>
      </c>
    </row>
    <row r="159" spans="1:15" x14ac:dyDescent="0.3">
      <c r="A159" s="1">
        <v>10175</v>
      </c>
      <c r="B159" s="1">
        <v>1612</v>
      </c>
      <c r="C159" s="2">
        <v>45074</v>
      </c>
      <c r="D159" s="2">
        <v>45081</v>
      </c>
      <c r="E159" s="1" t="s">
        <v>16</v>
      </c>
      <c r="F159" s="1" t="s">
        <v>41</v>
      </c>
      <c r="G159" s="1" t="s">
        <v>17</v>
      </c>
      <c r="H159" s="1" t="s">
        <v>18</v>
      </c>
      <c r="I159" s="1" t="s">
        <v>31</v>
      </c>
      <c r="J159" s="1" t="s">
        <v>32</v>
      </c>
      <c r="K159" s="1" t="s">
        <v>45</v>
      </c>
      <c r="L159" s="1">
        <v>4</v>
      </c>
      <c r="M159" s="1">
        <v>2836.21</v>
      </c>
      <c r="N159" s="1">
        <v>20</v>
      </c>
      <c r="O159" s="1">
        <v>9075.8700000000008</v>
      </c>
    </row>
    <row r="160" spans="1:15" x14ac:dyDescent="0.3">
      <c r="A160" s="1">
        <v>10044</v>
      </c>
      <c r="B160" s="1">
        <v>1475</v>
      </c>
      <c r="C160" s="2">
        <v>44955</v>
      </c>
      <c r="D160" s="2">
        <v>44959</v>
      </c>
      <c r="E160" s="1" t="s">
        <v>16</v>
      </c>
      <c r="F160" s="1" t="s">
        <v>29</v>
      </c>
      <c r="G160" s="1" t="s">
        <v>17</v>
      </c>
      <c r="H160" s="1" t="s">
        <v>42</v>
      </c>
      <c r="I160" s="1" t="s">
        <v>31</v>
      </c>
      <c r="J160" s="1" t="s">
        <v>48</v>
      </c>
      <c r="K160" s="1" t="s">
        <v>47</v>
      </c>
      <c r="L160" s="1">
        <v>4</v>
      </c>
      <c r="M160" s="1">
        <v>214.51</v>
      </c>
      <c r="N160" s="1">
        <v>20</v>
      </c>
      <c r="O160" s="1">
        <v>686.43</v>
      </c>
    </row>
    <row r="161" spans="1:15" x14ac:dyDescent="0.3">
      <c r="A161" s="1">
        <v>10155</v>
      </c>
      <c r="B161" s="1">
        <v>1134</v>
      </c>
      <c r="C161" s="2">
        <v>44945</v>
      </c>
      <c r="D161" s="2">
        <v>44954</v>
      </c>
      <c r="E161" s="1" t="s">
        <v>16</v>
      </c>
      <c r="F161" s="1" t="s">
        <v>29</v>
      </c>
      <c r="G161" s="1" t="s">
        <v>30</v>
      </c>
      <c r="H161" s="1" t="s">
        <v>25</v>
      </c>
      <c r="I161" s="1" t="s">
        <v>52</v>
      </c>
      <c r="J161" s="1" t="s">
        <v>56</v>
      </c>
      <c r="K161" s="1" t="s">
        <v>21</v>
      </c>
      <c r="L161" s="1">
        <v>4</v>
      </c>
      <c r="M161" s="1">
        <v>1442.15</v>
      </c>
      <c r="N161" s="1">
        <v>15</v>
      </c>
      <c r="O161" s="1">
        <v>4903.3100000000004</v>
      </c>
    </row>
    <row r="162" spans="1:15" x14ac:dyDescent="0.3">
      <c r="A162" s="1">
        <v>10341</v>
      </c>
      <c r="B162" s="1">
        <v>1710</v>
      </c>
      <c r="C162" s="2">
        <v>45042</v>
      </c>
      <c r="D162" s="2">
        <v>45048</v>
      </c>
      <c r="E162" s="1" t="s">
        <v>16</v>
      </c>
      <c r="F162" s="1" t="s">
        <v>29</v>
      </c>
      <c r="G162" s="1" t="s">
        <v>17</v>
      </c>
      <c r="H162" s="1" t="s">
        <v>35</v>
      </c>
      <c r="I162" s="1" t="s">
        <v>49</v>
      </c>
      <c r="J162" s="1" t="s">
        <v>51</v>
      </c>
      <c r="K162" s="1" t="s">
        <v>28</v>
      </c>
      <c r="L162" s="1">
        <v>4</v>
      </c>
      <c r="M162" s="1">
        <v>641.92999999999995</v>
      </c>
      <c r="N162" s="1">
        <v>0</v>
      </c>
      <c r="O162" s="1">
        <v>2567.7199999999998</v>
      </c>
    </row>
    <row r="163" spans="1:15" x14ac:dyDescent="0.3">
      <c r="A163" s="1">
        <v>10401</v>
      </c>
      <c r="B163" s="1">
        <v>1472</v>
      </c>
      <c r="C163" s="2">
        <v>45055</v>
      </c>
      <c r="D163" s="2">
        <v>45059</v>
      </c>
      <c r="E163" s="1" t="s">
        <v>16</v>
      </c>
      <c r="F163" s="1" t="s">
        <v>29</v>
      </c>
      <c r="G163" s="1" t="s">
        <v>24</v>
      </c>
      <c r="H163" s="1" t="s">
        <v>35</v>
      </c>
      <c r="I163" s="1" t="s">
        <v>31</v>
      </c>
      <c r="J163" s="1" t="s">
        <v>48</v>
      </c>
      <c r="K163" s="1" t="s">
        <v>45</v>
      </c>
      <c r="L163" s="1">
        <v>4</v>
      </c>
      <c r="M163" s="1">
        <v>506.13</v>
      </c>
      <c r="N163" s="1">
        <v>5</v>
      </c>
      <c r="O163" s="1">
        <v>1923.29</v>
      </c>
    </row>
    <row r="164" spans="1:15" x14ac:dyDescent="0.3">
      <c r="A164" s="1">
        <v>10121</v>
      </c>
      <c r="B164" s="1">
        <v>1052</v>
      </c>
      <c r="C164" s="2">
        <v>45114</v>
      </c>
      <c r="D164" s="2">
        <v>45115</v>
      </c>
      <c r="E164" s="1" t="s">
        <v>16</v>
      </c>
      <c r="F164" s="1" t="s">
        <v>16</v>
      </c>
      <c r="G164" s="1" t="s">
        <v>24</v>
      </c>
      <c r="H164" s="1" t="s">
        <v>35</v>
      </c>
      <c r="I164" s="1" t="s">
        <v>57</v>
      </c>
      <c r="J164" s="1" t="s">
        <v>62</v>
      </c>
      <c r="K164" s="1" t="s">
        <v>33</v>
      </c>
      <c r="L164" s="1">
        <v>5</v>
      </c>
      <c r="M164" s="1">
        <v>2832.28</v>
      </c>
      <c r="N164" s="1">
        <v>0</v>
      </c>
      <c r="O164" s="1">
        <v>14161.4</v>
      </c>
    </row>
    <row r="165" spans="1:15" x14ac:dyDescent="0.3">
      <c r="A165" s="1">
        <v>10296</v>
      </c>
      <c r="B165" s="1">
        <v>1129</v>
      </c>
      <c r="C165" s="2">
        <v>44954</v>
      </c>
      <c r="D165" s="2">
        <v>44957</v>
      </c>
      <c r="E165" s="1" t="s">
        <v>16</v>
      </c>
      <c r="F165" s="1" t="s">
        <v>16</v>
      </c>
      <c r="G165" s="1" t="s">
        <v>17</v>
      </c>
      <c r="H165" s="1" t="s">
        <v>35</v>
      </c>
      <c r="I165" s="1" t="s">
        <v>31</v>
      </c>
      <c r="J165" s="1" t="s">
        <v>48</v>
      </c>
      <c r="K165" s="1" t="s">
        <v>47</v>
      </c>
      <c r="L165" s="1">
        <v>5</v>
      </c>
      <c r="M165" s="1">
        <v>2850.33</v>
      </c>
      <c r="N165" s="1">
        <v>5</v>
      </c>
      <c r="O165" s="1">
        <v>13539.07</v>
      </c>
    </row>
    <row r="166" spans="1:15" x14ac:dyDescent="0.3">
      <c r="A166" s="1">
        <v>10036</v>
      </c>
      <c r="B166" s="1">
        <v>1252</v>
      </c>
      <c r="C166" s="2">
        <v>45076</v>
      </c>
      <c r="D166" s="2">
        <v>45084</v>
      </c>
      <c r="E166" s="1" t="s">
        <v>16</v>
      </c>
      <c r="F166" s="1" t="s">
        <v>38</v>
      </c>
      <c r="G166" s="1" t="s">
        <v>17</v>
      </c>
      <c r="H166" s="1" t="s">
        <v>42</v>
      </c>
      <c r="I166" s="1" t="s">
        <v>26</v>
      </c>
      <c r="J166" s="1" t="s">
        <v>27</v>
      </c>
      <c r="K166" s="1" t="s">
        <v>28</v>
      </c>
      <c r="L166" s="1">
        <v>5</v>
      </c>
      <c r="M166" s="1">
        <v>2327.9</v>
      </c>
      <c r="N166" s="1">
        <v>0</v>
      </c>
      <c r="O166" s="1">
        <v>11639.5</v>
      </c>
    </row>
    <row r="167" spans="1:15" x14ac:dyDescent="0.3">
      <c r="A167" s="1">
        <v>10122</v>
      </c>
      <c r="B167" s="1">
        <v>1791</v>
      </c>
      <c r="C167" s="2">
        <v>44983</v>
      </c>
      <c r="D167" s="2">
        <v>44991</v>
      </c>
      <c r="E167" s="1" t="s">
        <v>16</v>
      </c>
      <c r="F167" s="1" t="s">
        <v>38</v>
      </c>
      <c r="G167" s="1" t="s">
        <v>24</v>
      </c>
      <c r="H167" s="1" t="s">
        <v>42</v>
      </c>
      <c r="I167" s="1" t="s">
        <v>49</v>
      </c>
      <c r="J167" s="1" t="s">
        <v>63</v>
      </c>
      <c r="K167" s="1" t="s">
        <v>45</v>
      </c>
      <c r="L167" s="1">
        <v>5</v>
      </c>
      <c r="M167" s="1">
        <v>1398.73</v>
      </c>
      <c r="N167" s="1">
        <v>0</v>
      </c>
      <c r="O167" s="1">
        <v>6993.65</v>
      </c>
    </row>
    <row r="168" spans="1:15" x14ac:dyDescent="0.3">
      <c r="A168" s="1">
        <v>10492</v>
      </c>
      <c r="B168" s="1">
        <v>1160</v>
      </c>
      <c r="C168" s="2">
        <v>45136</v>
      </c>
      <c r="D168" s="2">
        <v>45140</v>
      </c>
      <c r="E168" s="1" t="s">
        <v>16</v>
      </c>
      <c r="F168" s="1" t="s">
        <v>38</v>
      </c>
      <c r="G168" s="1" t="s">
        <v>24</v>
      </c>
      <c r="H168" s="1" t="s">
        <v>25</v>
      </c>
      <c r="I168" s="1" t="s">
        <v>31</v>
      </c>
      <c r="J168" s="1" t="s">
        <v>32</v>
      </c>
      <c r="K168" s="1" t="s">
        <v>47</v>
      </c>
      <c r="L168" s="1">
        <v>5</v>
      </c>
      <c r="M168" s="1">
        <v>311.56</v>
      </c>
      <c r="N168" s="1">
        <v>0</v>
      </c>
      <c r="O168" s="1">
        <v>1557.8</v>
      </c>
    </row>
    <row r="169" spans="1:15" x14ac:dyDescent="0.3">
      <c r="A169" s="1">
        <v>10104</v>
      </c>
      <c r="B169" s="1">
        <v>1957</v>
      </c>
      <c r="C169" s="2">
        <v>45137</v>
      </c>
      <c r="D169" s="2">
        <v>45146</v>
      </c>
      <c r="E169" s="1" t="s">
        <v>16</v>
      </c>
      <c r="F169" s="1" t="s">
        <v>54</v>
      </c>
      <c r="G169" s="1" t="s">
        <v>24</v>
      </c>
      <c r="H169" s="1" t="s">
        <v>44</v>
      </c>
      <c r="I169" s="1" t="s">
        <v>52</v>
      </c>
      <c r="J169" s="1" t="s">
        <v>53</v>
      </c>
      <c r="K169" s="1" t="s">
        <v>45</v>
      </c>
      <c r="L169" s="1">
        <v>5</v>
      </c>
      <c r="M169" s="1">
        <v>2683.51</v>
      </c>
      <c r="N169" s="1">
        <v>10</v>
      </c>
      <c r="O169" s="1">
        <v>12075.79</v>
      </c>
    </row>
    <row r="170" spans="1:15" x14ac:dyDescent="0.3">
      <c r="A170" s="1">
        <v>10300</v>
      </c>
      <c r="B170" s="1">
        <v>1671</v>
      </c>
      <c r="C170" s="2">
        <v>45103</v>
      </c>
      <c r="D170" s="2">
        <v>45105</v>
      </c>
      <c r="E170" s="1" t="s">
        <v>16</v>
      </c>
      <c r="F170" s="1" t="s">
        <v>23</v>
      </c>
      <c r="G170" s="1" t="s">
        <v>30</v>
      </c>
      <c r="H170" s="1" t="s">
        <v>18</v>
      </c>
      <c r="I170" s="1" t="s">
        <v>52</v>
      </c>
      <c r="J170" s="1" t="s">
        <v>53</v>
      </c>
      <c r="K170" s="1" t="s">
        <v>21</v>
      </c>
      <c r="L170" s="1">
        <v>5</v>
      </c>
      <c r="M170" s="1">
        <v>2437.4499999999998</v>
      </c>
      <c r="N170" s="1">
        <v>15</v>
      </c>
      <c r="O170" s="1">
        <v>10359.16</v>
      </c>
    </row>
    <row r="171" spans="1:15" x14ac:dyDescent="0.3">
      <c r="A171" s="1">
        <v>10237</v>
      </c>
      <c r="B171" s="1">
        <v>1189</v>
      </c>
      <c r="C171" s="2">
        <v>45146</v>
      </c>
      <c r="D171" s="2">
        <v>45147</v>
      </c>
      <c r="E171" s="1" t="s">
        <v>16</v>
      </c>
      <c r="F171" s="1" t="s">
        <v>41</v>
      </c>
      <c r="G171" s="1" t="s">
        <v>17</v>
      </c>
      <c r="H171" s="1" t="s">
        <v>25</v>
      </c>
      <c r="I171" s="1" t="s">
        <v>19</v>
      </c>
      <c r="J171" s="1" t="s">
        <v>20</v>
      </c>
      <c r="K171" s="1" t="s">
        <v>21</v>
      </c>
      <c r="L171" s="1">
        <v>5</v>
      </c>
      <c r="M171" s="1">
        <v>465.79</v>
      </c>
      <c r="N171" s="1">
        <v>5</v>
      </c>
      <c r="O171" s="1">
        <v>2212.5</v>
      </c>
    </row>
    <row r="172" spans="1:15" x14ac:dyDescent="0.3">
      <c r="A172" s="1">
        <v>10365</v>
      </c>
      <c r="B172" s="1">
        <v>1623</v>
      </c>
      <c r="C172" s="2">
        <v>44934</v>
      </c>
      <c r="D172" s="2">
        <v>44940</v>
      </c>
      <c r="E172" s="1" t="s">
        <v>16</v>
      </c>
      <c r="F172" s="1" t="s">
        <v>41</v>
      </c>
      <c r="G172" s="1" t="s">
        <v>17</v>
      </c>
      <c r="H172" s="1" t="s">
        <v>35</v>
      </c>
      <c r="I172" s="1" t="s">
        <v>52</v>
      </c>
      <c r="J172" s="1" t="s">
        <v>53</v>
      </c>
      <c r="K172" s="1" t="s">
        <v>33</v>
      </c>
      <c r="L172" s="1">
        <v>5</v>
      </c>
      <c r="M172" s="1">
        <v>3593.46</v>
      </c>
      <c r="N172" s="1">
        <v>20</v>
      </c>
      <c r="O172" s="1">
        <v>14373.84</v>
      </c>
    </row>
    <row r="173" spans="1:15" x14ac:dyDescent="0.3">
      <c r="A173" s="1">
        <v>10334</v>
      </c>
      <c r="B173" s="1">
        <v>1402</v>
      </c>
      <c r="C173" s="2">
        <v>44994</v>
      </c>
      <c r="D173" s="2">
        <v>44995</v>
      </c>
      <c r="E173" s="1" t="s">
        <v>16</v>
      </c>
      <c r="F173" s="1" t="s">
        <v>29</v>
      </c>
      <c r="G173" s="1" t="s">
        <v>24</v>
      </c>
      <c r="H173" s="1" t="s">
        <v>35</v>
      </c>
      <c r="I173" s="1" t="s">
        <v>57</v>
      </c>
      <c r="J173" s="1" t="s">
        <v>59</v>
      </c>
      <c r="K173" s="1" t="s">
        <v>47</v>
      </c>
      <c r="L173" s="1">
        <v>5</v>
      </c>
      <c r="M173" s="1">
        <v>2515.77</v>
      </c>
      <c r="N173" s="1">
        <v>20</v>
      </c>
      <c r="O173" s="1">
        <v>10063.08</v>
      </c>
    </row>
    <row r="174" spans="1:15" x14ac:dyDescent="0.3">
      <c r="A174" s="1">
        <v>10491</v>
      </c>
      <c r="B174" s="1">
        <v>1982</v>
      </c>
      <c r="C174" s="2">
        <v>45133</v>
      </c>
      <c r="D174" s="2">
        <v>45137</v>
      </c>
      <c r="E174" s="1" t="s">
        <v>16</v>
      </c>
      <c r="F174" s="1" t="s">
        <v>29</v>
      </c>
      <c r="G174" s="1" t="s">
        <v>17</v>
      </c>
      <c r="H174" s="1" t="s">
        <v>44</v>
      </c>
      <c r="I174" s="1" t="s">
        <v>49</v>
      </c>
      <c r="J174" s="1" t="s">
        <v>63</v>
      </c>
      <c r="K174" s="1" t="s">
        <v>28</v>
      </c>
      <c r="L174" s="1">
        <v>5</v>
      </c>
      <c r="M174" s="1">
        <v>977.43</v>
      </c>
      <c r="N174" s="1">
        <v>20</v>
      </c>
      <c r="O174" s="1">
        <v>3909.72</v>
      </c>
    </row>
    <row r="175" spans="1:15" x14ac:dyDescent="0.3">
      <c r="A175" s="1">
        <v>10497</v>
      </c>
      <c r="B175" s="1">
        <v>1792</v>
      </c>
      <c r="C175" s="2">
        <v>45145</v>
      </c>
      <c r="D175" s="2">
        <v>45151</v>
      </c>
      <c r="E175" s="1" t="s">
        <v>16</v>
      </c>
      <c r="F175" s="1" t="s">
        <v>29</v>
      </c>
      <c r="G175" s="1" t="s">
        <v>24</v>
      </c>
      <c r="H175" s="1" t="s">
        <v>42</v>
      </c>
      <c r="I175" s="1" t="s">
        <v>31</v>
      </c>
      <c r="J175" s="1" t="s">
        <v>39</v>
      </c>
      <c r="K175" s="1" t="s">
        <v>21</v>
      </c>
      <c r="L175" s="1">
        <v>5</v>
      </c>
      <c r="M175" s="1">
        <v>1287.55</v>
      </c>
      <c r="N175" s="1">
        <v>0</v>
      </c>
      <c r="O175" s="1">
        <v>6437.75</v>
      </c>
    </row>
    <row r="176" spans="1:15" x14ac:dyDescent="0.3">
      <c r="A176" s="1">
        <v>10227</v>
      </c>
      <c r="B176" s="1">
        <v>1555</v>
      </c>
      <c r="C176" s="2">
        <v>45114</v>
      </c>
      <c r="D176" s="2">
        <v>45122</v>
      </c>
      <c r="E176" s="1" t="s">
        <v>16</v>
      </c>
      <c r="F176" s="1" t="s">
        <v>54</v>
      </c>
      <c r="G176" s="1" t="s">
        <v>17</v>
      </c>
      <c r="H176" s="1" t="s">
        <v>44</v>
      </c>
      <c r="I176" s="1" t="s">
        <v>19</v>
      </c>
      <c r="J176" s="1" t="s">
        <v>55</v>
      </c>
      <c r="K176" s="1" t="s">
        <v>47</v>
      </c>
      <c r="L176" s="1">
        <v>6</v>
      </c>
      <c r="M176" s="1">
        <v>577.88</v>
      </c>
      <c r="N176" s="1">
        <v>0</v>
      </c>
      <c r="O176" s="1">
        <v>3467.28</v>
      </c>
    </row>
    <row r="177" spans="1:15" x14ac:dyDescent="0.3">
      <c r="A177" s="1">
        <v>10422</v>
      </c>
      <c r="B177" s="1">
        <v>1915</v>
      </c>
      <c r="C177" s="2">
        <v>45059</v>
      </c>
      <c r="D177" s="2">
        <v>45061</v>
      </c>
      <c r="E177" s="1" t="s">
        <v>16</v>
      </c>
      <c r="F177" s="1" t="s">
        <v>54</v>
      </c>
      <c r="G177" s="1" t="s">
        <v>17</v>
      </c>
      <c r="H177" s="1" t="s">
        <v>18</v>
      </c>
      <c r="I177" s="1" t="s">
        <v>52</v>
      </c>
      <c r="J177" s="1" t="s">
        <v>64</v>
      </c>
      <c r="K177" s="1" t="s">
        <v>47</v>
      </c>
      <c r="L177" s="1">
        <v>6</v>
      </c>
      <c r="M177" s="1">
        <v>1288.31</v>
      </c>
      <c r="N177" s="1">
        <v>15</v>
      </c>
      <c r="O177" s="1">
        <v>6570.38</v>
      </c>
    </row>
    <row r="178" spans="1:15" x14ac:dyDescent="0.3">
      <c r="A178" s="1">
        <v>10113</v>
      </c>
      <c r="B178" s="1">
        <v>1251</v>
      </c>
      <c r="C178" s="2">
        <v>45080</v>
      </c>
      <c r="D178" s="2">
        <v>45083</v>
      </c>
      <c r="E178" s="1" t="s">
        <v>16</v>
      </c>
      <c r="F178" s="1" t="s">
        <v>23</v>
      </c>
      <c r="G178" s="1" t="s">
        <v>17</v>
      </c>
      <c r="H178" s="1" t="s">
        <v>18</v>
      </c>
      <c r="I178" s="1" t="s">
        <v>26</v>
      </c>
      <c r="J178" s="1" t="s">
        <v>61</v>
      </c>
      <c r="K178" s="1" t="s">
        <v>21</v>
      </c>
      <c r="L178" s="1">
        <v>6</v>
      </c>
      <c r="M178" s="1">
        <v>2257.77</v>
      </c>
      <c r="N178" s="1">
        <v>20</v>
      </c>
      <c r="O178" s="1">
        <v>10837.3</v>
      </c>
    </row>
    <row r="179" spans="1:15" x14ac:dyDescent="0.3">
      <c r="A179" s="1">
        <v>10466</v>
      </c>
      <c r="B179" s="1">
        <v>1171</v>
      </c>
      <c r="C179" s="2">
        <v>44973</v>
      </c>
      <c r="D179" s="2">
        <v>44975</v>
      </c>
      <c r="E179" s="1" t="s">
        <v>16</v>
      </c>
      <c r="F179" s="1" t="s">
        <v>41</v>
      </c>
      <c r="G179" s="1" t="s">
        <v>30</v>
      </c>
      <c r="H179" s="1" t="s">
        <v>35</v>
      </c>
      <c r="I179" s="1" t="s">
        <v>19</v>
      </c>
      <c r="J179" s="1" t="s">
        <v>43</v>
      </c>
      <c r="K179" s="1" t="s">
        <v>28</v>
      </c>
      <c r="L179" s="1">
        <v>6</v>
      </c>
      <c r="M179" s="1">
        <v>3773.04</v>
      </c>
      <c r="N179" s="1">
        <v>0</v>
      </c>
      <c r="O179" s="1">
        <v>22638.240000000002</v>
      </c>
    </row>
    <row r="180" spans="1:15" x14ac:dyDescent="0.3">
      <c r="A180" s="1">
        <v>10480</v>
      </c>
      <c r="B180" s="1">
        <v>1301</v>
      </c>
      <c r="C180" s="2">
        <v>45117</v>
      </c>
      <c r="D180" s="2">
        <v>45119</v>
      </c>
      <c r="E180" s="1" t="s">
        <v>16</v>
      </c>
      <c r="F180" s="1" t="s">
        <v>29</v>
      </c>
      <c r="G180" s="1" t="s">
        <v>17</v>
      </c>
      <c r="H180" s="1" t="s">
        <v>44</v>
      </c>
      <c r="I180" s="1" t="s">
        <v>26</v>
      </c>
      <c r="J180" s="1" t="s">
        <v>36</v>
      </c>
      <c r="K180" s="1" t="s">
        <v>47</v>
      </c>
      <c r="L180" s="1">
        <v>6</v>
      </c>
      <c r="M180" s="1">
        <v>845</v>
      </c>
      <c r="N180" s="1">
        <v>15</v>
      </c>
      <c r="O180" s="1">
        <v>4309.5</v>
      </c>
    </row>
    <row r="181" spans="1:15" x14ac:dyDescent="0.3">
      <c r="A181" s="1">
        <v>10222</v>
      </c>
      <c r="B181" s="1">
        <v>1952</v>
      </c>
      <c r="C181" s="2">
        <v>45223</v>
      </c>
      <c r="D181" s="2">
        <v>45231</v>
      </c>
      <c r="E181" s="1" t="s">
        <v>16</v>
      </c>
      <c r="F181" s="1" t="s">
        <v>16</v>
      </c>
      <c r="G181" s="1" t="s">
        <v>24</v>
      </c>
      <c r="H181" s="1" t="s">
        <v>44</v>
      </c>
      <c r="I181" s="1" t="s">
        <v>49</v>
      </c>
      <c r="J181" s="1" t="s">
        <v>51</v>
      </c>
      <c r="K181" s="1" t="s">
        <v>21</v>
      </c>
      <c r="L181" s="1">
        <v>7</v>
      </c>
      <c r="M181" s="1">
        <v>3907.73</v>
      </c>
      <c r="N181" s="1">
        <v>10</v>
      </c>
      <c r="O181" s="1">
        <v>24618.7</v>
      </c>
    </row>
    <row r="182" spans="1:15" x14ac:dyDescent="0.3">
      <c r="A182" s="1">
        <v>10231</v>
      </c>
      <c r="B182" s="1">
        <v>1330</v>
      </c>
      <c r="C182" s="2">
        <v>45078</v>
      </c>
      <c r="D182" s="2">
        <v>45083</v>
      </c>
      <c r="E182" s="1" t="s">
        <v>16</v>
      </c>
      <c r="F182" s="1" t="s">
        <v>38</v>
      </c>
      <c r="G182" s="1" t="s">
        <v>30</v>
      </c>
      <c r="H182" s="1" t="s">
        <v>25</v>
      </c>
      <c r="I182" s="1" t="s">
        <v>26</v>
      </c>
      <c r="J182" s="1" t="s">
        <v>36</v>
      </c>
      <c r="K182" s="1" t="s">
        <v>47</v>
      </c>
      <c r="L182" s="1">
        <v>7</v>
      </c>
      <c r="M182" s="1">
        <v>693.26</v>
      </c>
      <c r="N182" s="1">
        <v>20</v>
      </c>
      <c r="O182" s="1">
        <v>3882.26</v>
      </c>
    </row>
    <row r="183" spans="1:15" x14ac:dyDescent="0.3">
      <c r="A183" s="1">
        <v>10275</v>
      </c>
      <c r="B183" s="1">
        <v>1806</v>
      </c>
      <c r="C183" s="2">
        <v>44947</v>
      </c>
      <c r="D183" s="2">
        <v>44951</v>
      </c>
      <c r="E183" s="1" t="s">
        <v>16</v>
      </c>
      <c r="F183" s="1" t="s">
        <v>54</v>
      </c>
      <c r="G183" s="1" t="s">
        <v>24</v>
      </c>
      <c r="H183" s="1" t="s">
        <v>25</v>
      </c>
      <c r="I183" s="1" t="s">
        <v>52</v>
      </c>
      <c r="J183" s="1" t="s">
        <v>64</v>
      </c>
      <c r="K183" s="1" t="s">
        <v>33</v>
      </c>
      <c r="L183" s="1">
        <v>7</v>
      </c>
      <c r="M183" s="1">
        <v>509.1</v>
      </c>
      <c r="N183" s="1">
        <v>15</v>
      </c>
      <c r="O183" s="1">
        <v>3029.14</v>
      </c>
    </row>
    <row r="184" spans="1:15" x14ac:dyDescent="0.3">
      <c r="A184" s="1">
        <v>10450</v>
      </c>
      <c r="B184" s="1">
        <v>1797</v>
      </c>
      <c r="C184" s="2">
        <v>45205</v>
      </c>
      <c r="D184" s="2">
        <v>45209</v>
      </c>
      <c r="E184" s="1" t="s">
        <v>16</v>
      </c>
      <c r="F184" s="1" t="s">
        <v>23</v>
      </c>
      <c r="G184" s="1" t="s">
        <v>30</v>
      </c>
      <c r="H184" s="1" t="s">
        <v>44</v>
      </c>
      <c r="I184" s="1" t="s">
        <v>31</v>
      </c>
      <c r="J184" s="1" t="s">
        <v>32</v>
      </c>
      <c r="K184" s="1" t="s">
        <v>28</v>
      </c>
      <c r="L184" s="1">
        <v>7</v>
      </c>
      <c r="M184" s="1">
        <v>2753</v>
      </c>
      <c r="N184" s="1">
        <v>20</v>
      </c>
      <c r="O184" s="1">
        <v>15416.8</v>
      </c>
    </row>
    <row r="185" spans="1:15" x14ac:dyDescent="0.3">
      <c r="A185" s="1">
        <v>10116</v>
      </c>
      <c r="B185" s="1">
        <v>1724</v>
      </c>
      <c r="C185" s="2">
        <v>45236</v>
      </c>
      <c r="D185" s="2">
        <v>45240</v>
      </c>
      <c r="E185" s="1" t="s">
        <v>16</v>
      </c>
      <c r="F185" s="1" t="s">
        <v>41</v>
      </c>
      <c r="G185" s="1" t="s">
        <v>30</v>
      </c>
      <c r="H185" s="1" t="s">
        <v>18</v>
      </c>
      <c r="I185" s="1" t="s">
        <v>52</v>
      </c>
      <c r="J185" s="1" t="s">
        <v>60</v>
      </c>
      <c r="K185" s="1" t="s">
        <v>47</v>
      </c>
      <c r="L185" s="1">
        <v>7</v>
      </c>
      <c r="M185" s="1">
        <v>978.54</v>
      </c>
      <c r="N185" s="1">
        <v>15</v>
      </c>
      <c r="O185" s="1">
        <v>5822.31</v>
      </c>
    </row>
    <row r="186" spans="1:15" x14ac:dyDescent="0.3">
      <c r="A186" s="1">
        <v>10166</v>
      </c>
      <c r="B186" s="1">
        <v>1804</v>
      </c>
      <c r="C186" s="2">
        <v>45177</v>
      </c>
      <c r="D186" s="2">
        <v>45179</v>
      </c>
      <c r="E186" s="1" t="s">
        <v>16</v>
      </c>
      <c r="F186" s="1" t="s">
        <v>41</v>
      </c>
      <c r="G186" s="1" t="s">
        <v>30</v>
      </c>
      <c r="H186" s="1" t="s">
        <v>42</v>
      </c>
      <c r="I186" s="1" t="s">
        <v>26</v>
      </c>
      <c r="J186" s="1" t="s">
        <v>27</v>
      </c>
      <c r="K186" s="1" t="s">
        <v>21</v>
      </c>
      <c r="L186" s="1">
        <v>7</v>
      </c>
      <c r="M186" s="1">
        <v>972.74</v>
      </c>
      <c r="N186" s="1">
        <v>0</v>
      </c>
      <c r="O186" s="1">
        <v>6809.18</v>
      </c>
    </row>
    <row r="187" spans="1:15" x14ac:dyDescent="0.3">
      <c r="A187" s="1">
        <v>10100</v>
      </c>
      <c r="B187" s="1">
        <v>1729</v>
      </c>
      <c r="C187" s="2">
        <v>45169</v>
      </c>
      <c r="D187" s="2">
        <v>45176</v>
      </c>
      <c r="E187" s="1" t="s">
        <v>16</v>
      </c>
      <c r="F187" s="1" t="s">
        <v>29</v>
      </c>
      <c r="G187" s="1" t="s">
        <v>24</v>
      </c>
      <c r="H187" s="1" t="s">
        <v>18</v>
      </c>
      <c r="I187" s="1" t="s">
        <v>19</v>
      </c>
      <c r="J187" s="1" t="s">
        <v>43</v>
      </c>
      <c r="K187" s="1" t="s">
        <v>47</v>
      </c>
      <c r="L187" s="1">
        <v>7</v>
      </c>
      <c r="M187" s="1">
        <v>3156.71</v>
      </c>
      <c r="N187" s="1">
        <v>10</v>
      </c>
      <c r="O187" s="1">
        <v>19887.27</v>
      </c>
    </row>
    <row r="188" spans="1:15" x14ac:dyDescent="0.3">
      <c r="A188" s="1">
        <v>10302</v>
      </c>
      <c r="B188" s="1">
        <v>1415</v>
      </c>
      <c r="C188" s="2">
        <v>45024</v>
      </c>
      <c r="D188" s="2">
        <v>45027</v>
      </c>
      <c r="E188" s="1" t="s">
        <v>16</v>
      </c>
      <c r="F188" s="1" t="s">
        <v>29</v>
      </c>
      <c r="G188" s="1" t="s">
        <v>24</v>
      </c>
      <c r="H188" s="1" t="s">
        <v>18</v>
      </c>
      <c r="I188" s="1" t="s">
        <v>31</v>
      </c>
      <c r="J188" s="1" t="s">
        <v>65</v>
      </c>
      <c r="K188" s="1" t="s">
        <v>33</v>
      </c>
      <c r="L188" s="1">
        <v>7</v>
      </c>
      <c r="M188" s="1">
        <v>636.59</v>
      </c>
      <c r="N188" s="1">
        <v>5</v>
      </c>
      <c r="O188" s="1">
        <v>4233.32</v>
      </c>
    </row>
    <row r="189" spans="1:15" x14ac:dyDescent="0.3">
      <c r="A189" s="1">
        <v>10426</v>
      </c>
      <c r="B189" s="1">
        <v>1134</v>
      </c>
      <c r="C189" s="2">
        <v>45060</v>
      </c>
      <c r="D189" s="2">
        <v>45067</v>
      </c>
      <c r="E189" s="1" t="s">
        <v>16</v>
      </c>
      <c r="F189" s="1" t="s">
        <v>29</v>
      </c>
      <c r="G189" s="1" t="s">
        <v>17</v>
      </c>
      <c r="H189" s="1" t="s">
        <v>18</v>
      </c>
      <c r="I189" s="1" t="s">
        <v>31</v>
      </c>
      <c r="J189" s="1" t="s">
        <v>32</v>
      </c>
      <c r="K189" s="1" t="s">
        <v>47</v>
      </c>
      <c r="L189" s="1">
        <v>7</v>
      </c>
      <c r="M189" s="1">
        <v>1686.79</v>
      </c>
      <c r="N189" s="1">
        <v>10</v>
      </c>
      <c r="O189" s="1">
        <v>10626.78</v>
      </c>
    </row>
    <row r="190" spans="1:15" x14ac:dyDescent="0.3">
      <c r="A190" s="1">
        <v>10101</v>
      </c>
      <c r="B190" s="1">
        <v>1555</v>
      </c>
      <c r="C190" s="2">
        <v>45149</v>
      </c>
      <c r="D190" s="2">
        <v>45155</v>
      </c>
      <c r="E190" s="1" t="s">
        <v>16</v>
      </c>
      <c r="F190" s="1" t="s">
        <v>16</v>
      </c>
      <c r="G190" s="1" t="s">
        <v>30</v>
      </c>
      <c r="H190" s="1" t="s">
        <v>42</v>
      </c>
      <c r="I190" s="1" t="s">
        <v>57</v>
      </c>
      <c r="J190" s="1" t="s">
        <v>59</v>
      </c>
      <c r="K190" s="1" t="s">
        <v>28</v>
      </c>
      <c r="L190" s="1">
        <v>8</v>
      </c>
      <c r="M190" s="1">
        <v>1683.18</v>
      </c>
      <c r="N190" s="1">
        <v>15</v>
      </c>
      <c r="O190" s="1">
        <v>11445.62</v>
      </c>
    </row>
    <row r="191" spans="1:15" x14ac:dyDescent="0.3">
      <c r="A191" s="1">
        <v>10425</v>
      </c>
      <c r="B191" s="1">
        <v>1391</v>
      </c>
      <c r="C191" s="2">
        <v>45191</v>
      </c>
      <c r="D191" s="2">
        <v>45193</v>
      </c>
      <c r="E191" s="1" t="s">
        <v>16</v>
      </c>
      <c r="F191" s="1" t="s">
        <v>16</v>
      </c>
      <c r="G191" s="1" t="s">
        <v>30</v>
      </c>
      <c r="H191" s="1" t="s">
        <v>18</v>
      </c>
      <c r="I191" s="1" t="s">
        <v>31</v>
      </c>
      <c r="J191" s="1" t="s">
        <v>39</v>
      </c>
      <c r="K191" s="1" t="s">
        <v>33</v>
      </c>
      <c r="L191" s="1">
        <v>8</v>
      </c>
      <c r="M191" s="1">
        <v>1196.3800000000001</v>
      </c>
      <c r="N191" s="1">
        <v>20</v>
      </c>
      <c r="O191" s="1">
        <v>7656.83</v>
      </c>
    </row>
    <row r="192" spans="1:15" x14ac:dyDescent="0.3">
      <c r="A192" s="1">
        <v>10119</v>
      </c>
      <c r="B192" s="1">
        <v>1337</v>
      </c>
      <c r="C192" s="2">
        <v>44964</v>
      </c>
      <c r="D192" s="2">
        <v>44970</v>
      </c>
      <c r="E192" s="1" t="s">
        <v>16</v>
      </c>
      <c r="F192" s="1" t="s">
        <v>38</v>
      </c>
      <c r="G192" s="1" t="s">
        <v>17</v>
      </c>
      <c r="H192" s="1" t="s">
        <v>35</v>
      </c>
      <c r="I192" s="1" t="s">
        <v>31</v>
      </c>
      <c r="J192" s="1" t="s">
        <v>32</v>
      </c>
      <c r="K192" s="1" t="s">
        <v>33</v>
      </c>
      <c r="L192" s="1">
        <v>8</v>
      </c>
      <c r="M192" s="1">
        <v>3339.68</v>
      </c>
      <c r="N192" s="1">
        <v>0</v>
      </c>
      <c r="O192" s="1">
        <v>26717.439999999999</v>
      </c>
    </row>
    <row r="193" spans="1:15" x14ac:dyDescent="0.3">
      <c r="A193" s="1">
        <v>10229</v>
      </c>
      <c r="B193" s="1">
        <v>1797</v>
      </c>
      <c r="C193" s="2">
        <v>44957</v>
      </c>
      <c r="D193" s="2">
        <v>44959</v>
      </c>
      <c r="E193" s="1" t="s">
        <v>16</v>
      </c>
      <c r="F193" s="1" t="s">
        <v>54</v>
      </c>
      <c r="G193" s="1" t="s">
        <v>30</v>
      </c>
      <c r="H193" s="1" t="s">
        <v>44</v>
      </c>
      <c r="I193" s="1" t="s">
        <v>49</v>
      </c>
      <c r="J193" s="1" t="s">
        <v>68</v>
      </c>
      <c r="K193" s="1" t="s">
        <v>33</v>
      </c>
      <c r="L193" s="1">
        <v>8</v>
      </c>
      <c r="M193" s="1">
        <v>3519.2</v>
      </c>
      <c r="N193" s="1">
        <v>0</v>
      </c>
      <c r="O193" s="1">
        <v>28153.599999999999</v>
      </c>
    </row>
    <row r="194" spans="1:15" x14ac:dyDescent="0.3">
      <c r="A194" s="1">
        <v>10013</v>
      </c>
      <c r="B194" s="1">
        <v>1330</v>
      </c>
      <c r="C194" s="2">
        <v>45100</v>
      </c>
      <c r="D194" s="2">
        <v>45107</v>
      </c>
      <c r="E194" s="1" t="s">
        <v>16</v>
      </c>
      <c r="F194" s="1" t="s">
        <v>23</v>
      </c>
      <c r="G194" s="1" t="s">
        <v>17</v>
      </c>
      <c r="H194" s="1" t="s">
        <v>35</v>
      </c>
      <c r="I194" s="1" t="s">
        <v>19</v>
      </c>
      <c r="J194" s="1" t="s">
        <v>43</v>
      </c>
      <c r="K194" s="1" t="s">
        <v>21</v>
      </c>
      <c r="L194" s="1">
        <v>8</v>
      </c>
      <c r="M194" s="1">
        <v>3160.9</v>
      </c>
      <c r="N194" s="1">
        <v>0</v>
      </c>
      <c r="O194" s="1">
        <v>25287.200000000001</v>
      </c>
    </row>
    <row r="195" spans="1:15" x14ac:dyDescent="0.3">
      <c r="A195" s="1">
        <v>10157</v>
      </c>
      <c r="B195" s="1">
        <v>1839</v>
      </c>
      <c r="C195" s="2">
        <v>45154</v>
      </c>
      <c r="D195" s="2">
        <v>45161</v>
      </c>
      <c r="E195" s="1" t="s">
        <v>16</v>
      </c>
      <c r="F195" s="1" t="s">
        <v>23</v>
      </c>
      <c r="G195" s="1" t="s">
        <v>30</v>
      </c>
      <c r="H195" s="1" t="s">
        <v>25</v>
      </c>
      <c r="I195" s="1" t="s">
        <v>19</v>
      </c>
      <c r="J195" s="1" t="s">
        <v>20</v>
      </c>
      <c r="K195" s="1" t="s">
        <v>33</v>
      </c>
      <c r="L195" s="1">
        <v>8</v>
      </c>
      <c r="M195" s="1">
        <v>1054.73</v>
      </c>
      <c r="N195" s="1">
        <v>0</v>
      </c>
      <c r="O195" s="1">
        <v>8437.84</v>
      </c>
    </row>
    <row r="196" spans="1:15" x14ac:dyDescent="0.3">
      <c r="A196" s="1">
        <v>10251</v>
      </c>
      <c r="B196" s="1">
        <v>1410</v>
      </c>
      <c r="C196" s="2">
        <v>45154</v>
      </c>
      <c r="D196" s="2">
        <v>45155</v>
      </c>
      <c r="E196" s="1" t="s">
        <v>16</v>
      </c>
      <c r="F196" s="1" t="s">
        <v>23</v>
      </c>
      <c r="G196" s="1" t="s">
        <v>17</v>
      </c>
      <c r="H196" s="1" t="s">
        <v>25</v>
      </c>
      <c r="I196" s="1" t="s">
        <v>31</v>
      </c>
      <c r="J196" s="1" t="s">
        <v>48</v>
      </c>
      <c r="K196" s="1" t="s">
        <v>28</v>
      </c>
      <c r="L196" s="1">
        <v>8</v>
      </c>
      <c r="M196" s="1">
        <v>1822.29</v>
      </c>
      <c r="N196" s="1">
        <v>20</v>
      </c>
      <c r="O196" s="1">
        <v>11662.66</v>
      </c>
    </row>
    <row r="197" spans="1:15" x14ac:dyDescent="0.3">
      <c r="A197" s="1">
        <v>10382</v>
      </c>
      <c r="B197" s="1">
        <v>1130</v>
      </c>
      <c r="C197" s="2">
        <v>45209</v>
      </c>
      <c r="D197" s="2">
        <v>45212</v>
      </c>
      <c r="E197" s="1" t="s">
        <v>16</v>
      </c>
      <c r="F197" s="1" t="s">
        <v>23</v>
      </c>
      <c r="G197" s="1" t="s">
        <v>30</v>
      </c>
      <c r="H197" s="1" t="s">
        <v>44</v>
      </c>
      <c r="I197" s="1" t="s">
        <v>26</v>
      </c>
      <c r="J197" s="1" t="s">
        <v>36</v>
      </c>
      <c r="K197" s="1" t="s">
        <v>47</v>
      </c>
      <c r="L197" s="1">
        <v>8</v>
      </c>
      <c r="M197" s="1">
        <v>403.38</v>
      </c>
      <c r="N197" s="1">
        <v>10</v>
      </c>
      <c r="O197" s="1">
        <v>2904.34</v>
      </c>
    </row>
    <row r="198" spans="1:15" x14ac:dyDescent="0.3">
      <c r="A198" s="1">
        <v>10240</v>
      </c>
      <c r="B198" s="1">
        <v>1376</v>
      </c>
      <c r="C198" s="2">
        <v>45196</v>
      </c>
      <c r="D198" s="2">
        <v>45198</v>
      </c>
      <c r="E198" s="1" t="s">
        <v>16</v>
      </c>
      <c r="F198" s="1" t="s">
        <v>38</v>
      </c>
      <c r="G198" s="1" t="s">
        <v>17</v>
      </c>
      <c r="H198" s="1" t="s">
        <v>42</v>
      </c>
      <c r="I198" s="1" t="s">
        <v>57</v>
      </c>
      <c r="J198" s="1" t="s">
        <v>67</v>
      </c>
      <c r="K198" s="1" t="s">
        <v>45</v>
      </c>
      <c r="L198" s="1">
        <v>9</v>
      </c>
      <c r="M198" s="1">
        <v>265.58</v>
      </c>
      <c r="N198" s="1">
        <v>10</v>
      </c>
      <c r="O198" s="1">
        <v>2151.1999999999998</v>
      </c>
    </row>
    <row r="199" spans="1:15" x14ac:dyDescent="0.3">
      <c r="A199" s="1">
        <v>10356</v>
      </c>
      <c r="B199" s="1">
        <v>1150</v>
      </c>
      <c r="C199" s="2">
        <v>45093</v>
      </c>
      <c r="D199" s="2">
        <v>45102</v>
      </c>
      <c r="E199" s="1" t="s">
        <v>16</v>
      </c>
      <c r="F199" s="1" t="s">
        <v>38</v>
      </c>
      <c r="G199" s="1" t="s">
        <v>30</v>
      </c>
      <c r="H199" s="1" t="s">
        <v>42</v>
      </c>
      <c r="I199" s="1" t="s">
        <v>31</v>
      </c>
      <c r="J199" s="1" t="s">
        <v>48</v>
      </c>
      <c r="K199" s="1" t="s">
        <v>21</v>
      </c>
      <c r="L199" s="1">
        <v>9</v>
      </c>
      <c r="M199" s="1">
        <v>1259.77</v>
      </c>
      <c r="N199" s="1">
        <v>15</v>
      </c>
      <c r="O199" s="1">
        <v>9637.24</v>
      </c>
    </row>
    <row r="200" spans="1:15" x14ac:dyDescent="0.3">
      <c r="A200" s="1">
        <v>10125</v>
      </c>
      <c r="B200" s="1">
        <v>1763</v>
      </c>
      <c r="C200" s="2">
        <v>45045</v>
      </c>
      <c r="D200" s="2">
        <v>45052</v>
      </c>
      <c r="E200" s="1" t="s">
        <v>16</v>
      </c>
      <c r="F200" s="1" t="s">
        <v>23</v>
      </c>
      <c r="G200" s="1" t="s">
        <v>30</v>
      </c>
      <c r="H200" s="1" t="s">
        <v>44</v>
      </c>
      <c r="I200" s="1" t="s">
        <v>52</v>
      </c>
      <c r="J200" s="1" t="s">
        <v>64</v>
      </c>
      <c r="K200" s="1" t="s">
        <v>47</v>
      </c>
      <c r="L200" s="1">
        <v>9</v>
      </c>
      <c r="M200" s="1">
        <v>3450.19</v>
      </c>
      <c r="N200" s="1">
        <v>0</v>
      </c>
      <c r="O200" s="1">
        <v>31051.71</v>
      </c>
    </row>
    <row r="201" spans="1:15" x14ac:dyDescent="0.3">
      <c r="A201" s="1">
        <v>10124</v>
      </c>
      <c r="B201" s="1">
        <v>1216</v>
      </c>
      <c r="C201" s="2">
        <v>45199</v>
      </c>
      <c r="D201" s="2">
        <v>45200</v>
      </c>
      <c r="E201" s="1" t="s">
        <v>16</v>
      </c>
      <c r="F201" s="1" t="s">
        <v>41</v>
      </c>
      <c r="G201" s="1" t="s">
        <v>24</v>
      </c>
      <c r="H201" s="1" t="s">
        <v>18</v>
      </c>
      <c r="I201" s="1" t="s">
        <v>26</v>
      </c>
      <c r="J201" s="1" t="s">
        <v>61</v>
      </c>
      <c r="K201" s="1" t="s">
        <v>33</v>
      </c>
      <c r="L201" s="1">
        <v>9</v>
      </c>
      <c r="M201" s="1">
        <v>961.91</v>
      </c>
      <c r="N201" s="1">
        <v>15</v>
      </c>
      <c r="O201" s="1">
        <v>7358.61</v>
      </c>
    </row>
    <row r="202" spans="1:15" x14ac:dyDescent="0.3">
      <c r="A202" s="1">
        <v>10255</v>
      </c>
      <c r="B202" s="1">
        <v>1224</v>
      </c>
      <c r="C202" s="2">
        <v>45264</v>
      </c>
      <c r="D202" s="2">
        <v>45269</v>
      </c>
      <c r="E202" s="1" t="s">
        <v>16</v>
      </c>
      <c r="F202" s="1" t="s">
        <v>41</v>
      </c>
      <c r="G202" s="1" t="s">
        <v>17</v>
      </c>
      <c r="H202" s="1" t="s">
        <v>42</v>
      </c>
      <c r="I202" s="1" t="s">
        <v>19</v>
      </c>
      <c r="J202" s="1" t="s">
        <v>20</v>
      </c>
      <c r="K202" s="1" t="s">
        <v>33</v>
      </c>
      <c r="L202" s="1">
        <v>9</v>
      </c>
      <c r="M202" s="1">
        <v>2077.7399999999998</v>
      </c>
      <c r="N202" s="1">
        <v>15</v>
      </c>
      <c r="O202" s="1">
        <v>15894.71</v>
      </c>
    </row>
    <row r="203" spans="1:15" x14ac:dyDescent="0.3">
      <c r="A203" s="1">
        <v>10486</v>
      </c>
      <c r="B203" s="1">
        <v>1115</v>
      </c>
      <c r="C203" s="2">
        <v>45068</v>
      </c>
      <c r="D203" s="2">
        <v>45077</v>
      </c>
      <c r="E203" s="1" t="s">
        <v>16</v>
      </c>
      <c r="F203" s="1" t="s">
        <v>41</v>
      </c>
      <c r="G203" s="1" t="s">
        <v>24</v>
      </c>
      <c r="H203" s="1" t="s">
        <v>42</v>
      </c>
      <c r="I203" s="1" t="s">
        <v>49</v>
      </c>
      <c r="J203" s="1" t="s">
        <v>63</v>
      </c>
      <c r="K203" s="1" t="s">
        <v>33</v>
      </c>
      <c r="L203" s="1">
        <v>9</v>
      </c>
      <c r="M203" s="1">
        <v>775.77</v>
      </c>
      <c r="N203" s="1">
        <v>0</v>
      </c>
      <c r="O203" s="1">
        <v>6981.93</v>
      </c>
    </row>
    <row r="204" spans="1:15" x14ac:dyDescent="0.3">
      <c r="A204" s="1">
        <v>10259</v>
      </c>
      <c r="B204" s="1">
        <v>1663</v>
      </c>
      <c r="C204" s="2">
        <v>45122</v>
      </c>
      <c r="D204" s="2">
        <v>45126</v>
      </c>
      <c r="E204" s="1" t="s">
        <v>16</v>
      </c>
      <c r="F204" s="1" t="s">
        <v>29</v>
      </c>
      <c r="G204" s="1" t="s">
        <v>24</v>
      </c>
      <c r="H204" s="1" t="s">
        <v>25</v>
      </c>
      <c r="I204" s="1" t="s">
        <v>49</v>
      </c>
      <c r="J204" s="1" t="s">
        <v>51</v>
      </c>
      <c r="K204" s="1" t="s">
        <v>21</v>
      </c>
      <c r="L204" s="1">
        <v>9</v>
      </c>
      <c r="M204" s="1">
        <v>1223.9100000000001</v>
      </c>
      <c r="N204" s="1">
        <v>5</v>
      </c>
      <c r="O204" s="1">
        <v>10464.43</v>
      </c>
    </row>
    <row r="205" spans="1:15" x14ac:dyDescent="0.3">
      <c r="A205" s="1">
        <v>10073</v>
      </c>
      <c r="B205" s="1">
        <v>1564</v>
      </c>
      <c r="C205" s="2">
        <v>45055</v>
      </c>
      <c r="D205" s="2">
        <v>45063</v>
      </c>
      <c r="E205" s="1" t="s">
        <v>40</v>
      </c>
      <c r="F205" s="1" t="s">
        <v>16</v>
      </c>
      <c r="G205" s="1" t="s">
        <v>17</v>
      </c>
      <c r="H205" s="1" t="s">
        <v>25</v>
      </c>
      <c r="I205" s="1" t="s">
        <v>49</v>
      </c>
      <c r="J205" s="1" t="s">
        <v>68</v>
      </c>
      <c r="K205" s="1" t="s">
        <v>21</v>
      </c>
      <c r="L205" s="1">
        <v>1</v>
      </c>
      <c r="M205" s="1">
        <v>3037.61</v>
      </c>
      <c r="N205" s="1">
        <v>5</v>
      </c>
      <c r="O205" s="1">
        <v>2885.73</v>
      </c>
    </row>
    <row r="206" spans="1:15" x14ac:dyDescent="0.3">
      <c r="A206" s="1">
        <v>10133</v>
      </c>
      <c r="B206" s="1">
        <v>1064</v>
      </c>
      <c r="C206" s="2">
        <v>45262</v>
      </c>
      <c r="D206" s="2">
        <v>45267</v>
      </c>
      <c r="E206" s="1" t="s">
        <v>40</v>
      </c>
      <c r="F206" s="1" t="s">
        <v>16</v>
      </c>
      <c r="G206" s="1" t="s">
        <v>17</v>
      </c>
      <c r="H206" s="1" t="s">
        <v>18</v>
      </c>
      <c r="I206" s="1" t="s">
        <v>31</v>
      </c>
      <c r="J206" s="1" t="s">
        <v>48</v>
      </c>
      <c r="K206" s="1" t="s">
        <v>28</v>
      </c>
      <c r="L206" s="1">
        <v>1</v>
      </c>
      <c r="M206" s="1">
        <v>3990.85</v>
      </c>
      <c r="N206" s="1">
        <v>0</v>
      </c>
      <c r="O206" s="1">
        <v>3990.85</v>
      </c>
    </row>
    <row r="207" spans="1:15" x14ac:dyDescent="0.3">
      <c r="A207" s="1">
        <v>10267</v>
      </c>
      <c r="B207" s="1">
        <v>1691</v>
      </c>
      <c r="C207" s="2">
        <v>45074</v>
      </c>
      <c r="D207" s="2">
        <v>45079</v>
      </c>
      <c r="E207" s="1" t="s">
        <v>40</v>
      </c>
      <c r="F207" s="1" t="s">
        <v>38</v>
      </c>
      <c r="G207" s="1" t="s">
        <v>30</v>
      </c>
      <c r="H207" s="1" t="s">
        <v>44</v>
      </c>
      <c r="I207" s="1" t="s">
        <v>52</v>
      </c>
      <c r="J207" s="1" t="s">
        <v>53</v>
      </c>
      <c r="K207" s="1" t="s">
        <v>47</v>
      </c>
      <c r="L207" s="1">
        <v>1</v>
      </c>
      <c r="M207" s="1">
        <v>900.78</v>
      </c>
      <c r="N207" s="1">
        <v>5</v>
      </c>
      <c r="O207" s="1">
        <v>855.74</v>
      </c>
    </row>
    <row r="208" spans="1:15" x14ac:dyDescent="0.3">
      <c r="A208" s="1">
        <v>10329</v>
      </c>
      <c r="B208" s="1">
        <v>1770</v>
      </c>
      <c r="C208" s="2">
        <v>44975</v>
      </c>
      <c r="D208" s="2">
        <v>44976</v>
      </c>
      <c r="E208" s="1" t="s">
        <v>40</v>
      </c>
      <c r="F208" s="1" t="s">
        <v>38</v>
      </c>
      <c r="G208" s="1" t="s">
        <v>17</v>
      </c>
      <c r="H208" s="1" t="s">
        <v>44</v>
      </c>
      <c r="I208" s="1" t="s">
        <v>26</v>
      </c>
      <c r="J208" s="1" t="s">
        <v>27</v>
      </c>
      <c r="K208" s="1" t="s">
        <v>47</v>
      </c>
      <c r="L208" s="1">
        <v>1</v>
      </c>
      <c r="M208" s="1">
        <v>3171.36</v>
      </c>
      <c r="N208" s="1">
        <v>20</v>
      </c>
      <c r="O208" s="1">
        <v>2537.09</v>
      </c>
    </row>
    <row r="209" spans="1:15" x14ac:dyDescent="0.3">
      <c r="A209" s="1">
        <v>10390</v>
      </c>
      <c r="B209" s="1">
        <v>1586</v>
      </c>
      <c r="C209" s="2">
        <v>45102</v>
      </c>
      <c r="D209" s="2">
        <v>45103</v>
      </c>
      <c r="E209" s="1" t="s">
        <v>40</v>
      </c>
      <c r="F209" s="1" t="s">
        <v>54</v>
      </c>
      <c r="G209" s="1" t="s">
        <v>24</v>
      </c>
      <c r="H209" s="1" t="s">
        <v>35</v>
      </c>
      <c r="I209" s="1" t="s">
        <v>31</v>
      </c>
      <c r="J209" s="1" t="s">
        <v>48</v>
      </c>
      <c r="K209" s="1" t="s">
        <v>47</v>
      </c>
      <c r="L209" s="1">
        <v>1</v>
      </c>
      <c r="M209" s="1">
        <v>2430.36</v>
      </c>
      <c r="N209" s="1">
        <v>15</v>
      </c>
      <c r="O209" s="1">
        <v>2065.81</v>
      </c>
    </row>
    <row r="210" spans="1:15" x14ac:dyDescent="0.3">
      <c r="A210" s="1">
        <v>10047</v>
      </c>
      <c r="B210" s="1">
        <v>1782</v>
      </c>
      <c r="C210" s="2">
        <v>44976</v>
      </c>
      <c r="D210" s="2">
        <v>44985</v>
      </c>
      <c r="E210" s="1" t="s">
        <v>40</v>
      </c>
      <c r="F210" s="1" t="s">
        <v>41</v>
      </c>
      <c r="G210" s="1" t="s">
        <v>17</v>
      </c>
      <c r="H210" s="1" t="s">
        <v>18</v>
      </c>
      <c r="I210" s="1" t="s">
        <v>57</v>
      </c>
      <c r="J210" s="1" t="s">
        <v>62</v>
      </c>
      <c r="K210" s="1" t="s">
        <v>47</v>
      </c>
      <c r="L210" s="1">
        <v>1</v>
      </c>
      <c r="M210" s="1">
        <v>1769.93</v>
      </c>
      <c r="N210" s="1">
        <v>20</v>
      </c>
      <c r="O210" s="1">
        <v>1415.94</v>
      </c>
    </row>
    <row r="211" spans="1:15" x14ac:dyDescent="0.3">
      <c r="A211" s="1">
        <v>10313</v>
      </c>
      <c r="B211" s="1">
        <v>1836</v>
      </c>
      <c r="C211" s="2">
        <v>44992</v>
      </c>
      <c r="D211" s="2">
        <v>44997</v>
      </c>
      <c r="E211" s="1" t="s">
        <v>40</v>
      </c>
      <c r="F211" s="1" t="s">
        <v>41</v>
      </c>
      <c r="G211" s="1" t="s">
        <v>17</v>
      </c>
      <c r="H211" s="1" t="s">
        <v>35</v>
      </c>
      <c r="I211" s="1" t="s">
        <v>57</v>
      </c>
      <c r="J211" s="1" t="s">
        <v>62</v>
      </c>
      <c r="K211" s="1" t="s">
        <v>45</v>
      </c>
      <c r="L211" s="1">
        <v>1</v>
      </c>
      <c r="M211" s="1">
        <v>3251.27</v>
      </c>
      <c r="N211" s="1">
        <v>15</v>
      </c>
      <c r="O211" s="1">
        <v>2763.58</v>
      </c>
    </row>
    <row r="212" spans="1:15" x14ac:dyDescent="0.3">
      <c r="A212" s="1">
        <v>10354</v>
      </c>
      <c r="B212" s="1">
        <v>1472</v>
      </c>
      <c r="C212" s="2">
        <v>45153</v>
      </c>
      <c r="D212" s="2">
        <v>45160</v>
      </c>
      <c r="E212" s="1" t="s">
        <v>40</v>
      </c>
      <c r="F212" s="1" t="s">
        <v>41</v>
      </c>
      <c r="G212" s="1" t="s">
        <v>17</v>
      </c>
      <c r="H212" s="1" t="s">
        <v>44</v>
      </c>
      <c r="I212" s="1" t="s">
        <v>57</v>
      </c>
      <c r="J212" s="1" t="s">
        <v>58</v>
      </c>
      <c r="K212" s="1" t="s">
        <v>33</v>
      </c>
      <c r="L212" s="1">
        <v>1</v>
      </c>
      <c r="M212" s="1">
        <v>3592.92</v>
      </c>
      <c r="N212" s="1">
        <v>20</v>
      </c>
      <c r="O212" s="1">
        <v>2874.34</v>
      </c>
    </row>
    <row r="213" spans="1:15" x14ac:dyDescent="0.3">
      <c r="A213" s="1">
        <v>10064</v>
      </c>
      <c r="B213" s="1">
        <v>1166</v>
      </c>
      <c r="C213" s="2">
        <v>45207</v>
      </c>
      <c r="D213" s="2">
        <v>45216</v>
      </c>
      <c r="E213" s="1" t="s">
        <v>40</v>
      </c>
      <c r="F213" s="1" t="s">
        <v>16</v>
      </c>
      <c r="G213" s="1" t="s">
        <v>30</v>
      </c>
      <c r="H213" s="1" t="s">
        <v>18</v>
      </c>
      <c r="I213" s="1" t="s">
        <v>26</v>
      </c>
      <c r="J213" s="1" t="s">
        <v>36</v>
      </c>
      <c r="K213" s="1" t="s">
        <v>47</v>
      </c>
      <c r="L213" s="1">
        <v>2</v>
      </c>
      <c r="M213" s="1">
        <v>1041.2</v>
      </c>
      <c r="N213" s="1">
        <v>15</v>
      </c>
      <c r="O213" s="1">
        <v>1770.04</v>
      </c>
    </row>
    <row r="214" spans="1:15" x14ac:dyDescent="0.3">
      <c r="A214" s="1">
        <v>10096</v>
      </c>
      <c r="B214" s="1">
        <v>1821</v>
      </c>
      <c r="C214" s="2">
        <v>44940</v>
      </c>
      <c r="D214" s="2">
        <v>44947</v>
      </c>
      <c r="E214" s="1" t="s">
        <v>40</v>
      </c>
      <c r="F214" s="1" t="s">
        <v>16</v>
      </c>
      <c r="G214" s="1" t="s">
        <v>17</v>
      </c>
      <c r="H214" s="1" t="s">
        <v>25</v>
      </c>
      <c r="I214" s="1" t="s">
        <v>52</v>
      </c>
      <c r="J214" s="1" t="s">
        <v>60</v>
      </c>
      <c r="K214" s="1" t="s">
        <v>33</v>
      </c>
      <c r="L214" s="1">
        <v>2</v>
      </c>
      <c r="M214" s="1">
        <v>1249.94</v>
      </c>
      <c r="N214" s="1">
        <v>10</v>
      </c>
      <c r="O214" s="1">
        <v>2249.89</v>
      </c>
    </row>
    <row r="215" spans="1:15" x14ac:dyDescent="0.3">
      <c r="A215" s="1">
        <v>10444</v>
      </c>
      <c r="B215" s="1">
        <v>1437</v>
      </c>
      <c r="C215" s="2">
        <v>44960</v>
      </c>
      <c r="D215" s="2">
        <v>44969</v>
      </c>
      <c r="E215" s="1" t="s">
        <v>40</v>
      </c>
      <c r="F215" s="1" t="s">
        <v>38</v>
      </c>
      <c r="G215" s="1" t="s">
        <v>30</v>
      </c>
      <c r="H215" s="1" t="s">
        <v>18</v>
      </c>
      <c r="I215" s="1" t="s">
        <v>31</v>
      </c>
      <c r="J215" s="1" t="s">
        <v>32</v>
      </c>
      <c r="K215" s="1" t="s">
        <v>21</v>
      </c>
      <c r="L215" s="1">
        <v>2</v>
      </c>
      <c r="M215" s="1">
        <v>3904.44</v>
      </c>
      <c r="N215" s="1">
        <v>10</v>
      </c>
      <c r="O215" s="1">
        <v>7027.99</v>
      </c>
    </row>
    <row r="216" spans="1:15" x14ac:dyDescent="0.3">
      <c r="A216" s="1">
        <v>10154</v>
      </c>
      <c r="B216" s="1">
        <v>1027</v>
      </c>
      <c r="C216" s="2">
        <v>45118</v>
      </c>
      <c r="D216" s="2">
        <v>45126</v>
      </c>
      <c r="E216" s="1" t="s">
        <v>40</v>
      </c>
      <c r="F216" s="1" t="s">
        <v>23</v>
      </c>
      <c r="G216" s="1" t="s">
        <v>17</v>
      </c>
      <c r="H216" s="1" t="s">
        <v>42</v>
      </c>
      <c r="I216" s="1" t="s">
        <v>19</v>
      </c>
      <c r="J216" s="1" t="s">
        <v>43</v>
      </c>
      <c r="K216" s="1" t="s">
        <v>45</v>
      </c>
      <c r="L216" s="1">
        <v>2</v>
      </c>
      <c r="M216" s="1">
        <v>764.56</v>
      </c>
      <c r="N216" s="1">
        <v>0</v>
      </c>
      <c r="O216" s="1">
        <v>1529.12</v>
      </c>
    </row>
    <row r="217" spans="1:15" x14ac:dyDescent="0.3">
      <c r="A217" s="1">
        <v>10446</v>
      </c>
      <c r="B217" s="1">
        <v>1282</v>
      </c>
      <c r="C217" s="2">
        <v>45233</v>
      </c>
      <c r="D217" s="2">
        <v>45239</v>
      </c>
      <c r="E217" s="1" t="s">
        <v>40</v>
      </c>
      <c r="F217" s="1" t="s">
        <v>23</v>
      </c>
      <c r="G217" s="1" t="s">
        <v>17</v>
      </c>
      <c r="H217" s="1" t="s">
        <v>42</v>
      </c>
      <c r="I217" s="1" t="s">
        <v>26</v>
      </c>
      <c r="J217" s="1" t="s">
        <v>27</v>
      </c>
      <c r="K217" s="1" t="s">
        <v>28</v>
      </c>
      <c r="L217" s="1">
        <v>2</v>
      </c>
      <c r="M217" s="1">
        <v>1316.62</v>
      </c>
      <c r="N217" s="1">
        <v>0</v>
      </c>
      <c r="O217" s="1">
        <v>2633.24</v>
      </c>
    </row>
    <row r="218" spans="1:15" x14ac:dyDescent="0.3">
      <c r="A218" s="1">
        <v>10084</v>
      </c>
      <c r="B218" s="1">
        <v>1034</v>
      </c>
      <c r="C218" s="2">
        <v>45157</v>
      </c>
      <c r="D218" s="2">
        <v>45166</v>
      </c>
      <c r="E218" s="1" t="s">
        <v>40</v>
      </c>
      <c r="F218" s="1" t="s">
        <v>29</v>
      </c>
      <c r="G218" s="1" t="s">
        <v>30</v>
      </c>
      <c r="H218" s="1" t="s">
        <v>44</v>
      </c>
      <c r="I218" s="1" t="s">
        <v>52</v>
      </c>
      <c r="J218" s="1" t="s">
        <v>56</v>
      </c>
      <c r="K218" s="1" t="s">
        <v>33</v>
      </c>
      <c r="L218" s="1">
        <v>2</v>
      </c>
      <c r="M218" s="1">
        <v>2145.36</v>
      </c>
      <c r="N218" s="1">
        <v>20</v>
      </c>
      <c r="O218" s="1">
        <v>3432.58</v>
      </c>
    </row>
    <row r="219" spans="1:15" x14ac:dyDescent="0.3">
      <c r="A219" s="1">
        <v>10271</v>
      </c>
      <c r="B219" s="1">
        <v>1441</v>
      </c>
      <c r="C219" s="2">
        <v>45068</v>
      </c>
      <c r="D219" s="2">
        <v>45072</v>
      </c>
      <c r="E219" s="1" t="s">
        <v>40</v>
      </c>
      <c r="F219" s="1" t="s">
        <v>16</v>
      </c>
      <c r="G219" s="1" t="s">
        <v>30</v>
      </c>
      <c r="H219" s="1" t="s">
        <v>25</v>
      </c>
      <c r="I219" s="1" t="s">
        <v>19</v>
      </c>
      <c r="J219" s="1" t="s">
        <v>66</v>
      </c>
      <c r="K219" s="1" t="s">
        <v>47</v>
      </c>
      <c r="L219" s="1">
        <v>3</v>
      </c>
      <c r="M219" s="1">
        <v>2469.5100000000002</v>
      </c>
      <c r="N219" s="1">
        <v>0</v>
      </c>
      <c r="O219" s="1">
        <v>7408.53</v>
      </c>
    </row>
    <row r="220" spans="1:15" x14ac:dyDescent="0.3">
      <c r="A220" s="1">
        <v>10095</v>
      </c>
      <c r="B220" s="1">
        <v>1771</v>
      </c>
      <c r="C220" s="2">
        <v>45135</v>
      </c>
      <c r="D220" s="2">
        <v>45137</v>
      </c>
      <c r="E220" s="1" t="s">
        <v>40</v>
      </c>
      <c r="F220" s="1" t="s">
        <v>54</v>
      </c>
      <c r="G220" s="1" t="s">
        <v>30</v>
      </c>
      <c r="H220" s="1" t="s">
        <v>42</v>
      </c>
      <c r="I220" s="1" t="s">
        <v>49</v>
      </c>
      <c r="J220" s="1" t="s">
        <v>50</v>
      </c>
      <c r="K220" s="1" t="s">
        <v>47</v>
      </c>
      <c r="L220" s="1">
        <v>3</v>
      </c>
      <c r="M220" s="1">
        <v>1368.86</v>
      </c>
      <c r="N220" s="1">
        <v>10</v>
      </c>
      <c r="O220" s="1">
        <v>3695.92</v>
      </c>
    </row>
    <row r="221" spans="1:15" x14ac:dyDescent="0.3">
      <c r="A221" s="1">
        <v>10188</v>
      </c>
      <c r="B221" s="1">
        <v>1206</v>
      </c>
      <c r="C221" s="2">
        <v>45064</v>
      </c>
      <c r="D221" s="2">
        <v>45070</v>
      </c>
      <c r="E221" s="1" t="s">
        <v>40</v>
      </c>
      <c r="F221" s="1" t="s">
        <v>54</v>
      </c>
      <c r="G221" s="1" t="s">
        <v>17</v>
      </c>
      <c r="H221" s="1" t="s">
        <v>25</v>
      </c>
      <c r="I221" s="1" t="s">
        <v>52</v>
      </c>
      <c r="J221" s="1" t="s">
        <v>53</v>
      </c>
      <c r="K221" s="1" t="s">
        <v>21</v>
      </c>
      <c r="L221" s="1">
        <v>3</v>
      </c>
      <c r="M221" s="1">
        <v>778.85</v>
      </c>
      <c r="N221" s="1">
        <v>10</v>
      </c>
      <c r="O221" s="1">
        <v>2102.89</v>
      </c>
    </row>
    <row r="222" spans="1:15" x14ac:dyDescent="0.3">
      <c r="A222" s="1">
        <v>10483</v>
      </c>
      <c r="B222" s="1">
        <v>1098</v>
      </c>
      <c r="C222" s="2">
        <v>45239</v>
      </c>
      <c r="D222" s="2">
        <v>45245</v>
      </c>
      <c r="E222" s="1" t="s">
        <v>40</v>
      </c>
      <c r="F222" s="1" t="s">
        <v>54</v>
      </c>
      <c r="G222" s="1" t="s">
        <v>24</v>
      </c>
      <c r="H222" s="1" t="s">
        <v>18</v>
      </c>
      <c r="I222" s="1" t="s">
        <v>26</v>
      </c>
      <c r="J222" s="1" t="s">
        <v>61</v>
      </c>
      <c r="K222" s="1" t="s">
        <v>28</v>
      </c>
      <c r="L222" s="1">
        <v>3</v>
      </c>
      <c r="M222" s="1">
        <v>578.15</v>
      </c>
      <c r="N222" s="1">
        <v>0</v>
      </c>
      <c r="O222" s="1">
        <v>1734.45</v>
      </c>
    </row>
    <row r="223" spans="1:15" x14ac:dyDescent="0.3">
      <c r="A223" s="1">
        <v>10375</v>
      </c>
      <c r="B223" s="1">
        <v>1159</v>
      </c>
      <c r="C223" s="2">
        <v>44968</v>
      </c>
      <c r="D223" s="2">
        <v>44970</v>
      </c>
      <c r="E223" s="1" t="s">
        <v>40</v>
      </c>
      <c r="F223" s="1" t="s">
        <v>23</v>
      </c>
      <c r="G223" s="1" t="s">
        <v>17</v>
      </c>
      <c r="H223" s="1" t="s">
        <v>35</v>
      </c>
      <c r="I223" s="1" t="s">
        <v>52</v>
      </c>
      <c r="J223" s="1" t="s">
        <v>60</v>
      </c>
      <c r="K223" s="1" t="s">
        <v>45</v>
      </c>
      <c r="L223" s="1">
        <v>3</v>
      </c>
      <c r="M223" s="1">
        <v>1998.18</v>
      </c>
      <c r="N223" s="1">
        <v>5</v>
      </c>
      <c r="O223" s="1">
        <v>5694.81</v>
      </c>
    </row>
    <row r="224" spans="1:15" x14ac:dyDescent="0.3">
      <c r="A224" s="1">
        <v>10006</v>
      </c>
      <c r="B224" s="1">
        <v>1071</v>
      </c>
      <c r="C224" s="2">
        <v>45260</v>
      </c>
      <c r="D224" s="2">
        <v>45263</v>
      </c>
      <c r="E224" s="1" t="s">
        <v>40</v>
      </c>
      <c r="F224" s="1" t="s">
        <v>41</v>
      </c>
      <c r="G224" s="1" t="s">
        <v>24</v>
      </c>
      <c r="H224" s="1" t="s">
        <v>42</v>
      </c>
      <c r="I224" s="1" t="s">
        <v>19</v>
      </c>
      <c r="J224" s="1" t="s">
        <v>43</v>
      </c>
      <c r="K224" s="1" t="s">
        <v>33</v>
      </c>
      <c r="L224" s="1">
        <v>3</v>
      </c>
      <c r="M224" s="1">
        <v>3189.55</v>
      </c>
      <c r="N224" s="1">
        <v>10</v>
      </c>
      <c r="O224" s="1">
        <v>8611.7800000000007</v>
      </c>
    </row>
    <row r="225" spans="1:15" x14ac:dyDescent="0.3">
      <c r="A225" s="1">
        <v>10257</v>
      </c>
      <c r="B225" s="1">
        <v>1233</v>
      </c>
      <c r="C225" s="2">
        <v>45289</v>
      </c>
      <c r="D225" s="2">
        <v>45297</v>
      </c>
      <c r="E225" s="1" t="s">
        <v>40</v>
      </c>
      <c r="F225" s="1" t="s">
        <v>41</v>
      </c>
      <c r="G225" s="1" t="s">
        <v>24</v>
      </c>
      <c r="H225" s="1" t="s">
        <v>44</v>
      </c>
      <c r="I225" s="1" t="s">
        <v>31</v>
      </c>
      <c r="J225" s="1" t="s">
        <v>32</v>
      </c>
      <c r="K225" s="1" t="s">
        <v>47</v>
      </c>
      <c r="L225" s="1">
        <v>3</v>
      </c>
      <c r="M225" s="1">
        <v>240.6</v>
      </c>
      <c r="N225" s="1">
        <v>5</v>
      </c>
      <c r="O225" s="1">
        <v>685.71</v>
      </c>
    </row>
    <row r="226" spans="1:15" x14ac:dyDescent="0.3">
      <c r="A226" s="1">
        <v>10479</v>
      </c>
      <c r="B226" s="1">
        <v>1496</v>
      </c>
      <c r="C226" s="2">
        <v>45069</v>
      </c>
      <c r="D226" s="2">
        <v>45077</v>
      </c>
      <c r="E226" s="1" t="s">
        <v>40</v>
      </c>
      <c r="F226" s="1" t="s">
        <v>41</v>
      </c>
      <c r="G226" s="1" t="s">
        <v>30</v>
      </c>
      <c r="H226" s="1" t="s">
        <v>42</v>
      </c>
      <c r="I226" s="1" t="s">
        <v>49</v>
      </c>
      <c r="J226" s="1" t="s">
        <v>68</v>
      </c>
      <c r="K226" s="1" t="s">
        <v>47</v>
      </c>
      <c r="L226" s="1">
        <v>3</v>
      </c>
      <c r="M226" s="1">
        <v>910.91</v>
      </c>
      <c r="N226" s="1">
        <v>20</v>
      </c>
      <c r="O226" s="1">
        <v>2186.1799999999998</v>
      </c>
    </row>
    <row r="227" spans="1:15" x14ac:dyDescent="0.3">
      <c r="A227" s="1">
        <v>10075</v>
      </c>
      <c r="B227" s="1">
        <v>1339</v>
      </c>
      <c r="C227" s="2">
        <v>45187</v>
      </c>
      <c r="D227" s="2">
        <v>45196</v>
      </c>
      <c r="E227" s="1" t="s">
        <v>40</v>
      </c>
      <c r="F227" s="1" t="s">
        <v>16</v>
      </c>
      <c r="G227" s="1" t="s">
        <v>30</v>
      </c>
      <c r="H227" s="1" t="s">
        <v>42</v>
      </c>
      <c r="I227" s="1" t="s">
        <v>57</v>
      </c>
      <c r="J227" s="1" t="s">
        <v>58</v>
      </c>
      <c r="K227" s="1" t="s">
        <v>45</v>
      </c>
      <c r="L227" s="1">
        <v>4</v>
      </c>
      <c r="M227" s="1">
        <v>2220.46</v>
      </c>
      <c r="N227" s="1">
        <v>0</v>
      </c>
      <c r="O227" s="1">
        <v>8881.84</v>
      </c>
    </row>
    <row r="228" spans="1:15" x14ac:dyDescent="0.3">
      <c r="A228" s="1">
        <v>10164</v>
      </c>
      <c r="B228" s="1">
        <v>1573</v>
      </c>
      <c r="C228" s="2">
        <v>45042</v>
      </c>
      <c r="D228" s="2">
        <v>45043</v>
      </c>
      <c r="E228" s="1" t="s">
        <v>40</v>
      </c>
      <c r="F228" s="1" t="s">
        <v>16</v>
      </c>
      <c r="G228" s="1" t="s">
        <v>24</v>
      </c>
      <c r="H228" s="1" t="s">
        <v>35</v>
      </c>
      <c r="I228" s="1" t="s">
        <v>52</v>
      </c>
      <c r="J228" s="1" t="s">
        <v>64</v>
      </c>
      <c r="K228" s="1" t="s">
        <v>45</v>
      </c>
      <c r="L228" s="1">
        <v>4</v>
      </c>
      <c r="M228" s="1">
        <v>288.33</v>
      </c>
      <c r="N228" s="1">
        <v>20</v>
      </c>
      <c r="O228" s="1">
        <v>922.66</v>
      </c>
    </row>
    <row r="229" spans="1:15" x14ac:dyDescent="0.3">
      <c r="A229" s="1">
        <v>10487</v>
      </c>
      <c r="B229" s="1">
        <v>1190</v>
      </c>
      <c r="C229" s="2">
        <v>44965</v>
      </c>
      <c r="D229" s="2">
        <v>44966</v>
      </c>
      <c r="E229" s="1" t="s">
        <v>40</v>
      </c>
      <c r="F229" s="1" t="s">
        <v>16</v>
      </c>
      <c r="G229" s="1" t="s">
        <v>30</v>
      </c>
      <c r="H229" s="1" t="s">
        <v>25</v>
      </c>
      <c r="I229" s="1" t="s">
        <v>52</v>
      </c>
      <c r="J229" s="1" t="s">
        <v>53</v>
      </c>
      <c r="K229" s="1" t="s">
        <v>21</v>
      </c>
      <c r="L229" s="1">
        <v>4</v>
      </c>
      <c r="M229" s="1">
        <v>2751.14</v>
      </c>
      <c r="N229" s="1">
        <v>20</v>
      </c>
      <c r="O229" s="1">
        <v>8803.65</v>
      </c>
    </row>
    <row r="230" spans="1:15" x14ac:dyDescent="0.3">
      <c r="A230" s="1">
        <v>10109</v>
      </c>
      <c r="B230" s="1">
        <v>1270</v>
      </c>
      <c r="C230" s="2">
        <v>45058</v>
      </c>
      <c r="D230" s="2">
        <v>45061</v>
      </c>
      <c r="E230" s="1" t="s">
        <v>40</v>
      </c>
      <c r="F230" s="1" t="s">
        <v>38</v>
      </c>
      <c r="G230" s="1" t="s">
        <v>17</v>
      </c>
      <c r="H230" s="1" t="s">
        <v>25</v>
      </c>
      <c r="I230" s="1" t="s">
        <v>57</v>
      </c>
      <c r="J230" s="1" t="s">
        <v>59</v>
      </c>
      <c r="K230" s="1" t="s">
        <v>21</v>
      </c>
      <c r="L230" s="1">
        <v>4</v>
      </c>
      <c r="M230" s="1">
        <v>3107.29</v>
      </c>
      <c r="N230" s="1">
        <v>10</v>
      </c>
      <c r="O230" s="1">
        <v>11186.24</v>
      </c>
    </row>
    <row r="231" spans="1:15" x14ac:dyDescent="0.3">
      <c r="A231" s="1">
        <v>10459</v>
      </c>
      <c r="B231" s="1">
        <v>1658</v>
      </c>
      <c r="C231" s="2">
        <v>45273</v>
      </c>
      <c r="D231" s="2">
        <v>45281</v>
      </c>
      <c r="E231" s="1" t="s">
        <v>40</v>
      </c>
      <c r="F231" s="1" t="s">
        <v>38</v>
      </c>
      <c r="G231" s="1" t="s">
        <v>30</v>
      </c>
      <c r="H231" s="1" t="s">
        <v>44</v>
      </c>
      <c r="I231" s="1" t="s">
        <v>49</v>
      </c>
      <c r="J231" s="1" t="s">
        <v>63</v>
      </c>
      <c r="K231" s="1" t="s">
        <v>47</v>
      </c>
      <c r="L231" s="1">
        <v>4</v>
      </c>
      <c r="M231" s="1">
        <v>1946.9</v>
      </c>
      <c r="N231" s="1">
        <v>20</v>
      </c>
      <c r="O231" s="1">
        <v>6230.08</v>
      </c>
    </row>
    <row r="232" spans="1:15" x14ac:dyDescent="0.3">
      <c r="A232" s="1">
        <v>10304</v>
      </c>
      <c r="B232" s="1">
        <v>1835</v>
      </c>
      <c r="C232" s="2">
        <v>45024</v>
      </c>
      <c r="D232" s="2">
        <v>45027</v>
      </c>
      <c r="E232" s="1" t="s">
        <v>40</v>
      </c>
      <c r="F232" s="1" t="s">
        <v>23</v>
      </c>
      <c r="G232" s="1" t="s">
        <v>24</v>
      </c>
      <c r="H232" s="1" t="s">
        <v>25</v>
      </c>
      <c r="I232" s="1" t="s">
        <v>26</v>
      </c>
      <c r="J232" s="1" t="s">
        <v>61</v>
      </c>
      <c r="K232" s="1" t="s">
        <v>21</v>
      </c>
      <c r="L232" s="1">
        <v>4</v>
      </c>
      <c r="M232" s="1">
        <v>2547.52</v>
      </c>
      <c r="N232" s="1">
        <v>20</v>
      </c>
      <c r="O232" s="1">
        <v>8152.06</v>
      </c>
    </row>
    <row r="233" spans="1:15" x14ac:dyDescent="0.3">
      <c r="A233" s="1">
        <v>10146</v>
      </c>
      <c r="B233" s="1">
        <v>1674</v>
      </c>
      <c r="C233" s="2">
        <v>45137</v>
      </c>
      <c r="D233" s="2">
        <v>45145</v>
      </c>
      <c r="E233" s="1" t="s">
        <v>40</v>
      </c>
      <c r="F233" s="1" t="s">
        <v>41</v>
      </c>
      <c r="G233" s="1" t="s">
        <v>30</v>
      </c>
      <c r="H233" s="1" t="s">
        <v>42</v>
      </c>
      <c r="I233" s="1" t="s">
        <v>57</v>
      </c>
      <c r="J233" s="1" t="s">
        <v>62</v>
      </c>
      <c r="K233" s="1" t="s">
        <v>33</v>
      </c>
      <c r="L233" s="1">
        <v>4</v>
      </c>
      <c r="M233" s="1">
        <v>2326.87</v>
      </c>
      <c r="N233" s="1">
        <v>15</v>
      </c>
      <c r="O233" s="1">
        <v>7911.36</v>
      </c>
    </row>
    <row r="234" spans="1:15" x14ac:dyDescent="0.3">
      <c r="A234" s="1">
        <v>10443</v>
      </c>
      <c r="B234" s="1">
        <v>1562</v>
      </c>
      <c r="C234" s="2">
        <v>45106</v>
      </c>
      <c r="D234" s="2">
        <v>45109</v>
      </c>
      <c r="E234" s="1" t="s">
        <v>40</v>
      </c>
      <c r="F234" s="1" t="s">
        <v>54</v>
      </c>
      <c r="G234" s="1" t="s">
        <v>17</v>
      </c>
      <c r="H234" s="1" t="s">
        <v>44</v>
      </c>
      <c r="I234" s="1" t="s">
        <v>31</v>
      </c>
      <c r="J234" s="1" t="s">
        <v>65</v>
      </c>
      <c r="K234" s="1" t="s">
        <v>47</v>
      </c>
      <c r="L234" s="1">
        <v>5</v>
      </c>
      <c r="M234" s="1">
        <v>3707.81</v>
      </c>
      <c r="N234" s="1">
        <v>0</v>
      </c>
      <c r="O234" s="1">
        <v>18539.05</v>
      </c>
    </row>
    <row r="235" spans="1:15" x14ac:dyDescent="0.3">
      <c r="A235" s="1">
        <v>10051</v>
      </c>
      <c r="B235" s="1">
        <v>1957</v>
      </c>
      <c r="C235" s="2">
        <v>45204</v>
      </c>
      <c r="D235" s="2">
        <v>45211</v>
      </c>
      <c r="E235" s="1" t="s">
        <v>40</v>
      </c>
      <c r="F235" s="1" t="s">
        <v>23</v>
      </c>
      <c r="G235" s="1" t="s">
        <v>17</v>
      </c>
      <c r="H235" s="1" t="s">
        <v>35</v>
      </c>
      <c r="I235" s="1" t="s">
        <v>19</v>
      </c>
      <c r="J235" s="1" t="s">
        <v>66</v>
      </c>
      <c r="K235" s="1" t="s">
        <v>47</v>
      </c>
      <c r="L235" s="1">
        <v>5</v>
      </c>
      <c r="M235" s="1">
        <v>1111.6199999999999</v>
      </c>
      <c r="N235" s="1">
        <v>15</v>
      </c>
      <c r="O235" s="1">
        <v>4724.3900000000003</v>
      </c>
    </row>
    <row r="236" spans="1:15" x14ac:dyDescent="0.3">
      <c r="A236" s="1">
        <v>10253</v>
      </c>
      <c r="B236" s="1">
        <v>1317</v>
      </c>
      <c r="C236" s="2">
        <v>45033</v>
      </c>
      <c r="D236" s="2">
        <v>45034</v>
      </c>
      <c r="E236" s="1" t="s">
        <v>40</v>
      </c>
      <c r="F236" s="1" t="s">
        <v>41</v>
      </c>
      <c r="G236" s="1" t="s">
        <v>24</v>
      </c>
      <c r="H236" s="1" t="s">
        <v>35</v>
      </c>
      <c r="I236" s="1" t="s">
        <v>19</v>
      </c>
      <c r="J236" s="1" t="s">
        <v>20</v>
      </c>
      <c r="K236" s="1" t="s">
        <v>47</v>
      </c>
      <c r="L236" s="1">
        <v>5</v>
      </c>
      <c r="M236" s="1">
        <v>2532.27</v>
      </c>
      <c r="N236" s="1">
        <v>15</v>
      </c>
      <c r="O236" s="1">
        <v>10762.15</v>
      </c>
    </row>
    <row r="237" spans="1:15" x14ac:dyDescent="0.3">
      <c r="A237" s="1">
        <v>10050</v>
      </c>
      <c r="B237" s="1">
        <v>1686</v>
      </c>
      <c r="C237" s="2">
        <v>44970</v>
      </c>
      <c r="D237" s="2">
        <v>44978</v>
      </c>
      <c r="E237" s="1" t="s">
        <v>40</v>
      </c>
      <c r="F237" s="1" t="s">
        <v>16</v>
      </c>
      <c r="G237" s="1" t="s">
        <v>17</v>
      </c>
      <c r="H237" s="1" t="s">
        <v>42</v>
      </c>
      <c r="I237" s="1" t="s">
        <v>26</v>
      </c>
      <c r="J237" s="1" t="s">
        <v>61</v>
      </c>
      <c r="K237" s="1" t="s">
        <v>28</v>
      </c>
      <c r="L237" s="1">
        <v>6</v>
      </c>
      <c r="M237" s="1">
        <v>1350.44</v>
      </c>
      <c r="N237" s="1">
        <v>20</v>
      </c>
      <c r="O237" s="1">
        <v>6482.11</v>
      </c>
    </row>
    <row r="238" spans="1:15" x14ac:dyDescent="0.3">
      <c r="A238" s="1">
        <v>10135</v>
      </c>
      <c r="B238" s="1">
        <v>1838</v>
      </c>
      <c r="C238" s="2">
        <v>44981</v>
      </c>
      <c r="D238" s="2">
        <v>44990</v>
      </c>
      <c r="E238" s="1" t="s">
        <v>40</v>
      </c>
      <c r="F238" s="1" t="s">
        <v>16</v>
      </c>
      <c r="G238" s="1" t="s">
        <v>17</v>
      </c>
      <c r="H238" s="1" t="s">
        <v>25</v>
      </c>
      <c r="I238" s="1" t="s">
        <v>19</v>
      </c>
      <c r="J238" s="1" t="s">
        <v>43</v>
      </c>
      <c r="K238" s="1" t="s">
        <v>47</v>
      </c>
      <c r="L238" s="1">
        <v>6</v>
      </c>
      <c r="M238" s="1">
        <v>1919.66</v>
      </c>
      <c r="N238" s="1">
        <v>5</v>
      </c>
      <c r="O238" s="1">
        <v>10942.06</v>
      </c>
    </row>
    <row r="239" spans="1:15" x14ac:dyDescent="0.3">
      <c r="A239" s="1">
        <v>10402</v>
      </c>
      <c r="B239" s="1">
        <v>1098</v>
      </c>
      <c r="C239" s="2">
        <v>44989</v>
      </c>
      <c r="D239" s="2">
        <v>44992</v>
      </c>
      <c r="E239" s="1" t="s">
        <v>40</v>
      </c>
      <c r="F239" s="1" t="s">
        <v>16</v>
      </c>
      <c r="G239" s="1" t="s">
        <v>24</v>
      </c>
      <c r="H239" s="1" t="s">
        <v>18</v>
      </c>
      <c r="I239" s="1" t="s">
        <v>49</v>
      </c>
      <c r="J239" s="1" t="s">
        <v>51</v>
      </c>
      <c r="K239" s="1" t="s">
        <v>28</v>
      </c>
      <c r="L239" s="1">
        <v>6</v>
      </c>
      <c r="M239" s="1">
        <v>3154.34</v>
      </c>
      <c r="N239" s="1">
        <v>15</v>
      </c>
      <c r="O239" s="1">
        <v>16087.13</v>
      </c>
    </row>
    <row r="240" spans="1:15" x14ac:dyDescent="0.3">
      <c r="A240" s="1">
        <v>10156</v>
      </c>
      <c r="B240" s="1">
        <v>1200</v>
      </c>
      <c r="C240" s="2">
        <v>45099</v>
      </c>
      <c r="D240" s="2">
        <v>45106</v>
      </c>
      <c r="E240" s="1" t="s">
        <v>40</v>
      </c>
      <c r="F240" s="1" t="s">
        <v>38</v>
      </c>
      <c r="G240" s="1" t="s">
        <v>24</v>
      </c>
      <c r="H240" s="1" t="s">
        <v>18</v>
      </c>
      <c r="I240" s="1" t="s">
        <v>57</v>
      </c>
      <c r="J240" s="1" t="s">
        <v>59</v>
      </c>
      <c r="K240" s="1" t="s">
        <v>45</v>
      </c>
      <c r="L240" s="1">
        <v>6</v>
      </c>
      <c r="M240" s="1">
        <v>445.71</v>
      </c>
      <c r="N240" s="1">
        <v>15</v>
      </c>
      <c r="O240" s="1">
        <v>2273.12</v>
      </c>
    </row>
    <row r="241" spans="1:15" x14ac:dyDescent="0.3">
      <c r="A241" s="1">
        <v>10117</v>
      </c>
      <c r="B241" s="1">
        <v>1719</v>
      </c>
      <c r="C241" s="2">
        <v>45285</v>
      </c>
      <c r="D241" s="2">
        <v>45293</v>
      </c>
      <c r="E241" s="1" t="s">
        <v>40</v>
      </c>
      <c r="F241" s="1" t="s">
        <v>54</v>
      </c>
      <c r="G241" s="1" t="s">
        <v>17</v>
      </c>
      <c r="H241" s="1" t="s">
        <v>42</v>
      </c>
      <c r="I241" s="1" t="s">
        <v>57</v>
      </c>
      <c r="J241" s="1" t="s">
        <v>58</v>
      </c>
      <c r="K241" s="1" t="s">
        <v>47</v>
      </c>
      <c r="L241" s="1">
        <v>6</v>
      </c>
      <c r="M241" s="1">
        <v>3554.77</v>
      </c>
      <c r="N241" s="1">
        <v>20</v>
      </c>
      <c r="O241" s="1">
        <v>17062.900000000001</v>
      </c>
    </row>
    <row r="242" spans="1:15" x14ac:dyDescent="0.3">
      <c r="A242" s="1">
        <v>10219</v>
      </c>
      <c r="B242" s="1">
        <v>1681</v>
      </c>
      <c r="C242" s="2">
        <v>45239</v>
      </c>
      <c r="D242" s="2">
        <v>45242</v>
      </c>
      <c r="E242" s="1" t="s">
        <v>40</v>
      </c>
      <c r="F242" s="1" t="s">
        <v>54</v>
      </c>
      <c r="G242" s="1" t="s">
        <v>30</v>
      </c>
      <c r="H242" s="1" t="s">
        <v>35</v>
      </c>
      <c r="I242" s="1" t="s">
        <v>52</v>
      </c>
      <c r="J242" s="1" t="s">
        <v>64</v>
      </c>
      <c r="K242" s="1" t="s">
        <v>33</v>
      </c>
      <c r="L242" s="1">
        <v>6</v>
      </c>
      <c r="M242" s="1">
        <v>1449.5</v>
      </c>
      <c r="N242" s="1">
        <v>0</v>
      </c>
      <c r="O242" s="1">
        <v>8697</v>
      </c>
    </row>
    <row r="243" spans="1:15" x14ac:dyDescent="0.3">
      <c r="A243" s="1">
        <v>10028</v>
      </c>
      <c r="B243" s="1">
        <v>1385</v>
      </c>
      <c r="C243" s="2">
        <v>45164</v>
      </c>
      <c r="D243" s="2">
        <v>45172</v>
      </c>
      <c r="E243" s="1" t="s">
        <v>40</v>
      </c>
      <c r="F243" s="1" t="s">
        <v>23</v>
      </c>
      <c r="G243" s="1" t="s">
        <v>24</v>
      </c>
      <c r="H243" s="1" t="s">
        <v>25</v>
      </c>
      <c r="I243" s="1" t="s">
        <v>49</v>
      </c>
      <c r="J243" s="1" t="s">
        <v>51</v>
      </c>
      <c r="K243" s="1" t="s">
        <v>33</v>
      </c>
      <c r="L243" s="1">
        <v>6</v>
      </c>
      <c r="M243" s="1">
        <v>3206.63</v>
      </c>
      <c r="N243" s="1">
        <v>20</v>
      </c>
      <c r="O243" s="1">
        <v>15391.82</v>
      </c>
    </row>
    <row r="244" spans="1:15" x14ac:dyDescent="0.3">
      <c r="A244" s="1">
        <v>10063</v>
      </c>
      <c r="B244" s="1">
        <v>1840</v>
      </c>
      <c r="C244" s="2">
        <v>45034</v>
      </c>
      <c r="D244" s="2">
        <v>45043</v>
      </c>
      <c r="E244" s="1" t="s">
        <v>40</v>
      </c>
      <c r="F244" s="1" t="s">
        <v>23</v>
      </c>
      <c r="G244" s="1" t="s">
        <v>30</v>
      </c>
      <c r="H244" s="1" t="s">
        <v>42</v>
      </c>
      <c r="I244" s="1" t="s">
        <v>57</v>
      </c>
      <c r="J244" s="1" t="s">
        <v>62</v>
      </c>
      <c r="K244" s="1" t="s">
        <v>28</v>
      </c>
      <c r="L244" s="1">
        <v>6</v>
      </c>
      <c r="M244" s="1">
        <v>2645.71</v>
      </c>
      <c r="N244" s="1">
        <v>10</v>
      </c>
      <c r="O244" s="1">
        <v>14286.83</v>
      </c>
    </row>
    <row r="245" spans="1:15" x14ac:dyDescent="0.3">
      <c r="A245" s="1">
        <v>10078</v>
      </c>
      <c r="B245" s="1">
        <v>1955</v>
      </c>
      <c r="C245" s="2">
        <v>45150</v>
      </c>
      <c r="D245" s="2">
        <v>45156</v>
      </c>
      <c r="E245" s="1" t="s">
        <v>40</v>
      </c>
      <c r="F245" s="1" t="s">
        <v>23</v>
      </c>
      <c r="G245" s="1" t="s">
        <v>24</v>
      </c>
      <c r="H245" s="1" t="s">
        <v>35</v>
      </c>
      <c r="I245" s="1" t="s">
        <v>52</v>
      </c>
      <c r="J245" s="1" t="s">
        <v>60</v>
      </c>
      <c r="K245" s="1" t="s">
        <v>28</v>
      </c>
      <c r="L245" s="1">
        <v>6</v>
      </c>
      <c r="M245" s="1">
        <v>1258.82</v>
      </c>
      <c r="N245" s="1">
        <v>15</v>
      </c>
      <c r="O245" s="1">
        <v>6419.98</v>
      </c>
    </row>
    <row r="246" spans="1:15" x14ac:dyDescent="0.3">
      <c r="A246" s="1">
        <v>10241</v>
      </c>
      <c r="B246" s="1">
        <v>1282</v>
      </c>
      <c r="C246" s="2">
        <v>45046</v>
      </c>
      <c r="D246" s="2">
        <v>45049</v>
      </c>
      <c r="E246" s="1" t="s">
        <v>40</v>
      </c>
      <c r="F246" s="1" t="s">
        <v>41</v>
      </c>
      <c r="G246" s="1" t="s">
        <v>30</v>
      </c>
      <c r="H246" s="1" t="s">
        <v>18</v>
      </c>
      <c r="I246" s="1" t="s">
        <v>19</v>
      </c>
      <c r="J246" s="1" t="s">
        <v>66</v>
      </c>
      <c r="K246" s="1" t="s">
        <v>33</v>
      </c>
      <c r="L246" s="1">
        <v>6</v>
      </c>
      <c r="M246" s="1">
        <v>1861.43</v>
      </c>
      <c r="N246" s="1">
        <v>0</v>
      </c>
      <c r="O246" s="1">
        <v>11168.58</v>
      </c>
    </row>
    <row r="247" spans="1:15" x14ac:dyDescent="0.3">
      <c r="A247" s="1">
        <v>10493</v>
      </c>
      <c r="B247" s="1">
        <v>1255</v>
      </c>
      <c r="C247" s="2">
        <v>45041</v>
      </c>
      <c r="D247" s="2">
        <v>45043</v>
      </c>
      <c r="E247" s="1" t="s">
        <v>40</v>
      </c>
      <c r="F247" s="1" t="s">
        <v>16</v>
      </c>
      <c r="G247" s="1" t="s">
        <v>24</v>
      </c>
      <c r="H247" s="1" t="s">
        <v>44</v>
      </c>
      <c r="I247" s="1" t="s">
        <v>49</v>
      </c>
      <c r="J247" s="1" t="s">
        <v>68</v>
      </c>
      <c r="K247" s="1" t="s">
        <v>28</v>
      </c>
      <c r="L247" s="1">
        <v>7</v>
      </c>
      <c r="M247" s="1">
        <v>1550.03</v>
      </c>
      <c r="N247" s="1">
        <v>10</v>
      </c>
      <c r="O247" s="1">
        <v>9765.19</v>
      </c>
    </row>
    <row r="248" spans="1:15" x14ac:dyDescent="0.3">
      <c r="A248" s="1">
        <v>10258</v>
      </c>
      <c r="B248" s="1">
        <v>1683</v>
      </c>
      <c r="C248" s="2">
        <v>44947</v>
      </c>
      <c r="D248" s="2">
        <v>44950</v>
      </c>
      <c r="E248" s="1" t="s">
        <v>40</v>
      </c>
      <c r="F248" s="1" t="s">
        <v>38</v>
      </c>
      <c r="G248" s="1" t="s">
        <v>24</v>
      </c>
      <c r="H248" s="1" t="s">
        <v>35</v>
      </c>
      <c r="I248" s="1" t="s">
        <v>57</v>
      </c>
      <c r="J248" s="1" t="s">
        <v>59</v>
      </c>
      <c r="K248" s="1" t="s">
        <v>28</v>
      </c>
      <c r="L248" s="1">
        <v>7</v>
      </c>
      <c r="M248" s="1">
        <v>1804.05</v>
      </c>
      <c r="N248" s="1">
        <v>0</v>
      </c>
      <c r="O248" s="1">
        <v>12628.35</v>
      </c>
    </row>
    <row r="249" spans="1:15" x14ac:dyDescent="0.3">
      <c r="A249" s="1">
        <v>10263</v>
      </c>
      <c r="B249" s="1">
        <v>1671</v>
      </c>
      <c r="C249" s="2">
        <v>45053</v>
      </c>
      <c r="D249" s="2">
        <v>45059</v>
      </c>
      <c r="E249" s="1" t="s">
        <v>40</v>
      </c>
      <c r="F249" s="1" t="s">
        <v>38</v>
      </c>
      <c r="G249" s="1" t="s">
        <v>30</v>
      </c>
      <c r="H249" s="1" t="s">
        <v>35</v>
      </c>
      <c r="I249" s="1" t="s">
        <v>49</v>
      </c>
      <c r="J249" s="1" t="s">
        <v>63</v>
      </c>
      <c r="K249" s="1" t="s">
        <v>33</v>
      </c>
      <c r="L249" s="1">
        <v>7</v>
      </c>
      <c r="M249" s="1">
        <v>2165.86</v>
      </c>
      <c r="N249" s="1">
        <v>0</v>
      </c>
      <c r="O249" s="1">
        <v>15161.02</v>
      </c>
    </row>
    <row r="250" spans="1:15" x14ac:dyDescent="0.3">
      <c r="A250" s="1">
        <v>10448</v>
      </c>
      <c r="B250" s="1">
        <v>1225</v>
      </c>
      <c r="C250" s="2">
        <v>45240</v>
      </c>
      <c r="D250" s="2">
        <v>45247</v>
      </c>
      <c r="E250" s="1" t="s">
        <v>40</v>
      </c>
      <c r="F250" s="1" t="s">
        <v>38</v>
      </c>
      <c r="G250" s="1" t="s">
        <v>30</v>
      </c>
      <c r="H250" s="1" t="s">
        <v>18</v>
      </c>
      <c r="I250" s="1" t="s">
        <v>19</v>
      </c>
      <c r="J250" s="1" t="s">
        <v>20</v>
      </c>
      <c r="K250" s="1" t="s">
        <v>33</v>
      </c>
      <c r="L250" s="1">
        <v>7</v>
      </c>
      <c r="M250" s="1">
        <v>2568.2600000000002</v>
      </c>
      <c r="N250" s="1">
        <v>10</v>
      </c>
      <c r="O250" s="1">
        <v>16180.04</v>
      </c>
    </row>
    <row r="251" spans="1:15" x14ac:dyDescent="0.3">
      <c r="A251" s="1">
        <v>10120</v>
      </c>
      <c r="B251" s="1">
        <v>1878</v>
      </c>
      <c r="C251" s="2">
        <v>45186</v>
      </c>
      <c r="D251" s="2">
        <v>45187</v>
      </c>
      <c r="E251" s="1" t="s">
        <v>40</v>
      </c>
      <c r="F251" s="1" t="s">
        <v>23</v>
      </c>
      <c r="G251" s="1" t="s">
        <v>24</v>
      </c>
      <c r="H251" s="1" t="s">
        <v>42</v>
      </c>
      <c r="I251" s="1" t="s">
        <v>52</v>
      </c>
      <c r="J251" s="1" t="s">
        <v>53</v>
      </c>
      <c r="K251" s="1" t="s">
        <v>47</v>
      </c>
      <c r="L251" s="1">
        <v>7</v>
      </c>
      <c r="M251" s="1">
        <v>2894.46</v>
      </c>
      <c r="N251" s="1">
        <v>5</v>
      </c>
      <c r="O251" s="1">
        <v>19248.16</v>
      </c>
    </row>
    <row r="252" spans="1:15" x14ac:dyDescent="0.3">
      <c r="A252" s="1">
        <v>10362</v>
      </c>
      <c r="B252" s="1">
        <v>1763</v>
      </c>
      <c r="C252" s="2">
        <v>45193</v>
      </c>
      <c r="D252" s="2">
        <v>45194</v>
      </c>
      <c r="E252" s="1" t="s">
        <v>40</v>
      </c>
      <c r="F252" s="1" t="s">
        <v>23</v>
      </c>
      <c r="G252" s="1" t="s">
        <v>24</v>
      </c>
      <c r="H252" s="1" t="s">
        <v>25</v>
      </c>
      <c r="I252" s="1" t="s">
        <v>31</v>
      </c>
      <c r="J252" s="1" t="s">
        <v>48</v>
      </c>
      <c r="K252" s="1" t="s">
        <v>45</v>
      </c>
      <c r="L252" s="1">
        <v>7</v>
      </c>
      <c r="M252" s="1">
        <v>720.64</v>
      </c>
      <c r="N252" s="1">
        <v>20</v>
      </c>
      <c r="O252" s="1">
        <v>4035.58</v>
      </c>
    </row>
    <row r="253" spans="1:15" x14ac:dyDescent="0.3">
      <c r="A253" s="1">
        <v>10167</v>
      </c>
      <c r="B253" s="1">
        <v>1098</v>
      </c>
      <c r="C253" s="2">
        <v>45177</v>
      </c>
      <c r="D253" s="2">
        <v>45182</v>
      </c>
      <c r="E253" s="1" t="s">
        <v>40</v>
      </c>
      <c r="F253" s="1" t="s">
        <v>41</v>
      </c>
      <c r="G253" s="1" t="s">
        <v>30</v>
      </c>
      <c r="H253" s="1" t="s">
        <v>42</v>
      </c>
      <c r="I253" s="1" t="s">
        <v>31</v>
      </c>
      <c r="J253" s="1" t="s">
        <v>32</v>
      </c>
      <c r="K253" s="1" t="s">
        <v>45</v>
      </c>
      <c r="L253" s="1">
        <v>7</v>
      </c>
      <c r="M253" s="1">
        <v>1767.02</v>
      </c>
      <c r="N253" s="1">
        <v>15</v>
      </c>
      <c r="O253" s="1">
        <v>10513.77</v>
      </c>
    </row>
    <row r="254" spans="1:15" x14ac:dyDescent="0.3">
      <c r="A254" s="1">
        <v>10335</v>
      </c>
      <c r="B254" s="1">
        <v>1345</v>
      </c>
      <c r="C254" s="2">
        <v>45140</v>
      </c>
      <c r="D254" s="2">
        <v>45143</v>
      </c>
      <c r="E254" s="1" t="s">
        <v>40</v>
      </c>
      <c r="F254" s="1" t="s">
        <v>41</v>
      </c>
      <c r="G254" s="1" t="s">
        <v>17</v>
      </c>
      <c r="H254" s="1" t="s">
        <v>35</v>
      </c>
      <c r="I254" s="1" t="s">
        <v>19</v>
      </c>
      <c r="J254" s="1" t="s">
        <v>43</v>
      </c>
      <c r="K254" s="1" t="s">
        <v>45</v>
      </c>
      <c r="L254" s="1">
        <v>7</v>
      </c>
      <c r="M254" s="1">
        <v>2387.6</v>
      </c>
      <c r="N254" s="1">
        <v>20</v>
      </c>
      <c r="O254" s="1">
        <v>13370.56</v>
      </c>
    </row>
    <row r="255" spans="1:15" x14ac:dyDescent="0.3">
      <c r="A255" s="1">
        <v>10035</v>
      </c>
      <c r="B255" s="1">
        <v>1021</v>
      </c>
      <c r="C255" s="2">
        <v>45012</v>
      </c>
      <c r="D255" s="2">
        <v>45013</v>
      </c>
      <c r="E255" s="1" t="s">
        <v>40</v>
      </c>
      <c r="F255" s="1" t="s">
        <v>29</v>
      </c>
      <c r="G255" s="1" t="s">
        <v>30</v>
      </c>
      <c r="H255" s="1" t="s">
        <v>44</v>
      </c>
      <c r="I255" s="1" t="s">
        <v>31</v>
      </c>
      <c r="J255" s="1" t="s">
        <v>48</v>
      </c>
      <c r="K255" s="1" t="s">
        <v>47</v>
      </c>
      <c r="L255" s="1">
        <v>7</v>
      </c>
      <c r="M255" s="1">
        <v>3664.64</v>
      </c>
      <c r="N255" s="1">
        <v>5</v>
      </c>
      <c r="O255" s="1">
        <v>24369.86</v>
      </c>
    </row>
    <row r="256" spans="1:15" x14ac:dyDescent="0.3">
      <c r="A256" s="1">
        <v>10087</v>
      </c>
      <c r="B256" s="1">
        <v>1931</v>
      </c>
      <c r="C256" s="2">
        <v>45038</v>
      </c>
      <c r="D256" s="2">
        <v>45045</v>
      </c>
      <c r="E256" s="1" t="s">
        <v>40</v>
      </c>
      <c r="F256" s="1" t="s">
        <v>29</v>
      </c>
      <c r="G256" s="1" t="s">
        <v>17</v>
      </c>
      <c r="H256" s="1" t="s">
        <v>18</v>
      </c>
      <c r="I256" s="1" t="s">
        <v>31</v>
      </c>
      <c r="J256" s="1" t="s">
        <v>39</v>
      </c>
      <c r="K256" s="1" t="s">
        <v>47</v>
      </c>
      <c r="L256" s="1">
        <v>7</v>
      </c>
      <c r="M256" s="1">
        <v>1373.12</v>
      </c>
      <c r="N256" s="1">
        <v>5</v>
      </c>
      <c r="O256" s="1">
        <v>9131.25</v>
      </c>
    </row>
    <row r="257" spans="1:15" x14ac:dyDescent="0.3">
      <c r="A257" s="1">
        <v>10178</v>
      </c>
      <c r="B257" s="1">
        <v>1642</v>
      </c>
      <c r="C257" s="2">
        <v>45124</v>
      </c>
      <c r="D257" s="2">
        <v>45126</v>
      </c>
      <c r="E257" s="1" t="s">
        <v>40</v>
      </c>
      <c r="F257" s="1" t="s">
        <v>29</v>
      </c>
      <c r="G257" s="1" t="s">
        <v>17</v>
      </c>
      <c r="H257" s="1" t="s">
        <v>18</v>
      </c>
      <c r="I257" s="1" t="s">
        <v>26</v>
      </c>
      <c r="J257" s="1" t="s">
        <v>61</v>
      </c>
      <c r="K257" s="1" t="s">
        <v>45</v>
      </c>
      <c r="L257" s="1">
        <v>7</v>
      </c>
      <c r="M257" s="1">
        <v>174.09</v>
      </c>
      <c r="N257" s="1">
        <v>10</v>
      </c>
      <c r="O257" s="1">
        <v>1096.77</v>
      </c>
    </row>
    <row r="258" spans="1:15" x14ac:dyDescent="0.3">
      <c r="A258" s="1">
        <v>10191</v>
      </c>
      <c r="B258" s="1">
        <v>1553</v>
      </c>
      <c r="C258" s="2">
        <v>45033</v>
      </c>
      <c r="D258" s="2">
        <v>45039</v>
      </c>
      <c r="E258" s="1" t="s">
        <v>40</v>
      </c>
      <c r="F258" s="1" t="s">
        <v>29</v>
      </c>
      <c r="G258" s="1" t="s">
        <v>30</v>
      </c>
      <c r="H258" s="1" t="s">
        <v>35</v>
      </c>
      <c r="I258" s="1" t="s">
        <v>52</v>
      </c>
      <c r="J258" s="1" t="s">
        <v>56</v>
      </c>
      <c r="K258" s="1" t="s">
        <v>21</v>
      </c>
      <c r="L258" s="1">
        <v>7</v>
      </c>
      <c r="M258" s="1">
        <v>1148.6500000000001</v>
      </c>
      <c r="N258" s="1">
        <v>15</v>
      </c>
      <c r="O258" s="1">
        <v>6834.47</v>
      </c>
    </row>
    <row r="259" spans="1:15" x14ac:dyDescent="0.3">
      <c r="A259" s="1">
        <v>10209</v>
      </c>
      <c r="B259" s="1">
        <v>1540</v>
      </c>
      <c r="C259" s="2">
        <v>45187</v>
      </c>
      <c r="D259" s="2">
        <v>45193</v>
      </c>
      <c r="E259" s="1" t="s">
        <v>40</v>
      </c>
      <c r="F259" s="1" t="s">
        <v>16</v>
      </c>
      <c r="G259" s="1" t="s">
        <v>17</v>
      </c>
      <c r="H259" s="1" t="s">
        <v>42</v>
      </c>
      <c r="I259" s="1" t="s">
        <v>49</v>
      </c>
      <c r="J259" s="1" t="s">
        <v>50</v>
      </c>
      <c r="K259" s="1" t="s">
        <v>45</v>
      </c>
      <c r="L259" s="1">
        <v>8</v>
      </c>
      <c r="M259" s="1">
        <v>1291.1099999999999</v>
      </c>
      <c r="N259" s="1">
        <v>15</v>
      </c>
      <c r="O259" s="1">
        <v>8779.5499999999993</v>
      </c>
    </row>
    <row r="260" spans="1:15" x14ac:dyDescent="0.3">
      <c r="A260" s="1">
        <v>10266</v>
      </c>
      <c r="B260" s="1">
        <v>1232</v>
      </c>
      <c r="C260" s="2">
        <v>45129</v>
      </c>
      <c r="D260" s="2">
        <v>45134</v>
      </c>
      <c r="E260" s="1" t="s">
        <v>40</v>
      </c>
      <c r="F260" s="1" t="s">
        <v>16</v>
      </c>
      <c r="G260" s="1" t="s">
        <v>30</v>
      </c>
      <c r="H260" s="1" t="s">
        <v>35</v>
      </c>
      <c r="I260" s="1" t="s">
        <v>26</v>
      </c>
      <c r="J260" s="1" t="s">
        <v>61</v>
      </c>
      <c r="K260" s="1" t="s">
        <v>33</v>
      </c>
      <c r="L260" s="1">
        <v>8</v>
      </c>
      <c r="M260" s="1">
        <v>2045.09</v>
      </c>
      <c r="N260" s="1">
        <v>10</v>
      </c>
      <c r="O260" s="1">
        <v>14724.65</v>
      </c>
    </row>
    <row r="261" spans="1:15" x14ac:dyDescent="0.3">
      <c r="A261" s="1">
        <v>10144</v>
      </c>
      <c r="B261" s="1">
        <v>1592</v>
      </c>
      <c r="C261" s="2">
        <v>45231</v>
      </c>
      <c r="D261" s="2">
        <v>45234</v>
      </c>
      <c r="E261" s="1" t="s">
        <v>40</v>
      </c>
      <c r="F261" s="1" t="s">
        <v>54</v>
      </c>
      <c r="G261" s="1" t="s">
        <v>30</v>
      </c>
      <c r="H261" s="1" t="s">
        <v>18</v>
      </c>
      <c r="I261" s="1" t="s">
        <v>19</v>
      </c>
      <c r="J261" s="1" t="s">
        <v>55</v>
      </c>
      <c r="K261" s="1" t="s">
        <v>33</v>
      </c>
      <c r="L261" s="1">
        <v>8</v>
      </c>
      <c r="M261" s="1">
        <v>3138.72</v>
      </c>
      <c r="N261" s="1">
        <v>20</v>
      </c>
      <c r="O261" s="1">
        <v>20087.810000000001</v>
      </c>
    </row>
    <row r="262" spans="1:15" x14ac:dyDescent="0.3">
      <c r="A262" s="1">
        <v>10418</v>
      </c>
      <c r="B262" s="1">
        <v>1800</v>
      </c>
      <c r="C262" s="2">
        <v>45279</v>
      </c>
      <c r="D262" s="2">
        <v>45280</v>
      </c>
      <c r="E262" s="1" t="s">
        <v>40</v>
      </c>
      <c r="F262" s="1" t="s">
        <v>54</v>
      </c>
      <c r="G262" s="1" t="s">
        <v>24</v>
      </c>
      <c r="H262" s="1" t="s">
        <v>35</v>
      </c>
      <c r="I262" s="1" t="s">
        <v>52</v>
      </c>
      <c r="J262" s="1" t="s">
        <v>56</v>
      </c>
      <c r="K262" s="1" t="s">
        <v>33</v>
      </c>
      <c r="L262" s="1">
        <v>8</v>
      </c>
      <c r="M262" s="1">
        <v>3905.57</v>
      </c>
      <c r="N262" s="1">
        <v>10</v>
      </c>
      <c r="O262" s="1">
        <v>28120.1</v>
      </c>
    </row>
    <row r="263" spans="1:15" x14ac:dyDescent="0.3">
      <c r="A263" s="1">
        <v>10484</v>
      </c>
      <c r="B263" s="1">
        <v>1699</v>
      </c>
      <c r="C263" s="2">
        <v>45043</v>
      </c>
      <c r="D263" s="2">
        <v>45048</v>
      </c>
      <c r="E263" s="1" t="s">
        <v>40</v>
      </c>
      <c r="F263" s="1" t="s">
        <v>54</v>
      </c>
      <c r="G263" s="1" t="s">
        <v>30</v>
      </c>
      <c r="H263" s="1" t="s">
        <v>42</v>
      </c>
      <c r="I263" s="1" t="s">
        <v>31</v>
      </c>
      <c r="J263" s="1" t="s">
        <v>65</v>
      </c>
      <c r="K263" s="1" t="s">
        <v>21</v>
      </c>
      <c r="L263" s="1">
        <v>8</v>
      </c>
      <c r="M263" s="1">
        <v>3492.45</v>
      </c>
      <c r="N263" s="1">
        <v>5</v>
      </c>
      <c r="O263" s="1">
        <v>26542.62</v>
      </c>
    </row>
    <row r="264" spans="1:15" x14ac:dyDescent="0.3">
      <c r="A264" s="1">
        <v>10054</v>
      </c>
      <c r="B264" s="1">
        <v>1566</v>
      </c>
      <c r="C264" s="2">
        <v>45279</v>
      </c>
      <c r="D264" s="2">
        <v>45281</v>
      </c>
      <c r="E264" s="1" t="s">
        <v>40</v>
      </c>
      <c r="F264" s="1" t="s">
        <v>23</v>
      </c>
      <c r="G264" s="1" t="s">
        <v>24</v>
      </c>
      <c r="H264" s="1" t="s">
        <v>25</v>
      </c>
      <c r="I264" s="1" t="s">
        <v>49</v>
      </c>
      <c r="J264" s="1" t="s">
        <v>50</v>
      </c>
      <c r="K264" s="1" t="s">
        <v>21</v>
      </c>
      <c r="L264" s="1">
        <v>8</v>
      </c>
      <c r="M264" s="1">
        <v>1428.62</v>
      </c>
      <c r="N264" s="1">
        <v>10</v>
      </c>
      <c r="O264" s="1">
        <v>10286.06</v>
      </c>
    </row>
    <row r="265" spans="1:15" x14ac:dyDescent="0.3">
      <c r="A265" s="1">
        <v>10393</v>
      </c>
      <c r="B265" s="1">
        <v>1419</v>
      </c>
      <c r="C265" s="2">
        <v>45186</v>
      </c>
      <c r="D265" s="2">
        <v>45191</v>
      </c>
      <c r="E265" s="1" t="s">
        <v>40</v>
      </c>
      <c r="F265" s="1" t="s">
        <v>23</v>
      </c>
      <c r="G265" s="1" t="s">
        <v>24</v>
      </c>
      <c r="H265" s="1" t="s">
        <v>35</v>
      </c>
      <c r="I265" s="1" t="s">
        <v>52</v>
      </c>
      <c r="J265" s="1" t="s">
        <v>60</v>
      </c>
      <c r="K265" s="1" t="s">
        <v>45</v>
      </c>
      <c r="L265" s="1">
        <v>8</v>
      </c>
      <c r="M265" s="1">
        <v>2993.25</v>
      </c>
      <c r="N265" s="1">
        <v>10</v>
      </c>
      <c r="O265" s="1">
        <v>21551.4</v>
      </c>
    </row>
    <row r="266" spans="1:15" x14ac:dyDescent="0.3">
      <c r="A266" s="1">
        <v>10412</v>
      </c>
      <c r="B266" s="1">
        <v>1719</v>
      </c>
      <c r="C266" s="2">
        <v>45173</v>
      </c>
      <c r="D266" s="2">
        <v>45176</v>
      </c>
      <c r="E266" s="1" t="s">
        <v>40</v>
      </c>
      <c r="F266" s="1" t="s">
        <v>23</v>
      </c>
      <c r="G266" s="1" t="s">
        <v>24</v>
      </c>
      <c r="H266" s="1" t="s">
        <v>18</v>
      </c>
      <c r="I266" s="1" t="s">
        <v>49</v>
      </c>
      <c r="J266" s="1" t="s">
        <v>63</v>
      </c>
      <c r="K266" s="1" t="s">
        <v>47</v>
      </c>
      <c r="L266" s="1">
        <v>8</v>
      </c>
      <c r="M266" s="1">
        <v>1236.71</v>
      </c>
      <c r="N266" s="1">
        <v>15</v>
      </c>
      <c r="O266" s="1">
        <v>8409.6299999999992</v>
      </c>
    </row>
    <row r="267" spans="1:15" x14ac:dyDescent="0.3">
      <c r="A267" s="1">
        <v>10059</v>
      </c>
      <c r="B267" s="1">
        <v>1484</v>
      </c>
      <c r="C267" s="2">
        <v>44945</v>
      </c>
      <c r="D267" s="2">
        <v>44950</v>
      </c>
      <c r="E267" s="1" t="s">
        <v>40</v>
      </c>
      <c r="F267" s="1" t="s">
        <v>41</v>
      </c>
      <c r="G267" s="1" t="s">
        <v>24</v>
      </c>
      <c r="H267" s="1" t="s">
        <v>42</v>
      </c>
      <c r="I267" s="1" t="s">
        <v>52</v>
      </c>
      <c r="J267" s="1" t="s">
        <v>64</v>
      </c>
      <c r="K267" s="1" t="s">
        <v>33</v>
      </c>
      <c r="L267" s="1">
        <v>8</v>
      </c>
      <c r="M267" s="1">
        <v>2122.36</v>
      </c>
      <c r="N267" s="1">
        <v>0</v>
      </c>
      <c r="O267" s="1">
        <v>16978.88</v>
      </c>
    </row>
    <row r="268" spans="1:15" x14ac:dyDescent="0.3">
      <c r="A268" s="1">
        <v>10423</v>
      </c>
      <c r="B268" s="1">
        <v>1503</v>
      </c>
      <c r="C268" s="2">
        <v>45153</v>
      </c>
      <c r="D268" s="2">
        <v>45155</v>
      </c>
      <c r="E268" s="1" t="s">
        <v>40</v>
      </c>
      <c r="F268" s="1" t="s">
        <v>16</v>
      </c>
      <c r="G268" s="1" t="s">
        <v>24</v>
      </c>
      <c r="H268" s="1" t="s">
        <v>44</v>
      </c>
      <c r="I268" s="1" t="s">
        <v>52</v>
      </c>
      <c r="J268" s="1" t="s">
        <v>60</v>
      </c>
      <c r="K268" s="1" t="s">
        <v>47</v>
      </c>
      <c r="L268" s="1">
        <v>9</v>
      </c>
      <c r="M268" s="1">
        <v>3740.3</v>
      </c>
      <c r="N268" s="1">
        <v>10</v>
      </c>
      <c r="O268" s="1">
        <v>30296.43</v>
      </c>
    </row>
    <row r="269" spans="1:15" x14ac:dyDescent="0.3">
      <c r="A269" s="1">
        <v>10458</v>
      </c>
      <c r="B269" s="1">
        <v>1815</v>
      </c>
      <c r="C269" s="2">
        <v>45197</v>
      </c>
      <c r="D269" s="2">
        <v>45202</v>
      </c>
      <c r="E269" s="1" t="s">
        <v>40</v>
      </c>
      <c r="F269" s="1" t="s">
        <v>38</v>
      </c>
      <c r="G269" s="1" t="s">
        <v>17</v>
      </c>
      <c r="H269" s="1" t="s">
        <v>42</v>
      </c>
      <c r="I269" s="1" t="s">
        <v>19</v>
      </c>
      <c r="J269" s="1" t="s">
        <v>55</v>
      </c>
      <c r="K269" s="1" t="s">
        <v>21</v>
      </c>
      <c r="L269" s="1">
        <v>9</v>
      </c>
      <c r="M269" s="1">
        <v>3290.71</v>
      </c>
      <c r="N269" s="1">
        <v>10</v>
      </c>
      <c r="O269" s="1">
        <v>26654.75</v>
      </c>
    </row>
    <row r="270" spans="1:15" x14ac:dyDescent="0.3">
      <c r="A270" s="1">
        <v>10202</v>
      </c>
      <c r="B270" s="1">
        <v>1733</v>
      </c>
      <c r="C270" s="2">
        <v>45228</v>
      </c>
      <c r="D270" s="2">
        <v>45229</v>
      </c>
      <c r="E270" s="1" t="s">
        <v>40</v>
      </c>
      <c r="F270" s="1" t="s">
        <v>54</v>
      </c>
      <c r="G270" s="1" t="s">
        <v>17</v>
      </c>
      <c r="H270" s="1" t="s">
        <v>18</v>
      </c>
      <c r="I270" s="1" t="s">
        <v>31</v>
      </c>
      <c r="J270" s="1" t="s">
        <v>65</v>
      </c>
      <c r="K270" s="1" t="s">
        <v>28</v>
      </c>
      <c r="L270" s="1">
        <v>9</v>
      </c>
      <c r="M270" s="1">
        <v>3072.48</v>
      </c>
      <c r="N270" s="1">
        <v>0</v>
      </c>
      <c r="O270" s="1">
        <v>27652.32</v>
      </c>
    </row>
    <row r="271" spans="1:15" x14ac:dyDescent="0.3">
      <c r="A271" s="1">
        <v>10298</v>
      </c>
      <c r="B271" s="1">
        <v>1683</v>
      </c>
      <c r="C271" s="2">
        <v>45095</v>
      </c>
      <c r="D271" s="2">
        <v>45103</v>
      </c>
      <c r="E271" s="1" t="s">
        <v>40</v>
      </c>
      <c r="F271" s="1" t="s">
        <v>54</v>
      </c>
      <c r="G271" s="1" t="s">
        <v>24</v>
      </c>
      <c r="H271" s="1" t="s">
        <v>25</v>
      </c>
      <c r="I271" s="1" t="s">
        <v>26</v>
      </c>
      <c r="J271" s="1" t="s">
        <v>36</v>
      </c>
      <c r="K271" s="1" t="s">
        <v>47</v>
      </c>
      <c r="L271" s="1">
        <v>9</v>
      </c>
      <c r="M271" s="1">
        <v>3988.1</v>
      </c>
      <c r="N271" s="1">
        <v>0</v>
      </c>
      <c r="O271" s="1">
        <v>35892.9</v>
      </c>
    </row>
    <row r="272" spans="1:15" x14ac:dyDescent="0.3">
      <c r="A272" s="1">
        <v>10015</v>
      </c>
      <c r="B272" s="1">
        <v>1087</v>
      </c>
      <c r="C272" s="2">
        <v>45048</v>
      </c>
      <c r="D272" s="2">
        <v>45057</v>
      </c>
      <c r="E272" s="1" t="s">
        <v>40</v>
      </c>
      <c r="F272" s="1" t="s">
        <v>23</v>
      </c>
      <c r="G272" s="1" t="s">
        <v>24</v>
      </c>
      <c r="H272" s="1" t="s">
        <v>18</v>
      </c>
      <c r="I272" s="1" t="s">
        <v>52</v>
      </c>
      <c r="J272" s="1" t="s">
        <v>53</v>
      </c>
      <c r="K272" s="1" t="s">
        <v>21</v>
      </c>
      <c r="L272" s="1">
        <v>9</v>
      </c>
      <c r="M272" s="1">
        <v>705.59</v>
      </c>
      <c r="N272" s="1">
        <v>10</v>
      </c>
      <c r="O272" s="1">
        <v>5715.28</v>
      </c>
    </row>
    <row r="273" spans="1:15" x14ac:dyDescent="0.3">
      <c r="A273" s="1">
        <v>10114</v>
      </c>
      <c r="B273" s="1">
        <v>1701</v>
      </c>
      <c r="C273" s="2">
        <v>45219</v>
      </c>
      <c r="D273" s="2">
        <v>45227</v>
      </c>
      <c r="E273" s="1" t="s">
        <v>40</v>
      </c>
      <c r="F273" s="1" t="s">
        <v>23</v>
      </c>
      <c r="G273" s="1" t="s">
        <v>30</v>
      </c>
      <c r="H273" s="1" t="s">
        <v>25</v>
      </c>
      <c r="I273" s="1" t="s">
        <v>26</v>
      </c>
      <c r="J273" s="1" t="s">
        <v>69</v>
      </c>
      <c r="K273" s="1" t="s">
        <v>45</v>
      </c>
      <c r="L273" s="1">
        <v>9</v>
      </c>
      <c r="M273" s="1">
        <v>1206.3800000000001</v>
      </c>
      <c r="N273" s="1">
        <v>10</v>
      </c>
      <c r="O273" s="1">
        <v>9771.68</v>
      </c>
    </row>
    <row r="274" spans="1:15" x14ac:dyDescent="0.3">
      <c r="A274" s="1">
        <v>10346</v>
      </c>
      <c r="B274" s="1">
        <v>1639</v>
      </c>
      <c r="C274" s="2">
        <v>45210</v>
      </c>
      <c r="D274" s="2">
        <v>45213</v>
      </c>
      <c r="E274" s="1" t="s">
        <v>40</v>
      </c>
      <c r="F274" s="1" t="s">
        <v>23</v>
      </c>
      <c r="G274" s="1" t="s">
        <v>17</v>
      </c>
      <c r="H274" s="1" t="s">
        <v>18</v>
      </c>
      <c r="I274" s="1" t="s">
        <v>26</v>
      </c>
      <c r="J274" s="1" t="s">
        <v>36</v>
      </c>
      <c r="K274" s="1" t="s">
        <v>47</v>
      </c>
      <c r="L274" s="1">
        <v>9</v>
      </c>
      <c r="M274" s="1">
        <v>3373.46</v>
      </c>
      <c r="N274" s="1">
        <v>10</v>
      </c>
      <c r="O274" s="1">
        <v>27325.03</v>
      </c>
    </row>
    <row r="275" spans="1:15" x14ac:dyDescent="0.3">
      <c r="A275" s="1">
        <v>10378</v>
      </c>
      <c r="B275" s="1">
        <v>1098</v>
      </c>
      <c r="C275" s="2">
        <v>45189</v>
      </c>
      <c r="D275" s="2">
        <v>45192</v>
      </c>
      <c r="E275" s="1" t="s">
        <v>40</v>
      </c>
      <c r="F275" s="1" t="s">
        <v>23</v>
      </c>
      <c r="G275" s="1" t="s">
        <v>17</v>
      </c>
      <c r="H275" s="1" t="s">
        <v>35</v>
      </c>
      <c r="I275" s="1" t="s">
        <v>52</v>
      </c>
      <c r="J275" s="1" t="s">
        <v>64</v>
      </c>
      <c r="K275" s="1" t="s">
        <v>28</v>
      </c>
      <c r="L275" s="1">
        <v>9</v>
      </c>
      <c r="M275" s="1">
        <v>3344.43</v>
      </c>
      <c r="N275" s="1">
        <v>10</v>
      </c>
      <c r="O275" s="1">
        <v>27089.88</v>
      </c>
    </row>
    <row r="276" spans="1:15" x14ac:dyDescent="0.3">
      <c r="A276" s="1">
        <v>10427</v>
      </c>
      <c r="B276" s="1">
        <v>1194</v>
      </c>
      <c r="C276" s="2">
        <v>45137</v>
      </c>
      <c r="D276" s="2">
        <v>45140</v>
      </c>
      <c r="E276" s="1" t="s">
        <v>40</v>
      </c>
      <c r="F276" s="1" t="s">
        <v>23</v>
      </c>
      <c r="G276" s="1" t="s">
        <v>24</v>
      </c>
      <c r="H276" s="1" t="s">
        <v>25</v>
      </c>
      <c r="I276" s="1" t="s">
        <v>19</v>
      </c>
      <c r="J276" s="1" t="s">
        <v>55</v>
      </c>
      <c r="K276" s="1" t="s">
        <v>28</v>
      </c>
      <c r="L276" s="1">
        <v>9</v>
      </c>
      <c r="M276" s="1">
        <v>2454.59</v>
      </c>
      <c r="N276" s="1">
        <v>5</v>
      </c>
      <c r="O276" s="1">
        <v>20986.74</v>
      </c>
    </row>
    <row r="277" spans="1:15" x14ac:dyDescent="0.3">
      <c r="A277" s="1">
        <v>10277</v>
      </c>
      <c r="B277" s="1">
        <v>1386</v>
      </c>
      <c r="C277" s="2">
        <v>44995</v>
      </c>
      <c r="D277" s="2">
        <v>45001</v>
      </c>
      <c r="E277" s="1" t="s">
        <v>40</v>
      </c>
      <c r="F277" s="1" t="s">
        <v>41</v>
      </c>
      <c r="G277" s="1" t="s">
        <v>30</v>
      </c>
      <c r="H277" s="1" t="s">
        <v>18</v>
      </c>
      <c r="I277" s="1" t="s">
        <v>26</v>
      </c>
      <c r="J277" s="1" t="s">
        <v>69</v>
      </c>
      <c r="K277" s="1" t="s">
        <v>45</v>
      </c>
      <c r="L277" s="1">
        <v>9</v>
      </c>
      <c r="M277" s="1">
        <v>670.06</v>
      </c>
      <c r="N277" s="1">
        <v>20</v>
      </c>
      <c r="O277" s="1">
        <v>4824.43</v>
      </c>
    </row>
    <row r="278" spans="1:15" x14ac:dyDescent="0.3">
      <c r="A278" s="1">
        <v>10093</v>
      </c>
      <c r="B278" s="1">
        <v>1565</v>
      </c>
      <c r="C278" s="2">
        <v>44980</v>
      </c>
      <c r="D278" s="2">
        <v>44982</v>
      </c>
      <c r="E278" s="1" t="s">
        <v>40</v>
      </c>
      <c r="F278" s="1" t="s">
        <v>29</v>
      </c>
      <c r="G278" s="1" t="s">
        <v>17</v>
      </c>
      <c r="H278" s="1" t="s">
        <v>42</v>
      </c>
      <c r="I278" s="1" t="s">
        <v>52</v>
      </c>
      <c r="J278" s="1" t="s">
        <v>56</v>
      </c>
      <c r="K278" s="1" t="s">
        <v>33</v>
      </c>
      <c r="L278" s="1">
        <v>9</v>
      </c>
      <c r="M278" s="1">
        <v>1938.76</v>
      </c>
      <c r="N278" s="1">
        <v>20</v>
      </c>
      <c r="O278" s="1">
        <v>13959.07</v>
      </c>
    </row>
    <row r="279" spans="1:15" x14ac:dyDescent="0.3">
      <c r="A279" s="1">
        <v>10235</v>
      </c>
      <c r="B279" s="1">
        <v>1472</v>
      </c>
      <c r="C279" s="2">
        <v>45032</v>
      </c>
      <c r="D279" s="2">
        <v>45040</v>
      </c>
      <c r="E279" s="1" t="s">
        <v>40</v>
      </c>
      <c r="F279" s="1" t="s">
        <v>29</v>
      </c>
      <c r="G279" s="1" t="s">
        <v>17</v>
      </c>
      <c r="H279" s="1" t="s">
        <v>35</v>
      </c>
      <c r="I279" s="1" t="s">
        <v>52</v>
      </c>
      <c r="J279" s="1" t="s">
        <v>60</v>
      </c>
      <c r="K279" s="1" t="s">
        <v>47</v>
      </c>
      <c r="L279" s="1">
        <v>9</v>
      </c>
      <c r="M279" s="1">
        <v>2677.09</v>
      </c>
      <c r="N279" s="1">
        <v>10</v>
      </c>
      <c r="O279" s="1">
        <v>21684.43</v>
      </c>
    </row>
    <row r="280" spans="1:15" x14ac:dyDescent="0.3">
      <c r="A280" s="1">
        <v>10299</v>
      </c>
      <c r="B280" s="1">
        <v>1729</v>
      </c>
      <c r="C280" s="2">
        <v>45012</v>
      </c>
      <c r="D280" s="2">
        <v>45015</v>
      </c>
      <c r="E280" s="1" t="s">
        <v>40</v>
      </c>
      <c r="F280" s="1" t="s">
        <v>29</v>
      </c>
      <c r="G280" s="1" t="s">
        <v>30</v>
      </c>
      <c r="H280" s="1" t="s">
        <v>42</v>
      </c>
      <c r="I280" s="1" t="s">
        <v>19</v>
      </c>
      <c r="J280" s="1" t="s">
        <v>43</v>
      </c>
      <c r="K280" s="1" t="s">
        <v>33</v>
      </c>
      <c r="L280" s="1">
        <v>9</v>
      </c>
      <c r="M280" s="1">
        <v>856.29</v>
      </c>
      <c r="N280" s="1">
        <v>5</v>
      </c>
      <c r="O280" s="1">
        <v>7321.28</v>
      </c>
    </row>
    <row r="281" spans="1:15" x14ac:dyDescent="0.3">
      <c r="A281" s="1">
        <v>10152</v>
      </c>
      <c r="B281" s="1">
        <v>1230</v>
      </c>
      <c r="C281" s="2">
        <v>45043</v>
      </c>
      <c r="D281" s="2">
        <v>45050</v>
      </c>
      <c r="E281" s="1" t="s">
        <v>37</v>
      </c>
      <c r="F281" s="1" t="s">
        <v>16</v>
      </c>
      <c r="G281" s="1" t="s">
        <v>24</v>
      </c>
      <c r="H281" s="1" t="s">
        <v>44</v>
      </c>
      <c r="I281" s="1" t="s">
        <v>52</v>
      </c>
      <c r="J281" s="1" t="s">
        <v>56</v>
      </c>
      <c r="K281" s="1" t="s">
        <v>47</v>
      </c>
      <c r="L281" s="1">
        <v>1</v>
      </c>
      <c r="M281" s="1">
        <v>3249.11</v>
      </c>
      <c r="N281" s="1">
        <v>10</v>
      </c>
      <c r="O281" s="1">
        <v>2924.2</v>
      </c>
    </row>
    <row r="282" spans="1:15" x14ac:dyDescent="0.3">
      <c r="A282" s="1">
        <v>10268</v>
      </c>
      <c r="B282" s="1">
        <v>1112</v>
      </c>
      <c r="C282" s="2">
        <v>45069</v>
      </c>
      <c r="D282" s="2">
        <v>45072</v>
      </c>
      <c r="E282" s="1" t="s">
        <v>37</v>
      </c>
      <c r="F282" s="1" t="s">
        <v>16</v>
      </c>
      <c r="G282" s="1" t="s">
        <v>30</v>
      </c>
      <c r="H282" s="1" t="s">
        <v>42</v>
      </c>
      <c r="I282" s="1" t="s">
        <v>31</v>
      </c>
      <c r="J282" s="1" t="s">
        <v>39</v>
      </c>
      <c r="K282" s="1" t="s">
        <v>28</v>
      </c>
      <c r="L282" s="1">
        <v>1</v>
      </c>
      <c r="M282" s="1">
        <v>2660.56</v>
      </c>
      <c r="N282" s="1">
        <v>10</v>
      </c>
      <c r="O282" s="1">
        <v>2394.5</v>
      </c>
    </row>
    <row r="283" spans="1:15" x14ac:dyDescent="0.3">
      <c r="A283" s="1">
        <v>10314</v>
      </c>
      <c r="B283" s="1">
        <v>1883</v>
      </c>
      <c r="C283" s="2">
        <v>45256</v>
      </c>
      <c r="D283" s="2">
        <v>45264</v>
      </c>
      <c r="E283" s="1" t="s">
        <v>37</v>
      </c>
      <c r="F283" s="1" t="s">
        <v>16</v>
      </c>
      <c r="G283" s="1" t="s">
        <v>24</v>
      </c>
      <c r="H283" s="1" t="s">
        <v>25</v>
      </c>
      <c r="I283" s="1" t="s">
        <v>26</v>
      </c>
      <c r="J283" s="1" t="s">
        <v>69</v>
      </c>
      <c r="K283" s="1" t="s">
        <v>28</v>
      </c>
      <c r="L283" s="1">
        <v>1</v>
      </c>
      <c r="M283" s="1">
        <v>1681.85</v>
      </c>
      <c r="N283" s="1">
        <v>5</v>
      </c>
      <c r="O283" s="1">
        <v>1597.76</v>
      </c>
    </row>
    <row r="284" spans="1:15" x14ac:dyDescent="0.3">
      <c r="A284" s="1">
        <v>10440</v>
      </c>
      <c r="B284" s="1">
        <v>1037</v>
      </c>
      <c r="C284" s="2">
        <v>45144</v>
      </c>
      <c r="D284" s="2">
        <v>45149</v>
      </c>
      <c r="E284" s="1" t="s">
        <v>37</v>
      </c>
      <c r="F284" s="1" t="s">
        <v>54</v>
      </c>
      <c r="G284" s="1" t="s">
        <v>17</v>
      </c>
      <c r="H284" s="1" t="s">
        <v>42</v>
      </c>
      <c r="I284" s="1" t="s">
        <v>49</v>
      </c>
      <c r="J284" s="1" t="s">
        <v>50</v>
      </c>
      <c r="K284" s="1" t="s">
        <v>33</v>
      </c>
      <c r="L284" s="1">
        <v>1</v>
      </c>
      <c r="M284" s="1">
        <v>3775.07</v>
      </c>
      <c r="N284" s="1">
        <v>10</v>
      </c>
      <c r="O284" s="1">
        <v>3397.56</v>
      </c>
    </row>
    <row r="285" spans="1:15" x14ac:dyDescent="0.3">
      <c r="A285" s="1">
        <v>10383</v>
      </c>
      <c r="B285" s="1">
        <v>1403</v>
      </c>
      <c r="C285" s="2">
        <v>45040</v>
      </c>
      <c r="D285" s="2">
        <v>45042</v>
      </c>
      <c r="E285" s="1" t="s">
        <v>37</v>
      </c>
      <c r="F285" s="1" t="s">
        <v>23</v>
      </c>
      <c r="G285" s="1" t="s">
        <v>24</v>
      </c>
      <c r="H285" s="1" t="s">
        <v>42</v>
      </c>
      <c r="I285" s="1" t="s">
        <v>31</v>
      </c>
      <c r="J285" s="1" t="s">
        <v>48</v>
      </c>
      <c r="K285" s="1" t="s">
        <v>33</v>
      </c>
      <c r="L285" s="1">
        <v>1</v>
      </c>
      <c r="M285" s="1">
        <v>3581.58</v>
      </c>
      <c r="N285" s="1">
        <v>15</v>
      </c>
      <c r="O285" s="1">
        <v>3044.34</v>
      </c>
    </row>
    <row r="286" spans="1:15" x14ac:dyDescent="0.3">
      <c r="A286" s="1">
        <v>10186</v>
      </c>
      <c r="B286" s="1">
        <v>1794</v>
      </c>
      <c r="C286" s="2">
        <v>45251</v>
      </c>
      <c r="D286" s="2">
        <v>45254</v>
      </c>
      <c r="E286" s="1" t="s">
        <v>37</v>
      </c>
      <c r="F286" s="1" t="s">
        <v>41</v>
      </c>
      <c r="G286" s="1" t="s">
        <v>30</v>
      </c>
      <c r="H286" s="1" t="s">
        <v>25</v>
      </c>
      <c r="I286" s="1" t="s">
        <v>52</v>
      </c>
      <c r="J286" s="1" t="s">
        <v>56</v>
      </c>
      <c r="K286" s="1" t="s">
        <v>47</v>
      </c>
      <c r="L286" s="1">
        <v>1</v>
      </c>
      <c r="M286" s="1">
        <v>508.81</v>
      </c>
      <c r="N286" s="1">
        <v>0</v>
      </c>
      <c r="O286" s="1">
        <v>508.81</v>
      </c>
    </row>
    <row r="287" spans="1:15" x14ac:dyDescent="0.3">
      <c r="A287" s="1">
        <v>10055</v>
      </c>
      <c r="B287" s="1">
        <v>1243</v>
      </c>
      <c r="C287" s="2">
        <v>45110</v>
      </c>
      <c r="D287" s="2">
        <v>45115</v>
      </c>
      <c r="E287" s="1" t="s">
        <v>37</v>
      </c>
      <c r="F287" s="1" t="s">
        <v>16</v>
      </c>
      <c r="G287" s="1" t="s">
        <v>24</v>
      </c>
      <c r="H287" s="1" t="s">
        <v>18</v>
      </c>
      <c r="I287" s="1" t="s">
        <v>52</v>
      </c>
      <c r="J287" s="1" t="s">
        <v>64</v>
      </c>
      <c r="K287" s="1" t="s">
        <v>45</v>
      </c>
      <c r="L287" s="1">
        <v>2</v>
      </c>
      <c r="M287" s="1">
        <v>3723.19</v>
      </c>
      <c r="N287" s="1">
        <v>5</v>
      </c>
      <c r="O287" s="1">
        <v>7074.06</v>
      </c>
    </row>
    <row r="288" spans="1:15" x14ac:dyDescent="0.3">
      <c r="A288" s="1">
        <v>10326</v>
      </c>
      <c r="B288" s="1">
        <v>1325</v>
      </c>
      <c r="C288" s="2">
        <v>45118</v>
      </c>
      <c r="D288" s="2">
        <v>45124</v>
      </c>
      <c r="E288" s="1" t="s">
        <v>37</v>
      </c>
      <c r="F288" s="1" t="s">
        <v>16</v>
      </c>
      <c r="G288" s="1" t="s">
        <v>24</v>
      </c>
      <c r="H288" s="1" t="s">
        <v>44</v>
      </c>
      <c r="I288" s="1" t="s">
        <v>52</v>
      </c>
      <c r="J288" s="1" t="s">
        <v>60</v>
      </c>
      <c r="K288" s="1" t="s">
        <v>33</v>
      </c>
      <c r="L288" s="1">
        <v>2</v>
      </c>
      <c r="M288" s="1">
        <v>3428.64</v>
      </c>
      <c r="N288" s="1">
        <v>10</v>
      </c>
      <c r="O288" s="1">
        <v>6171.55</v>
      </c>
    </row>
    <row r="289" spans="1:15" x14ac:dyDescent="0.3">
      <c r="A289" s="1">
        <v>10499</v>
      </c>
      <c r="B289" s="1">
        <v>1565</v>
      </c>
      <c r="C289" s="2">
        <v>45280</v>
      </c>
      <c r="D289" s="2">
        <v>45283</v>
      </c>
      <c r="E289" s="1" t="s">
        <v>37</v>
      </c>
      <c r="F289" s="1" t="s">
        <v>38</v>
      </c>
      <c r="G289" s="1" t="s">
        <v>24</v>
      </c>
      <c r="H289" s="1" t="s">
        <v>18</v>
      </c>
      <c r="I289" s="1" t="s">
        <v>52</v>
      </c>
      <c r="J289" s="1" t="s">
        <v>60</v>
      </c>
      <c r="K289" s="1" t="s">
        <v>28</v>
      </c>
      <c r="L289" s="1">
        <v>2</v>
      </c>
      <c r="M289" s="1">
        <v>2761.81</v>
      </c>
      <c r="N289" s="1">
        <v>15</v>
      </c>
      <c r="O289" s="1">
        <v>4695.08</v>
      </c>
    </row>
    <row r="290" spans="1:15" x14ac:dyDescent="0.3">
      <c r="A290" s="1">
        <v>10102</v>
      </c>
      <c r="B290" s="1">
        <v>1161</v>
      </c>
      <c r="C290" s="2">
        <v>44996</v>
      </c>
      <c r="D290" s="2">
        <v>45002</v>
      </c>
      <c r="E290" s="1" t="s">
        <v>37</v>
      </c>
      <c r="F290" s="1" t="s">
        <v>54</v>
      </c>
      <c r="G290" s="1" t="s">
        <v>30</v>
      </c>
      <c r="H290" s="1" t="s">
        <v>25</v>
      </c>
      <c r="I290" s="1" t="s">
        <v>31</v>
      </c>
      <c r="J290" s="1" t="s">
        <v>39</v>
      </c>
      <c r="K290" s="1" t="s">
        <v>21</v>
      </c>
      <c r="L290" s="1">
        <v>2</v>
      </c>
      <c r="M290" s="1">
        <v>1859.03</v>
      </c>
      <c r="N290" s="1">
        <v>20</v>
      </c>
      <c r="O290" s="1">
        <v>2974.45</v>
      </c>
    </row>
    <row r="291" spans="1:15" x14ac:dyDescent="0.3">
      <c r="A291" s="1">
        <v>10243</v>
      </c>
      <c r="B291" s="1">
        <v>1632</v>
      </c>
      <c r="C291" s="2">
        <v>45108</v>
      </c>
      <c r="D291" s="2">
        <v>45109</v>
      </c>
      <c r="E291" s="1" t="s">
        <v>37</v>
      </c>
      <c r="F291" s="1" t="s">
        <v>23</v>
      </c>
      <c r="G291" s="1" t="s">
        <v>30</v>
      </c>
      <c r="H291" s="1" t="s">
        <v>18</v>
      </c>
      <c r="I291" s="1" t="s">
        <v>57</v>
      </c>
      <c r="J291" s="1" t="s">
        <v>59</v>
      </c>
      <c r="K291" s="1" t="s">
        <v>28</v>
      </c>
      <c r="L291" s="1">
        <v>2</v>
      </c>
      <c r="M291" s="1">
        <v>601.53</v>
      </c>
      <c r="N291" s="1">
        <v>20</v>
      </c>
      <c r="O291" s="1">
        <v>962.45</v>
      </c>
    </row>
    <row r="292" spans="1:15" x14ac:dyDescent="0.3">
      <c r="A292" s="1">
        <v>10141</v>
      </c>
      <c r="B292" s="1">
        <v>1062</v>
      </c>
      <c r="C292" s="2">
        <v>45085</v>
      </c>
      <c r="D292" s="2">
        <v>45092</v>
      </c>
      <c r="E292" s="1" t="s">
        <v>37</v>
      </c>
      <c r="F292" s="1" t="s">
        <v>29</v>
      </c>
      <c r="G292" s="1" t="s">
        <v>17</v>
      </c>
      <c r="H292" s="1" t="s">
        <v>25</v>
      </c>
      <c r="I292" s="1" t="s">
        <v>31</v>
      </c>
      <c r="J292" s="1" t="s">
        <v>39</v>
      </c>
      <c r="K292" s="1" t="s">
        <v>28</v>
      </c>
      <c r="L292" s="1">
        <v>2</v>
      </c>
      <c r="M292" s="1">
        <v>1766.42</v>
      </c>
      <c r="N292" s="1">
        <v>10</v>
      </c>
      <c r="O292" s="1">
        <v>3179.56</v>
      </c>
    </row>
    <row r="293" spans="1:15" x14ac:dyDescent="0.3">
      <c r="A293" s="1">
        <v>10218</v>
      </c>
      <c r="B293" s="1">
        <v>1577</v>
      </c>
      <c r="C293" s="2">
        <v>45206</v>
      </c>
      <c r="D293" s="2">
        <v>45209</v>
      </c>
      <c r="E293" s="1" t="s">
        <v>37</v>
      </c>
      <c r="F293" s="1" t="s">
        <v>29</v>
      </c>
      <c r="G293" s="1" t="s">
        <v>17</v>
      </c>
      <c r="H293" s="1" t="s">
        <v>44</v>
      </c>
      <c r="I293" s="1" t="s">
        <v>26</v>
      </c>
      <c r="J293" s="1" t="s">
        <v>69</v>
      </c>
      <c r="K293" s="1" t="s">
        <v>45</v>
      </c>
      <c r="L293" s="1">
        <v>2</v>
      </c>
      <c r="M293" s="1">
        <v>2401.63</v>
      </c>
      <c r="N293" s="1">
        <v>0</v>
      </c>
      <c r="O293" s="1">
        <v>4803.26</v>
      </c>
    </row>
    <row r="294" spans="1:15" x14ac:dyDescent="0.3">
      <c r="A294" s="1">
        <v>10380</v>
      </c>
      <c r="B294" s="1">
        <v>1815</v>
      </c>
      <c r="C294" s="2">
        <v>45291</v>
      </c>
      <c r="D294" s="2">
        <v>45300</v>
      </c>
      <c r="E294" s="1" t="s">
        <v>37</v>
      </c>
      <c r="F294" s="1" t="s">
        <v>16</v>
      </c>
      <c r="G294" s="1" t="s">
        <v>17</v>
      </c>
      <c r="H294" s="1" t="s">
        <v>42</v>
      </c>
      <c r="I294" s="1" t="s">
        <v>19</v>
      </c>
      <c r="J294" s="1" t="s">
        <v>55</v>
      </c>
      <c r="K294" s="1" t="s">
        <v>33</v>
      </c>
      <c r="L294" s="1">
        <v>3</v>
      </c>
      <c r="M294" s="1">
        <v>1708.19</v>
      </c>
      <c r="N294" s="1">
        <v>10</v>
      </c>
      <c r="O294" s="1">
        <v>4612.1099999999997</v>
      </c>
    </row>
    <row r="295" spans="1:15" x14ac:dyDescent="0.3">
      <c r="A295" s="1">
        <v>10230</v>
      </c>
      <c r="B295" s="1">
        <v>1957</v>
      </c>
      <c r="C295" s="2">
        <v>45010</v>
      </c>
      <c r="D295" s="2">
        <v>45018</v>
      </c>
      <c r="E295" s="1" t="s">
        <v>37</v>
      </c>
      <c r="F295" s="1" t="s">
        <v>38</v>
      </c>
      <c r="G295" s="1" t="s">
        <v>24</v>
      </c>
      <c r="H295" s="1" t="s">
        <v>35</v>
      </c>
      <c r="I295" s="1" t="s">
        <v>57</v>
      </c>
      <c r="J295" s="1" t="s">
        <v>62</v>
      </c>
      <c r="K295" s="1" t="s">
        <v>47</v>
      </c>
      <c r="L295" s="1">
        <v>3</v>
      </c>
      <c r="M295" s="1">
        <v>3193.5</v>
      </c>
      <c r="N295" s="1">
        <v>10</v>
      </c>
      <c r="O295" s="1">
        <v>8622.4500000000007</v>
      </c>
    </row>
    <row r="296" spans="1:15" x14ac:dyDescent="0.3">
      <c r="A296" s="1">
        <v>10027</v>
      </c>
      <c r="B296" s="1">
        <v>1805</v>
      </c>
      <c r="C296" s="2">
        <v>45286</v>
      </c>
      <c r="D296" s="2">
        <v>45290</v>
      </c>
      <c r="E296" s="1" t="s">
        <v>37</v>
      </c>
      <c r="F296" s="1" t="s">
        <v>41</v>
      </c>
      <c r="G296" s="1" t="s">
        <v>24</v>
      </c>
      <c r="H296" s="1" t="s">
        <v>35</v>
      </c>
      <c r="I296" s="1" t="s">
        <v>57</v>
      </c>
      <c r="J296" s="1" t="s">
        <v>58</v>
      </c>
      <c r="K296" s="1" t="s">
        <v>21</v>
      </c>
      <c r="L296" s="1">
        <v>3</v>
      </c>
      <c r="M296" s="1">
        <v>3599.15</v>
      </c>
      <c r="N296" s="1">
        <v>5</v>
      </c>
      <c r="O296" s="1">
        <v>10257.58</v>
      </c>
    </row>
    <row r="297" spans="1:15" x14ac:dyDescent="0.3">
      <c r="A297" s="1">
        <v>10282</v>
      </c>
      <c r="B297" s="1">
        <v>1080</v>
      </c>
      <c r="C297" s="2">
        <v>45271</v>
      </c>
      <c r="D297" s="2">
        <v>45272</v>
      </c>
      <c r="E297" s="1" t="s">
        <v>37</v>
      </c>
      <c r="F297" s="1" t="s">
        <v>41</v>
      </c>
      <c r="G297" s="1" t="s">
        <v>17</v>
      </c>
      <c r="H297" s="1" t="s">
        <v>42</v>
      </c>
      <c r="I297" s="1" t="s">
        <v>57</v>
      </c>
      <c r="J297" s="1" t="s">
        <v>67</v>
      </c>
      <c r="K297" s="1" t="s">
        <v>33</v>
      </c>
      <c r="L297" s="1">
        <v>3</v>
      </c>
      <c r="M297" s="1">
        <v>170.81</v>
      </c>
      <c r="N297" s="1">
        <v>20</v>
      </c>
      <c r="O297" s="1">
        <v>409.94</v>
      </c>
    </row>
    <row r="298" spans="1:15" x14ac:dyDescent="0.3">
      <c r="A298" s="1">
        <v>10037</v>
      </c>
      <c r="B298" s="1">
        <v>1747</v>
      </c>
      <c r="C298" s="2">
        <v>45161</v>
      </c>
      <c r="D298" s="2">
        <v>45165</v>
      </c>
      <c r="E298" s="1" t="s">
        <v>37</v>
      </c>
      <c r="F298" s="1" t="s">
        <v>16</v>
      </c>
      <c r="G298" s="1" t="s">
        <v>24</v>
      </c>
      <c r="H298" s="1" t="s">
        <v>18</v>
      </c>
      <c r="I298" s="1" t="s">
        <v>19</v>
      </c>
      <c r="J298" s="1" t="s">
        <v>55</v>
      </c>
      <c r="K298" s="1" t="s">
        <v>21</v>
      </c>
      <c r="L298" s="1">
        <v>4</v>
      </c>
      <c r="M298" s="1">
        <v>853.29</v>
      </c>
      <c r="N298" s="1">
        <v>5</v>
      </c>
      <c r="O298" s="1">
        <v>3242.5</v>
      </c>
    </row>
    <row r="299" spans="1:15" x14ac:dyDescent="0.3">
      <c r="A299" s="1">
        <v>10274</v>
      </c>
      <c r="B299" s="1">
        <v>1509</v>
      </c>
      <c r="C299" s="2">
        <v>45240</v>
      </c>
      <c r="D299" s="2">
        <v>45241</v>
      </c>
      <c r="E299" s="1" t="s">
        <v>37</v>
      </c>
      <c r="F299" s="1" t="s">
        <v>16</v>
      </c>
      <c r="G299" s="1" t="s">
        <v>24</v>
      </c>
      <c r="H299" s="1" t="s">
        <v>44</v>
      </c>
      <c r="I299" s="1" t="s">
        <v>52</v>
      </c>
      <c r="J299" s="1" t="s">
        <v>60</v>
      </c>
      <c r="K299" s="1" t="s">
        <v>33</v>
      </c>
      <c r="L299" s="1">
        <v>4</v>
      </c>
      <c r="M299" s="1">
        <v>1258.1500000000001</v>
      </c>
      <c r="N299" s="1">
        <v>0</v>
      </c>
      <c r="O299" s="1">
        <v>5032.6000000000004</v>
      </c>
    </row>
    <row r="300" spans="1:15" x14ac:dyDescent="0.3">
      <c r="A300" s="1">
        <v>10252</v>
      </c>
      <c r="B300" s="1">
        <v>1648</v>
      </c>
      <c r="C300" s="2">
        <v>45110</v>
      </c>
      <c r="D300" s="2">
        <v>45114</v>
      </c>
      <c r="E300" s="1" t="s">
        <v>37</v>
      </c>
      <c r="F300" s="1" t="s">
        <v>38</v>
      </c>
      <c r="G300" s="1" t="s">
        <v>24</v>
      </c>
      <c r="H300" s="1" t="s">
        <v>42</v>
      </c>
      <c r="I300" s="1" t="s">
        <v>52</v>
      </c>
      <c r="J300" s="1" t="s">
        <v>60</v>
      </c>
      <c r="K300" s="1" t="s">
        <v>33</v>
      </c>
      <c r="L300" s="1">
        <v>4</v>
      </c>
      <c r="M300" s="1">
        <v>1868.8</v>
      </c>
      <c r="N300" s="1">
        <v>20</v>
      </c>
      <c r="O300" s="1">
        <v>5980.16</v>
      </c>
    </row>
    <row r="301" spans="1:15" x14ac:dyDescent="0.3">
      <c r="A301" s="1">
        <v>10098</v>
      </c>
      <c r="B301" s="1">
        <v>1702</v>
      </c>
      <c r="C301" s="2">
        <v>44946</v>
      </c>
      <c r="D301" s="2">
        <v>44947</v>
      </c>
      <c r="E301" s="1" t="s">
        <v>37</v>
      </c>
      <c r="F301" s="1" t="s">
        <v>54</v>
      </c>
      <c r="G301" s="1" t="s">
        <v>24</v>
      </c>
      <c r="H301" s="1" t="s">
        <v>42</v>
      </c>
      <c r="I301" s="1" t="s">
        <v>26</v>
      </c>
      <c r="J301" s="1" t="s">
        <v>36</v>
      </c>
      <c r="K301" s="1" t="s">
        <v>45</v>
      </c>
      <c r="L301" s="1">
        <v>4</v>
      </c>
      <c r="M301" s="1">
        <v>1362.08</v>
      </c>
      <c r="N301" s="1">
        <v>15</v>
      </c>
      <c r="O301" s="1">
        <v>4631.07</v>
      </c>
    </row>
    <row r="302" spans="1:15" x14ac:dyDescent="0.3">
      <c r="A302" s="1">
        <v>10308</v>
      </c>
      <c r="B302" s="1">
        <v>1122</v>
      </c>
      <c r="C302" s="2">
        <v>44931</v>
      </c>
      <c r="D302" s="2">
        <v>44940</v>
      </c>
      <c r="E302" s="1" t="s">
        <v>37</v>
      </c>
      <c r="F302" s="1" t="s">
        <v>23</v>
      </c>
      <c r="G302" s="1" t="s">
        <v>30</v>
      </c>
      <c r="H302" s="1" t="s">
        <v>25</v>
      </c>
      <c r="I302" s="1" t="s">
        <v>52</v>
      </c>
      <c r="J302" s="1" t="s">
        <v>53</v>
      </c>
      <c r="K302" s="1" t="s">
        <v>45</v>
      </c>
      <c r="L302" s="1">
        <v>4</v>
      </c>
      <c r="M302" s="1">
        <v>3143.2</v>
      </c>
      <c r="N302" s="1">
        <v>0</v>
      </c>
      <c r="O302" s="1">
        <v>12572.8</v>
      </c>
    </row>
    <row r="303" spans="1:15" x14ac:dyDescent="0.3">
      <c r="A303" s="1">
        <v>10465</v>
      </c>
      <c r="B303" s="1">
        <v>1016</v>
      </c>
      <c r="C303" s="2">
        <v>45082</v>
      </c>
      <c r="D303" s="2">
        <v>45089</v>
      </c>
      <c r="E303" s="1" t="s">
        <v>37</v>
      </c>
      <c r="F303" s="1" t="s">
        <v>23</v>
      </c>
      <c r="G303" s="1" t="s">
        <v>30</v>
      </c>
      <c r="H303" s="1" t="s">
        <v>44</v>
      </c>
      <c r="I303" s="1" t="s">
        <v>19</v>
      </c>
      <c r="J303" s="1" t="s">
        <v>43</v>
      </c>
      <c r="K303" s="1" t="s">
        <v>33</v>
      </c>
      <c r="L303" s="1">
        <v>4</v>
      </c>
      <c r="M303" s="1">
        <v>589.44000000000005</v>
      </c>
      <c r="N303" s="1">
        <v>20</v>
      </c>
      <c r="O303" s="1">
        <v>1886.21</v>
      </c>
    </row>
    <row r="304" spans="1:15" x14ac:dyDescent="0.3">
      <c r="A304" s="1">
        <v>10112</v>
      </c>
      <c r="B304" s="1">
        <v>1726</v>
      </c>
      <c r="C304" s="2">
        <v>45153</v>
      </c>
      <c r="D304" s="2">
        <v>45154</v>
      </c>
      <c r="E304" s="1" t="s">
        <v>37</v>
      </c>
      <c r="F304" s="1" t="s">
        <v>41</v>
      </c>
      <c r="G304" s="1" t="s">
        <v>30</v>
      </c>
      <c r="H304" s="1" t="s">
        <v>18</v>
      </c>
      <c r="I304" s="1" t="s">
        <v>26</v>
      </c>
      <c r="J304" s="1" t="s">
        <v>36</v>
      </c>
      <c r="K304" s="1" t="s">
        <v>21</v>
      </c>
      <c r="L304" s="1">
        <v>4</v>
      </c>
      <c r="M304" s="1">
        <v>1110.5899999999999</v>
      </c>
      <c r="N304" s="1">
        <v>20</v>
      </c>
      <c r="O304" s="1">
        <v>3553.89</v>
      </c>
    </row>
    <row r="305" spans="1:15" x14ac:dyDescent="0.3">
      <c r="A305" s="1">
        <v>10217</v>
      </c>
      <c r="B305" s="1">
        <v>1795</v>
      </c>
      <c r="C305" s="2">
        <v>45055</v>
      </c>
      <c r="D305" s="2">
        <v>45057</v>
      </c>
      <c r="E305" s="1" t="s">
        <v>37</v>
      </c>
      <c r="F305" s="1" t="s">
        <v>41</v>
      </c>
      <c r="G305" s="1" t="s">
        <v>24</v>
      </c>
      <c r="H305" s="1" t="s">
        <v>42</v>
      </c>
      <c r="I305" s="1" t="s">
        <v>49</v>
      </c>
      <c r="J305" s="1" t="s">
        <v>50</v>
      </c>
      <c r="K305" s="1" t="s">
        <v>28</v>
      </c>
      <c r="L305" s="1">
        <v>4</v>
      </c>
      <c r="M305" s="1">
        <v>3335.32</v>
      </c>
      <c r="N305" s="1">
        <v>20</v>
      </c>
      <c r="O305" s="1">
        <v>10673.02</v>
      </c>
    </row>
    <row r="306" spans="1:15" x14ac:dyDescent="0.3">
      <c r="A306" s="1">
        <v>10214</v>
      </c>
      <c r="B306" s="1">
        <v>1698</v>
      </c>
      <c r="C306" s="2">
        <v>45052</v>
      </c>
      <c r="D306" s="2">
        <v>45061</v>
      </c>
      <c r="E306" s="1" t="s">
        <v>37</v>
      </c>
      <c r="F306" s="1" t="s">
        <v>29</v>
      </c>
      <c r="G306" s="1" t="s">
        <v>24</v>
      </c>
      <c r="H306" s="1" t="s">
        <v>44</v>
      </c>
      <c r="I306" s="1" t="s">
        <v>49</v>
      </c>
      <c r="J306" s="1" t="s">
        <v>63</v>
      </c>
      <c r="K306" s="1" t="s">
        <v>47</v>
      </c>
      <c r="L306" s="1">
        <v>4</v>
      </c>
      <c r="M306" s="1">
        <v>1719.71</v>
      </c>
      <c r="N306" s="1">
        <v>15</v>
      </c>
      <c r="O306" s="1">
        <v>5847.01</v>
      </c>
    </row>
    <row r="307" spans="1:15" x14ac:dyDescent="0.3">
      <c r="A307" s="1">
        <v>10091</v>
      </c>
      <c r="B307" s="1">
        <v>1001</v>
      </c>
      <c r="C307" s="2">
        <v>45016</v>
      </c>
      <c r="D307" s="2">
        <v>45019</v>
      </c>
      <c r="E307" s="1" t="s">
        <v>37</v>
      </c>
      <c r="F307" s="1" t="s">
        <v>16</v>
      </c>
      <c r="G307" s="1" t="s">
        <v>17</v>
      </c>
      <c r="H307" s="1" t="s">
        <v>44</v>
      </c>
      <c r="I307" s="1" t="s">
        <v>26</v>
      </c>
      <c r="J307" s="1" t="s">
        <v>27</v>
      </c>
      <c r="K307" s="1" t="s">
        <v>28</v>
      </c>
      <c r="L307" s="1">
        <v>5</v>
      </c>
      <c r="M307" s="1">
        <v>3370.52</v>
      </c>
      <c r="N307" s="1">
        <v>10</v>
      </c>
      <c r="O307" s="1">
        <v>15167.34</v>
      </c>
    </row>
    <row r="308" spans="1:15" x14ac:dyDescent="0.3">
      <c r="A308" s="1">
        <v>10374</v>
      </c>
      <c r="B308" s="1">
        <v>1036</v>
      </c>
      <c r="C308" s="2">
        <v>45136</v>
      </c>
      <c r="D308" s="2">
        <v>45141</v>
      </c>
      <c r="E308" s="1" t="s">
        <v>37</v>
      </c>
      <c r="F308" s="1" t="s">
        <v>16</v>
      </c>
      <c r="G308" s="1" t="s">
        <v>17</v>
      </c>
      <c r="H308" s="1" t="s">
        <v>42</v>
      </c>
      <c r="I308" s="1" t="s">
        <v>57</v>
      </c>
      <c r="J308" s="1" t="s">
        <v>58</v>
      </c>
      <c r="K308" s="1" t="s">
        <v>33</v>
      </c>
      <c r="L308" s="1">
        <v>5</v>
      </c>
      <c r="M308" s="1">
        <v>1651.11</v>
      </c>
      <c r="N308" s="1">
        <v>20</v>
      </c>
      <c r="O308" s="1">
        <v>6604.44</v>
      </c>
    </row>
    <row r="309" spans="1:15" x14ac:dyDescent="0.3">
      <c r="A309" s="1">
        <v>10226</v>
      </c>
      <c r="B309" s="1">
        <v>1619</v>
      </c>
      <c r="C309" s="2">
        <v>45290</v>
      </c>
      <c r="D309" s="2">
        <v>45291</v>
      </c>
      <c r="E309" s="1" t="s">
        <v>37</v>
      </c>
      <c r="F309" s="1" t="s">
        <v>38</v>
      </c>
      <c r="G309" s="1" t="s">
        <v>17</v>
      </c>
      <c r="H309" s="1" t="s">
        <v>42</v>
      </c>
      <c r="I309" s="1" t="s">
        <v>49</v>
      </c>
      <c r="J309" s="1" t="s">
        <v>63</v>
      </c>
      <c r="K309" s="1" t="s">
        <v>45</v>
      </c>
      <c r="L309" s="1">
        <v>5</v>
      </c>
      <c r="M309" s="1">
        <v>620.13</v>
      </c>
      <c r="N309" s="1">
        <v>5</v>
      </c>
      <c r="O309" s="1">
        <v>2945.62</v>
      </c>
    </row>
    <row r="310" spans="1:15" x14ac:dyDescent="0.3">
      <c r="A310" s="1">
        <v>10333</v>
      </c>
      <c r="B310" s="1">
        <v>1931</v>
      </c>
      <c r="C310" s="2">
        <v>45080</v>
      </c>
      <c r="D310" s="2">
        <v>45086</v>
      </c>
      <c r="E310" s="1" t="s">
        <v>37</v>
      </c>
      <c r="F310" s="1" t="s">
        <v>54</v>
      </c>
      <c r="G310" s="1" t="s">
        <v>17</v>
      </c>
      <c r="H310" s="1" t="s">
        <v>25</v>
      </c>
      <c r="I310" s="1" t="s">
        <v>52</v>
      </c>
      <c r="J310" s="1" t="s">
        <v>60</v>
      </c>
      <c r="K310" s="1" t="s">
        <v>21</v>
      </c>
      <c r="L310" s="1">
        <v>5</v>
      </c>
      <c r="M310" s="1">
        <v>3374.49</v>
      </c>
      <c r="N310" s="1">
        <v>5</v>
      </c>
      <c r="O310" s="1">
        <v>16028.83</v>
      </c>
    </row>
    <row r="311" spans="1:15" x14ac:dyDescent="0.3">
      <c r="A311" s="1">
        <v>10043</v>
      </c>
      <c r="B311" s="1">
        <v>1681</v>
      </c>
      <c r="C311" s="2">
        <v>45184</v>
      </c>
      <c r="D311" s="2">
        <v>45188</v>
      </c>
      <c r="E311" s="1" t="s">
        <v>37</v>
      </c>
      <c r="F311" s="1" t="s">
        <v>23</v>
      </c>
      <c r="G311" s="1" t="s">
        <v>24</v>
      </c>
      <c r="H311" s="1" t="s">
        <v>35</v>
      </c>
      <c r="I311" s="1" t="s">
        <v>31</v>
      </c>
      <c r="J311" s="1" t="s">
        <v>48</v>
      </c>
      <c r="K311" s="1" t="s">
        <v>45</v>
      </c>
      <c r="L311" s="1">
        <v>5</v>
      </c>
      <c r="M311" s="1">
        <v>936.35</v>
      </c>
      <c r="N311" s="1">
        <v>15</v>
      </c>
      <c r="O311" s="1">
        <v>3979.49</v>
      </c>
    </row>
    <row r="312" spans="1:15" x14ac:dyDescent="0.3">
      <c r="A312" s="1">
        <v>10494</v>
      </c>
      <c r="B312" s="1">
        <v>1322</v>
      </c>
      <c r="C312" s="2">
        <v>45151</v>
      </c>
      <c r="D312" s="2">
        <v>45154</v>
      </c>
      <c r="E312" s="1" t="s">
        <v>37</v>
      </c>
      <c r="F312" s="1" t="s">
        <v>41</v>
      </c>
      <c r="G312" s="1" t="s">
        <v>17</v>
      </c>
      <c r="H312" s="1" t="s">
        <v>44</v>
      </c>
      <c r="I312" s="1" t="s">
        <v>57</v>
      </c>
      <c r="J312" s="1" t="s">
        <v>67</v>
      </c>
      <c r="K312" s="1" t="s">
        <v>45</v>
      </c>
      <c r="L312" s="1">
        <v>5</v>
      </c>
      <c r="M312" s="1">
        <v>529.59</v>
      </c>
      <c r="N312" s="1">
        <v>5</v>
      </c>
      <c r="O312" s="1">
        <v>2515.5500000000002</v>
      </c>
    </row>
    <row r="313" spans="1:15" x14ac:dyDescent="0.3">
      <c r="A313" s="1">
        <v>10478</v>
      </c>
      <c r="B313" s="1">
        <v>1348</v>
      </c>
      <c r="C313" s="2">
        <v>45220</v>
      </c>
      <c r="D313" s="2">
        <v>45227</v>
      </c>
      <c r="E313" s="1" t="s">
        <v>37</v>
      </c>
      <c r="F313" s="1" t="s">
        <v>29</v>
      </c>
      <c r="G313" s="1" t="s">
        <v>17</v>
      </c>
      <c r="H313" s="1" t="s">
        <v>44</v>
      </c>
      <c r="I313" s="1" t="s">
        <v>57</v>
      </c>
      <c r="J313" s="1" t="s">
        <v>62</v>
      </c>
      <c r="K313" s="1" t="s">
        <v>47</v>
      </c>
      <c r="L313" s="1">
        <v>5</v>
      </c>
      <c r="M313" s="1">
        <v>671.12</v>
      </c>
      <c r="N313" s="1">
        <v>5</v>
      </c>
      <c r="O313" s="1">
        <v>3187.82</v>
      </c>
    </row>
    <row r="314" spans="1:15" x14ac:dyDescent="0.3">
      <c r="A314" s="1">
        <v>10025</v>
      </c>
      <c r="B314" s="1">
        <v>1491</v>
      </c>
      <c r="C314" s="2">
        <v>45052</v>
      </c>
      <c r="D314" s="2">
        <v>45061</v>
      </c>
      <c r="E314" s="1" t="s">
        <v>37</v>
      </c>
      <c r="F314" s="1" t="s">
        <v>38</v>
      </c>
      <c r="G314" s="1" t="s">
        <v>30</v>
      </c>
      <c r="H314" s="1" t="s">
        <v>44</v>
      </c>
      <c r="I314" s="1" t="s">
        <v>57</v>
      </c>
      <c r="J314" s="1" t="s">
        <v>59</v>
      </c>
      <c r="K314" s="1" t="s">
        <v>45</v>
      </c>
      <c r="L314" s="1">
        <v>6</v>
      </c>
      <c r="M314" s="1">
        <v>3018.94</v>
      </c>
      <c r="N314" s="1">
        <v>5</v>
      </c>
      <c r="O314" s="1">
        <v>17207.96</v>
      </c>
    </row>
    <row r="315" spans="1:15" x14ac:dyDescent="0.3">
      <c r="A315" s="1">
        <v>10145</v>
      </c>
      <c r="B315" s="1">
        <v>1391</v>
      </c>
      <c r="C315" s="2">
        <v>45245</v>
      </c>
      <c r="D315" s="2">
        <v>45246</v>
      </c>
      <c r="E315" s="1" t="s">
        <v>37</v>
      </c>
      <c r="F315" s="1" t="s">
        <v>38</v>
      </c>
      <c r="G315" s="1" t="s">
        <v>24</v>
      </c>
      <c r="H315" s="1" t="s">
        <v>35</v>
      </c>
      <c r="I315" s="1" t="s">
        <v>57</v>
      </c>
      <c r="J315" s="1" t="s">
        <v>59</v>
      </c>
      <c r="K315" s="1" t="s">
        <v>47</v>
      </c>
      <c r="L315" s="1">
        <v>6</v>
      </c>
      <c r="M315" s="1">
        <v>652.42999999999995</v>
      </c>
      <c r="N315" s="1">
        <v>10</v>
      </c>
      <c r="O315" s="1">
        <v>3523.12</v>
      </c>
    </row>
    <row r="316" spans="1:15" x14ac:dyDescent="0.3">
      <c r="A316" s="1">
        <v>10127</v>
      </c>
      <c r="B316" s="1">
        <v>1379</v>
      </c>
      <c r="C316" s="2">
        <v>44930</v>
      </c>
      <c r="D316" s="2">
        <v>44935</v>
      </c>
      <c r="E316" s="1" t="s">
        <v>37</v>
      </c>
      <c r="F316" s="1" t="s">
        <v>54</v>
      </c>
      <c r="G316" s="1" t="s">
        <v>24</v>
      </c>
      <c r="H316" s="1" t="s">
        <v>18</v>
      </c>
      <c r="I316" s="1" t="s">
        <v>31</v>
      </c>
      <c r="J316" s="1" t="s">
        <v>39</v>
      </c>
      <c r="K316" s="1" t="s">
        <v>21</v>
      </c>
      <c r="L316" s="1">
        <v>6</v>
      </c>
      <c r="M316" s="1">
        <v>1846.21</v>
      </c>
      <c r="N316" s="1">
        <v>10</v>
      </c>
      <c r="O316" s="1">
        <v>9969.5300000000007</v>
      </c>
    </row>
    <row r="317" spans="1:15" x14ac:dyDescent="0.3">
      <c r="A317" s="1">
        <v>10376</v>
      </c>
      <c r="B317" s="1">
        <v>1008</v>
      </c>
      <c r="C317" s="2">
        <v>45242</v>
      </c>
      <c r="D317" s="2">
        <v>45251</v>
      </c>
      <c r="E317" s="1" t="s">
        <v>37</v>
      </c>
      <c r="F317" s="1" t="s">
        <v>54</v>
      </c>
      <c r="G317" s="1" t="s">
        <v>30</v>
      </c>
      <c r="H317" s="1" t="s">
        <v>18</v>
      </c>
      <c r="I317" s="1" t="s">
        <v>57</v>
      </c>
      <c r="J317" s="1" t="s">
        <v>59</v>
      </c>
      <c r="K317" s="1" t="s">
        <v>45</v>
      </c>
      <c r="L317" s="1">
        <v>6</v>
      </c>
      <c r="M317" s="1">
        <v>681.36</v>
      </c>
      <c r="N317" s="1">
        <v>15</v>
      </c>
      <c r="O317" s="1">
        <v>3474.94</v>
      </c>
    </row>
    <row r="318" spans="1:15" x14ac:dyDescent="0.3">
      <c r="A318" s="1">
        <v>10216</v>
      </c>
      <c r="B318" s="1">
        <v>1085</v>
      </c>
      <c r="C318" s="2">
        <v>45221</v>
      </c>
      <c r="D318" s="2">
        <v>45227</v>
      </c>
      <c r="E318" s="1" t="s">
        <v>37</v>
      </c>
      <c r="F318" s="1" t="s">
        <v>23</v>
      </c>
      <c r="G318" s="1" t="s">
        <v>24</v>
      </c>
      <c r="H318" s="1" t="s">
        <v>18</v>
      </c>
      <c r="I318" s="1" t="s">
        <v>57</v>
      </c>
      <c r="J318" s="1" t="s">
        <v>67</v>
      </c>
      <c r="K318" s="1" t="s">
        <v>21</v>
      </c>
      <c r="L318" s="1">
        <v>6</v>
      </c>
      <c r="M318" s="1">
        <v>809.49</v>
      </c>
      <c r="N318" s="1">
        <v>5</v>
      </c>
      <c r="O318" s="1">
        <v>4614.09</v>
      </c>
    </row>
    <row r="319" spans="1:15" x14ac:dyDescent="0.3">
      <c r="A319" s="1">
        <v>10256</v>
      </c>
      <c r="B319" s="1">
        <v>1818</v>
      </c>
      <c r="C319" s="2">
        <v>45176</v>
      </c>
      <c r="D319" s="2">
        <v>45184</v>
      </c>
      <c r="E319" s="1" t="s">
        <v>37</v>
      </c>
      <c r="F319" s="1" t="s">
        <v>41</v>
      </c>
      <c r="G319" s="1" t="s">
        <v>24</v>
      </c>
      <c r="H319" s="1" t="s">
        <v>25</v>
      </c>
      <c r="I319" s="1" t="s">
        <v>19</v>
      </c>
      <c r="J319" s="1" t="s">
        <v>20</v>
      </c>
      <c r="K319" s="1" t="s">
        <v>45</v>
      </c>
      <c r="L319" s="1">
        <v>6</v>
      </c>
      <c r="M319" s="1">
        <v>2632.72</v>
      </c>
      <c r="N319" s="1">
        <v>0</v>
      </c>
      <c r="O319" s="1">
        <v>15796.32</v>
      </c>
    </row>
    <row r="320" spans="1:15" x14ac:dyDescent="0.3">
      <c r="A320" s="1">
        <v>10310</v>
      </c>
      <c r="B320" s="1">
        <v>1766</v>
      </c>
      <c r="C320" s="2">
        <v>44948</v>
      </c>
      <c r="D320" s="2">
        <v>44951</v>
      </c>
      <c r="E320" s="1" t="s">
        <v>37</v>
      </c>
      <c r="F320" s="1" t="s">
        <v>41</v>
      </c>
      <c r="G320" s="1" t="s">
        <v>17</v>
      </c>
      <c r="H320" s="1" t="s">
        <v>44</v>
      </c>
      <c r="I320" s="1" t="s">
        <v>49</v>
      </c>
      <c r="J320" s="1" t="s">
        <v>51</v>
      </c>
      <c r="K320" s="1" t="s">
        <v>33</v>
      </c>
      <c r="L320" s="1">
        <v>6</v>
      </c>
      <c r="M320" s="1">
        <v>2938.38</v>
      </c>
      <c r="N320" s="1">
        <v>5</v>
      </c>
      <c r="O320" s="1">
        <v>16748.77</v>
      </c>
    </row>
    <row r="321" spans="1:15" x14ac:dyDescent="0.3">
      <c r="A321" s="1">
        <v>10056</v>
      </c>
      <c r="B321" s="1">
        <v>1831</v>
      </c>
      <c r="C321" s="2">
        <v>44929</v>
      </c>
      <c r="D321" s="2">
        <v>44934</v>
      </c>
      <c r="E321" s="1" t="s">
        <v>37</v>
      </c>
      <c r="F321" s="1" t="s">
        <v>29</v>
      </c>
      <c r="G321" s="1" t="s">
        <v>17</v>
      </c>
      <c r="H321" s="1" t="s">
        <v>42</v>
      </c>
      <c r="I321" s="1" t="s">
        <v>57</v>
      </c>
      <c r="J321" s="1" t="s">
        <v>62</v>
      </c>
      <c r="K321" s="1" t="s">
        <v>45</v>
      </c>
      <c r="L321" s="1">
        <v>6</v>
      </c>
      <c r="M321" s="1">
        <v>3402.72</v>
      </c>
      <c r="N321" s="1">
        <v>15</v>
      </c>
      <c r="O321" s="1">
        <v>17353.87</v>
      </c>
    </row>
    <row r="322" spans="1:15" x14ac:dyDescent="0.3">
      <c r="A322" s="1">
        <v>10153</v>
      </c>
      <c r="B322" s="1">
        <v>1040</v>
      </c>
      <c r="C322" s="2">
        <v>45282</v>
      </c>
      <c r="D322" s="2">
        <v>45287</v>
      </c>
      <c r="E322" s="1" t="s">
        <v>37</v>
      </c>
      <c r="F322" s="1" t="s">
        <v>29</v>
      </c>
      <c r="G322" s="1" t="s">
        <v>30</v>
      </c>
      <c r="H322" s="1" t="s">
        <v>25</v>
      </c>
      <c r="I322" s="1" t="s">
        <v>19</v>
      </c>
      <c r="J322" s="1" t="s">
        <v>66</v>
      </c>
      <c r="K322" s="1" t="s">
        <v>28</v>
      </c>
      <c r="L322" s="1">
        <v>6</v>
      </c>
      <c r="M322" s="1">
        <v>351.71</v>
      </c>
      <c r="N322" s="1">
        <v>10</v>
      </c>
      <c r="O322" s="1">
        <v>1899.23</v>
      </c>
    </row>
    <row r="323" spans="1:15" x14ac:dyDescent="0.3">
      <c r="A323" s="1">
        <v>10303</v>
      </c>
      <c r="B323" s="1">
        <v>1246</v>
      </c>
      <c r="C323" s="2">
        <v>45124</v>
      </c>
      <c r="D323" s="2">
        <v>45125</v>
      </c>
      <c r="E323" s="1" t="s">
        <v>37</v>
      </c>
      <c r="F323" s="1" t="s">
        <v>29</v>
      </c>
      <c r="G323" s="1" t="s">
        <v>17</v>
      </c>
      <c r="H323" s="1" t="s">
        <v>25</v>
      </c>
      <c r="I323" s="1" t="s">
        <v>57</v>
      </c>
      <c r="J323" s="1" t="s">
        <v>67</v>
      </c>
      <c r="K323" s="1" t="s">
        <v>21</v>
      </c>
      <c r="L323" s="1">
        <v>6</v>
      </c>
      <c r="M323" s="1">
        <v>257.2</v>
      </c>
      <c r="N323" s="1">
        <v>0</v>
      </c>
      <c r="O323" s="1">
        <v>1543.2</v>
      </c>
    </row>
    <row r="324" spans="1:15" x14ac:dyDescent="0.3">
      <c r="A324" s="1">
        <v>10170</v>
      </c>
      <c r="B324" s="1">
        <v>1725</v>
      </c>
      <c r="C324" s="2">
        <v>45044</v>
      </c>
      <c r="D324" s="2">
        <v>45048</v>
      </c>
      <c r="E324" s="1" t="s">
        <v>37</v>
      </c>
      <c r="F324" s="1" t="s">
        <v>16</v>
      </c>
      <c r="G324" s="1" t="s">
        <v>24</v>
      </c>
      <c r="H324" s="1" t="s">
        <v>18</v>
      </c>
      <c r="I324" s="1" t="s">
        <v>31</v>
      </c>
      <c r="J324" s="1" t="s">
        <v>65</v>
      </c>
      <c r="K324" s="1" t="s">
        <v>33</v>
      </c>
      <c r="L324" s="1">
        <v>7</v>
      </c>
      <c r="M324" s="1">
        <v>2964.96</v>
      </c>
      <c r="N324" s="1">
        <v>5</v>
      </c>
      <c r="O324" s="1">
        <v>19716.98</v>
      </c>
    </row>
    <row r="325" spans="1:15" x14ac:dyDescent="0.3">
      <c r="A325" s="1">
        <v>10234</v>
      </c>
      <c r="B325" s="1">
        <v>1347</v>
      </c>
      <c r="C325" s="2">
        <v>45290</v>
      </c>
      <c r="D325" s="2">
        <v>45295</v>
      </c>
      <c r="E325" s="1" t="s">
        <v>37</v>
      </c>
      <c r="F325" s="1" t="s">
        <v>16</v>
      </c>
      <c r="G325" s="1" t="s">
        <v>30</v>
      </c>
      <c r="H325" s="1" t="s">
        <v>44</v>
      </c>
      <c r="I325" s="1" t="s">
        <v>31</v>
      </c>
      <c r="J325" s="1" t="s">
        <v>48</v>
      </c>
      <c r="K325" s="1" t="s">
        <v>33</v>
      </c>
      <c r="L325" s="1">
        <v>7</v>
      </c>
      <c r="M325" s="1">
        <v>324.38</v>
      </c>
      <c r="N325" s="1">
        <v>10</v>
      </c>
      <c r="O325" s="1">
        <v>2043.59</v>
      </c>
    </row>
    <row r="326" spans="1:15" x14ac:dyDescent="0.3">
      <c r="A326" s="1">
        <v>10321</v>
      </c>
      <c r="B326" s="1">
        <v>1143</v>
      </c>
      <c r="C326" s="2">
        <v>45270</v>
      </c>
      <c r="D326" s="2">
        <v>45275</v>
      </c>
      <c r="E326" s="1" t="s">
        <v>37</v>
      </c>
      <c r="F326" s="1" t="s">
        <v>16</v>
      </c>
      <c r="G326" s="1" t="s">
        <v>30</v>
      </c>
      <c r="H326" s="1" t="s">
        <v>42</v>
      </c>
      <c r="I326" s="1" t="s">
        <v>52</v>
      </c>
      <c r="J326" s="1" t="s">
        <v>60</v>
      </c>
      <c r="K326" s="1" t="s">
        <v>45</v>
      </c>
      <c r="L326" s="1">
        <v>7</v>
      </c>
      <c r="M326" s="1">
        <v>3383.31</v>
      </c>
      <c r="N326" s="1">
        <v>20</v>
      </c>
      <c r="O326" s="1">
        <v>18946.54</v>
      </c>
    </row>
    <row r="327" spans="1:15" x14ac:dyDescent="0.3">
      <c r="A327" s="1">
        <v>10409</v>
      </c>
      <c r="B327" s="1">
        <v>1705</v>
      </c>
      <c r="C327" s="2">
        <v>45028</v>
      </c>
      <c r="D327" s="2">
        <v>45034</v>
      </c>
      <c r="E327" s="1" t="s">
        <v>37</v>
      </c>
      <c r="F327" s="1" t="s">
        <v>16</v>
      </c>
      <c r="G327" s="1" t="s">
        <v>24</v>
      </c>
      <c r="H327" s="1" t="s">
        <v>18</v>
      </c>
      <c r="I327" s="1" t="s">
        <v>31</v>
      </c>
      <c r="J327" s="1" t="s">
        <v>39</v>
      </c>
      <c r="K327" s="1" t="s">
        <v>33</v>
      </c>
      <c r="L327" s="1">
        <v>7</v>
      </c>
      <c r="M327" s="1">
        <v>1020.23</v>
      </c>
      <c r="N327" s="1">
        <v>10</v>
      </c>
      <c r="O327" s="1">
        <v>6427.45</v>
      </c>
    </row>
    <row r="328" spans="1:15" x14ac:dyDescent="0.3">
      <c r="A328" s="1">
        <v>10005</v>
      </c>
      <c r="B328" s="1">
        <v>1106</v>
      </c>
      <c r="C328" s="2">
        <v>45241</v>
      </c>
      <c r="D328" s="2">
        <v>45244</v>
      </c>
      <c r="E328" s="1" t="s">
        <v>37</v>
      </c>
      <c r="F328" s="1" t="s">
        <v>38</v>
      </c>
      <c r="G328" s="1" t="s">
        <v>30</v>
      </c>
      <c r="H328" s="1" t="s">
        <v>18</v>
      </c>
      <c r="I328" s="1" t="s">
        <v>31</v>
      </c>
      <c r="J328" s="1" t="s">
        <v>39</v>
      </c>
      <c r="K328" s="1" t="s">
        <v>21</v>
      </c>
      <c r="L328" s="1">
        <v>7</v>
      </c>
      <c r="M328" s="1">
        <v>3511.47</v>
      </c>
      <c r="N328" s="1">
        <v>20</v>
      </c>
      <c r="O328" s="1">
        <v>19664.23</v>
      </c>
    </row>
    <row r="329" spans="1:15" x14ac:dyDescent="0.3">
      <c r="A329" s="1">
        <v>10325</v>
      </c>
      <c r="B329" s="1">
        <v>1186</v>
      </c>
      <c r="C329" s="2">
        <v>45025</v>
      </c>
      <c r="D329" s="2">
        <v>45030</v>
      </c>
      <c r="E329" s="1" t="s">
        <v>37</v>
      </c>
      <c r="F329" s="1" t="s">
        <v>38</v>
      </c>
      <c r="G329" s="1" t="s">
        <v>30</v>
      </c>
      <c r="H329" s="1" t="s">
        <v>35</v>
      </c>
      <c r="I329" s="1" t="s">
        <v>52</v>
      </c>
      <c r="J329" s="1" t="s">
        <v>64</v>
      </c>
      <c r="K329" s="1" t="s">
        <v>45</v>
      </c>
      <c r="L329" s="1">
        <v>7</v>
      </c>
      <c r="M329" s="1">
        <v>730.15</v>
      </c>
      <c r="N329" s="1">
        <v>0</v>
      </c>
      <c r="O329" s="1">
        <v>5111.05</v>
      </c>
    </row>
    <row r="330" spans="1:15" x14ac:dyDescent="0.3">
      <c r="A330" s="1">
        <v>10061</v>
      </c>
      <c r="B330" s="1">
        <v>1646</v>
      </c>
      <c r="C330" s="2">
        <v>44956</v>
      </c>
      <c r="D330" s="2">
        <v>44957</v>
      </c>
      <c r="E330" s="1" t="s">
        <v>37</v>
      </c>
      <c r="F330" s="1" t="s">
        <v>54</v>
      </c>
      <c r="G330" s="1" t="s">
        <v>24</v>
      </c>
      <c r="H330" s="1" t="s">
        <v>42</v>
      </c>
      <c r="I330" s="1" t="s">
        <v>26</v>
      </c>
      <c r="J330" s="1" t="s">
        <v>36</v>
      </c>
      <c r="K330" s="1" t="s">
        <v>45</v>
      </c>
      <c r="L330" s="1">
        <v>7</v>
      </c>
      <c r="M330" s="1">
        <v>319.56</v>
      </c>
      <c r="N330" s="1">
        <v>10</v>
      </c>
      <c r="O330" s="1">
        <v>2013.23</v>
      </c>
    </row>
    <row r="331" spans="1:15" x14ac:dyDescent="0.3">
      <c r="A331" s="1">
        <v>10143</v>
      </c>
      <c r="B331" s="1">
        <v>1498</v>
      </c>
      <c r="C331" s="2">
        <v>44986</v>
      </c>
      <c r="D331" s="2">
        <v>44993</v>
      </c>
      <c r="E331" s="1" t="s">
        <v>37</v>
      </c>
      <c r="F331" s="1" t="s">
        <v>54</v>
      </c>
      <c r="G331" s="1" t="s">
        <v>30</v>
      </c>
      <c r="H331" s="1" t="s">
        <v>25</v>
      </c>
      <c r="I331" s="1" t="s">
        <v>57</v>
      </c>
      <c r="J331" s="1" t="s">
        <v>58</v>
      </c>
      <c r="K331" s="1" t="s">
        <v>21</v>
      </c>
      <c r="L331" s="1">
        <v>7</v>
      </c>
      <c r="M331" s="1">
        <v>3680.23</v>
      </c>
      <c r="N331" s="1">
        <v>5</v>
      </c>
      <c r="O331" s="1">
        <v>24473.53</v>
      </c>
    </row>
    <row r="332" spans="1:15" x14ac:dyDescent="0.3">
      <c r="A332" s="1">
        <v>10289</v>
      </c>
      <c r="B332" s="1">
        <v>1854</v>
      </c>
      <c r="C332" s="2">
        <v>45012</v>
      </c>
      <c r="D332" s="2">
        <v>45014</v>
      </c>
      <c r="E332" s="1" t="s">
        <v>37</v>
      </c>
      <c r="F332" s="1" t="s">
        <v>54</v>
      </c>
      <c r="G332" s="1" t="s">
        <v>17</v>
      </c>
      <c r="H332" s="1" t="s">
        <v>25</v>
      </c>
      <c r="I332" s="1" t="s">
        <v>57</v>
      </c>
      <c r="J332" s="1" t="s">
        <v>58</v>
      </c>
      <c r="K332" s="1" t="s">
        <v>21</v>
      </c>
      <c r="L332" s="1">
        <v>7</v>
      </c>
      <c r="M332" s="1">
        <v>1396.71</v>
      </c>
      <c r="N332" s="1">
        <v>20</v>
      </c>
      <c r="O332" s="1">
        <v>7821.58</v>
      </c>
    </row>
    <row r="333" spans="1:15" x14ac:dyDescent="0.3">
      <c r="A333" s="1">
        <v>10330</v>
      </c>
      <c r="B333" s="1">
        <v>1659</v>
      </c>
      <c r="C333" s="2">
        <v>44958</v>
      </c>
      <c r="D333" s="2">
        <v>44966</v>
      </c>
      <c r="E333" s="1" t="s">
        <v>37</v>
      </c>
      <c r="F333" s="1" t="s">
        <v>54</v>
      </c>
      <c r="G333" s="1" t="s">
        <v>17</v>
      </c>
      <c r="H333" s="1" t="s">
        <v>44</v>
      </c>
      <c r="I333" s="1" t="s">
        <v>52</v>
      </c>
      <c r="J333" s="1" t="s">
        <v>64</v>
      </c>
      <c r="K333" s="1" t="s">
        <v>21</v>
      </c>
      <c r="L333" s="1">
        <v>7</v>
      </c>
      <c r="M333" s="1">
        <v>3978.5</v>
      </c>
      <c r="N333" s="1">
        <v>20</v>
      </c>
      <c r="O333" s="1">
        <v>22279.599999999999</v>
      </c>
    </row>
    <row r="334" spans="1:15" x14ac:dyDescent="0.3">
      <c r="A334" s="1">
        <v>10445</v>
      </c>
      <c r="B334" s="1">
        <v>1775</v>
      </c>
      <c r="C334" s="2">
        <v>44967</v>
      </c>
      <c r="D334" s="2">
        <v>44976</v>
      </c>
      <c r="E334" s="1" t="s">
        <v>37</v>
      </c>
      <c r="F334" s="1" t="s">
        <v>54</v>
      </c>
      <c r="G334" s="1" t="s">
        <v>17</v>
      </c>
      <c r="H334" s="1" t="s">
        <v>18</v>
      </c>
      <c r="I334" s="1" t="s">
        <v>31</v>
      </c>
      <c r="J334" s="1" t="s">
        <v>48</v>
      </c>
      <c r="K334" s="1" t="s">
        <v>47</v>
      </c>
      <c r="L334" s="1">
        <v>7</v>
      </c>
      <c r="M334" s="1">
        <v>3357.84</v>
      </c>
      <c r="N334" s="1">
        <v>15</v>
      </c>
      <c r="O334" s="1">
        <v>19979.150000000001</v>
      </c>
    </row>
    <row r="335" spans="1:15" x14ac:dyDescent="0.3">
      <c r="A335" s="1">
        <v>10022</v>
      </c>
      <c r="B335" s="1">
        <v>1308</v>
      </c>
      <c r="C335" s="2">
        <v>44944</v>
      </c>
      <c r="D335" s="2">
        <v>44951</v>
      </c>
      <c r="E335" s="1" t="s">
        <v>37</v>
      </c>
      <c r="F335" s="1" t="s">
        <v>23</v>
      </c>
      <c r="G335" s="1" t="s">
        <v>30</v>
      </c>
      <c r="H335" s="1" t="s">
        <v>35</v>
      </c>
      <c r="I335" s="1" t="s">
        <v>57</v>
      </c>
      <c r="J335" s="1" t="s">
        <v>58</v>
      </c>
      <c r="K335" s="1" t="s">
        <v>33</v>
      </c>
      <c r="L335" s="1">
        <v>7</v>
      </c>
      <c r="M335" s="1">
        <v>680.86</v>
      </c>
      <c r="N335" s="1">
        <v>20</v>
      </c>
      <c r="O335" s="1">
        <v>3812.82</v>
      </c>
    </row>
    <row r="336" spans="1:15" x14ac:dyDescent="0.3">
      <c r="A336" s="1">
        <v>10207</v>
      </c>
      <c r="B336" s="1">
        <v>1654</v>
      </c>
      <c r="C336" s="2">
        <v>45000</v>
      </c>
      <c r="D336" s="2">
        <v>45006</v>
      </c>
      <c r="E336" s="1" t="s">
        <v>37</v>
      </c>
      <c r="F336" s="1" t="s">
        <v>41</v>
      </c>
      <c r="G336" s="1" t="s">
        <v>24</v>
      </c>
      <c r="H336" s="1" t="s">
        <v>44</v>
      </c>
      <c r="I336" s="1" t="s">
        <v>49</v>
      </c>
      <c r="J336" s="1" t="s">
        <v>51</v>
      </c>
      <c r="K336" s="1" t="s">
        <v>33</v>
      </c>
      <c r="L336" s="1">
        <v>7</v>
      </c>
      <c r="M336" s="1">
        <v>982.56</v>
      </c>
      <c r="N336" s="1">
        <v>10</v>
      </c>
      <c r="O336" s="1">
        <v>6190.13</v>
      </c>
    </row>
    <row r="337" spans="1:15" x14ac:dyDescent="0.3">
      <c r="A337" s="1">
        <v>10041</v>
      </c>
      <c r="B337" s="1">
        <v>1058</v>
      </c>
      <c r="C337" s="2">
        <v>45211</v>
      </c>
      <c r="D337" s="2">
        <v>45220</v>
      </c>
      <c r="E337" s="1" t="s">
        <v>37</v>
      </c>
      <c r="F337" s="1" t="s">
        <v>16</v>
      </c>
      <c r="G337" s="1" t="s">
        <v>17</v>
      </c>
      <c r="H337" s="1" t="s">
        <v>25</v>
      </c>
      <c r="I337" s="1" t="s">
        <v>52</v>
      </c>
      <c r="J337" s="1" t="s">
        <v>64</v>
      </c>
      <c r="K337" s="1" t="s">
        <v>21</v>
      </c>
      <c r="L337" s="1">
        <v>8</v>
      </c>
      <c r="M337" s="1">
        <v>3158.8</v>
      </c>
      <c r="N337" s="1">
        <v>0</v>
      </c>
      <c r="O337" s="1">
        <v>25270.400000000001</v>
      </c>
    </row>
    <row r="338" spans="1:15" x14ac:dyDescent="0.3">
      <c r="A338" s="1">
        <v>10168</v>
      </c>
      <c r="B338" s="1">
        <v>1683</v>
      </c>
      <c r="C338" s="2">
        <v>45229</v>
      </c>
      <c r="D338" s="2">
        <v>45232</v>
      </c>
      <c r="E338" s="1" t="s">
        <v>37</v>
      </c>
      <c r="F338" s="1" t="s">
        <v>16</v>
      </c>
      <c r="G338" s="1" t="s">
        <v>30</v>
      </c>
      <c r="H338" s="1" t="s">
        <v>44</v>
      </c>
      <c r="I338" s="1" t="s">
        <v>52</v>
      </c>
      <c r="J338" s="1" t="s">
        <v>56</v>
      </c>
      <c r="K338" s="1" t="s">
        <v>45</v>
      </c>
      <c r="L338" s="1">
        <v>8</v>
      </c>
      <c r="M338" s="1">
        <v>187.29</v>
      </c>
      <c r="N338" s="1">
        <v>5</v>
      </c>
      <c r="O338" s="1">
        <v>1423.4</v>
      </c>
    </row>
    <row r="339" spans="1:15" x14ac:dyDescent="0.3">
      <c r="A339" s="1">
        <v>10220</v>
      </c>
      <c r="B339" s="1">
        <v>1556</v>
      </c>
      <c r="C339" s="2">
        <v>45026</v>
      </c>
      <c r="D339" s="2">
        <v>45035</v>
      </c>
      <c r="E339" s="1" t="s">
        <v>37</v>
      </c>
      <c r="F339" s="1" t="s">
        <v>16</v>
      </c>
      <c r="G339" s="1" t="s">
        <v>24</v>
      </c>
      <c r="H339" s="1" t="s">
        <v>18</v>
      </c>
      <c r="I339" s="1" t="s">
        <v>19</v>
      </c>
      <c r="J339" s="1" t="s">
        <v>55</v>
      </c>
      <c r="K339" s="1" t="s">
        <v>21</v>
      </c>
      <c r="L339" s="1">
        <v>8</v>
      </c>
      <c r="M339" s="1">
        <v>3240.98</v>
      </c>
      <c r="N339" s="1">
        <v>0</v>
      </c>
      <c r="O339" s="1">
        <v>25927.84</v>
      </c>
    </row>
    <row r="340" spans="1:15" x14ac:dyDescent="0.3">
      <c r="A340" s="1">
        <v>10424</v>
      </c>
      <c r="B340" s="1">
        <v>1895</v>
      </c>
      <c r="C340" s="2">
        <v>45115</v>
      </c>
      <c r="D340" s="2">
        <v>45123</v>
      </c>
      <c r="E340" s="1" t="s">
        <v>37</v>
      </c>
      <c r="F340" s="1" t="s">
        <v>16</v>
      </c>
      <c r="G340" s="1" t="s">
        <v>30</v>
      </c>
      <c r="H340" s="1" t="s">
        <v>42</v>
      </c>
      <c r="I340" s="1" t="s">
        <v>52</v>
      </c>
      <c r="J340" s="1" t="s">
        <v>56</v>
      </c>
      <c r="K340" s="1" t="s">
        <v>45</v>
      </c>
      <c r="L340" s="1">
        <v>8</v>
      </c>
      <c r="M340" s="1">
        <v>2164.37</v>
      </c>
      <c r="N340" s="1">
        <v>10</v>
      </c>
      <c r="O340" s="1">
        <v>15583.46</v>
      </c>
    </row>
    <row r="341" spans="1:15" x14ac:dyDescent="0.3">
      <c r="A341" s="1">
        <v>10014</v>
      </c>
      <c r="B341" s="1">
        <v>1458</v>
      </c>
      <c r="C341" s="2">
        <v>45039</v>
      </c>
      <c r="D341" s="2">
        <v>45045</v>
      </c>
      <c r="E341" s="1" t="s">
        <v>37</v>
      </c>
      <c r="F341" s="1" t="s">
        <v>38</v>
      </c>
      <c r="G341" s="1" t="s">
        <v>30</v>
      </c>
      <c r="H341" s="1" t="s">
        <v>35</v>
      </c>
      <c r="I341" s="1" t="s">
        <v>26</v>
      </c>
      <c r="J341" s="1" t="s">
        <v>36</v>
      </c>
      <c r="K341" s="1" t="s">
        <v>28</v>
      </c>
      <c r="L341" s="1">
        <v>8</v>
      </c>
      <c r="M341" s="1">
        <v>1074.27</v>
      </c>
      <c r="N341" s="1">
        <v>15</v>
      </c>
      <c r="O341" s="1">
        <v>7305.04</v>
      </c>
    </row>
    <row r="342" spans="1:15" x14ac:dyDescent="0.3">
      <c r="A342" s="1">
        <v>10357</v>
      </c>
      <c r="B342" s="1">
        <v>1414</v>
      </c>
      <c r="C342" s="2">
        <v>45205</v>
      </c>
      <c r="D342" s="2">
        <v>45213</v>
      </c>
      <c r="E342" s="1" t="s">
        <v>37</v>
      </c>
      <c r="F342" s="1" t="s">
        <v>38</v>
      </c>
      <c r="G342" s="1" t="s">
        <v>17</v>
      </c>
      <c r="H342" s="1" t="s">
        <v>25</v>
      </c>
      <c r="I342" s="1" t="s">
        <v>57</v>
      </c>
      <c r="J342" s="1" t="s">
        <v>58</v>
      </c>
      <c r="K342" s="1" t="s">
        <v>28</v>
      </c>
      <c r="L342" s="1">
        <v>8</v>
      </c>
      <c r="M342" s="1">
        <v>1300.31</v>
      </c>
      <c r="N342" s="1">
        <v>0</v>
      </c>
      <c r="O342" s="1">
        <v>10402.48</v>
      </c>
    </row>
    <row r="343" spans="1:15" x14ac:dyDescent="0.3">
      <c r="A343" s="1">
        <v>10046</v>
      </c>
      <c r="B343" s="1">
        <v>1975</v>
      </c>
      <c r="C343" s="2">
        <v>45209</v>
      </c>
      <c r="D343" s="2">
        <v>45211</v>
      </c>
      <c r="E343" s="1" t="s">
        <v>37</v>
      </c>
      <c r="F343" s="1" t="s">
        <v>54</v>
      </c>
      <c r="G343" s="1" t="s">
        <v>24</v>
      </c>
      <c r="H343" s="1" t="s">
        <v>18</v>
      </c>
      <c r="I343" s="1" t="s">
        <v>49</v>
      </c>
      <c r="J343" s="1" t="s">
        <v>51</v>
      </c>
      <c r="K343" s="1" t="s">
        <v>45</v>
      </c>
      <c r="L343" s="1">
        <v>8</v>
      </c>
      <c r="M343" s="1">
        <v>444.79</v>
      </c>
      <c r="N343" s="1">
        <v>10</v>
      </c>
      <c r="O343" s="1">
        <v>3202.49</v>
      </c>
    </row>
    <row r="344" spans="1:15" x14ac:dyDescent="0.3">
      <c r="A344" s="1">
        <v>10413</v>
      </c>
      <c r="B344" s="1">
        <v>1956</v>
      </c>
      <c r="C344" s="2">
        <v>45054</v>
      </c>
      <c r="D344" s="2">
        <v>45056</v>
      </c>
      <c r="E344" s="1" t="s">
        <v>37</v>
      </c>
      <c r="F344" s="1" t="s">
        <v>54</v>
      </c>
      <c r="G344" s="1" t="s">
        <v>24</v>
      </c>
      <c r="H344" s="1" t="s">
        <v>18</v>
      </c>
      <c r="I344" s="1" t="s">
        <v>52</v>
      </c>
      <c r="J344" s="1" t="s">
        <v>53</v>
      </c>
      <c r="K344" s="1" t="s">
        <v>28</v>
      </c>
      <c r="L344" s="1">
        <v>8</v>
      </c>
      <c r="M344" s="1">
        <v>1297.5899999999999</v>
      </c>
      <c r="N344" s="1">
        <v>0</v>
      </c>
      <c r="O344" s="1">
        <v>10380.719999999999</v>
      </c>
    </row>
    <row r="345" spans="1:15" x14ac:dyDescent="0.3">
      <c r="A345" s="1">
        <v>10083</v>
      </c>
      <c r="B345" s="1">
        <v>1942</v>
      </c>
      <c r="C345" s="2">
        <v>45228</v>
      </c>
      <c r="D345" s="2">
        <v>45232</v>
      </c>
      <c r="E345" s="1" t="s">
        <v>37</v>
      </c>
      <c r="F345" s="1" t="s">
        <v>23</v>
      </c>
      <c r="G345" s="1" t="s">
        <v>17</v>
      </c>
      <c r="H345" s="1" t="s">
        <v>25</v>
      </c>
      <c r="I345" s="1" t="s">
        <v>57</v>
      </c>
      <c r="J345" s="1" t="s">
        <v>62</v>
      </c>
      <c r="K345" s="1" t="s">
        <v>21</v>
      </c>
      <c r="L345" s="1">
        <v>8</v>
      </c>
      <c r="M345" s="1">
        <v>997.34</v>
      </c>
      <c r="N345" s="1">
        <v>5</v>
      </c>
      <c r="O345" s="1">
        <v>7579.78</v>
      </c>
    </row>
    <row r="346" spans="1:15" x14ac:dyDescent="0.3">
      <c r="A346" s="1">
        <v>10221</v>
      </c>
      <c r="B346" s="1">
        <v>1573</v>
      </c>
      <c r="C346" s="2">
        <v>45252</v>
      </c>
      <c r="D346" s="2">
        <v>45259</v>
      </c>
      <c r="E346" s="1" t="s">
        <v>37</v>
      </c>
      <c r="F346" s="1" t="s">
        <v>23</v>
      </c>
      <c r="G346" s="1" t="s">
        <v>17</v>
      </c>
      <c r="H346" s="1" t="s">
        <v>25</v>
      </c>
      <c r="I346" s="1" t="s">
        <v>19</v>
      </c>
      <c r="J346" s="1" t="s">
        <v>20</v>
      </c>
      <c r="K346" s="1" t="s">
        <v>33</v>
      </c>
      <c r="L346" s="1">
        <v>8</v>
      </c>
      <c r="M346" s="1">
        <v>1099.0999999999999</v>
      </c>
      <c r="N346" s="1">
        <v>10</v>
      </c>
      <c r="O346" s="1">
        <v>7913.52</v>
      </c>
    </row>
    <row r="347" spans="1:15" x14ac:dyDescent="0.3">
      <c r="A347" s="1">
        <v>10290</v>
      </c>
      <c r="B347" s="1">
        <v>1996</v>
      </c>
      <c r="C347" s="2">
        <v>45215</v>
      </c>
      <c r="D347" s="2">
        <v>45218</v>
      </c>
      <c r="E347" s="1" t="s">
        <v>37</v>
      </c>
      <c r="F347" s="1" t="s">
        <v>41</v>
      </c>
      <c r="G347" s="1" t="s">
        <v>30</v>
      </c>
      <c r="H347" s="1" t="s">
        <v>18</v>
      </c>
      <c r="I347" s="1" t="s">
        <v>19</v>
      </c>
      <c r="J347" s="1" t="s">
        <v>20</v>
      </c>
      <c r="K347" s="1" t="s">
        <v>28</v>
      </c>
      <c r="L347" s="1">
        <v>8</v>
      </c>
      <c r="M347" s="1">
        <v>2695.39</v>
      </c>
      <c r="N347" s="1">
        <v>10</v>
      </c>
      <c r="O347" s="1">
        <v>19406.810000000001</v>
      </c>
    </row>
    <row r="348" spans="1:15" x14ac:dyDescent="0.3">
      <c r="A348" s="1">
        <v>10162</v>
      </c>
      <c r="B348" s="1">
        <v>1502</v>
      </c>
      <c r="C348" s="2">
        <v>45072</v>
      </c>
      <c r="D348" s="2">
        <v>45074</v>
      </c>
      <c r="E348" s="1" t="s">
        <v>37</v>
      </c>
      <c r="F348" s="1" t="s">
        <v>29</v>
      </c>
      <c r="G348" s="1" t="s">
        <v>24</v>
      </c>
      <c r="H348" s="1" t="s">
        <v>44</v>
      </c>
      <c r="I348" s="1" t="s">
        <v>57</v>
      </c>
      <c r="J348" s="1" t="s">
        <v>58</v>
      </c>
      <c r="K348" s="1" t="s">
        <v>33</v>
      </c>
      <c r="L348" s="1">
        <v>8</v>
      </c>
      <c r="M348" s="1">
        <v>1227.5899999999999</v>
      </c>
      <c r="N348" s="1">
        <v>5</v>
      </c>
      <c r="O348" s="1">
        <v>9329.68</v>
      </c>
    </row>
    <row r="349" spans="1:15" x14ac:dyDescent="0.3">
      <c r="A349" s="1">
        <v>10196</v>
      </c>
      <c r="B349" s="1">
        <v>1863</v>
      </c>
      <c r="C349" s="2">
        <v>45124</v>
      </c>
      <c r="D349" s="2">
        <v>45133</v>
      </c>
      <c r="E349" s="1" t="s">
        <v>37</v>
      </c>
      <c r="F349" s="1" t="s">
        <v>29</v>
      </c>
      <c r="G349" s="1" t="s">
        <v>30</v>
      </c>
      <c r="H349" s="1" t="s">
        <v>44</v>
      </c>
      <c r="I349" s="1" t="s">
        <v>52</v>
      </c>
      <c r="J349" s="1" t="s">
        <v>53</v>
      </c>
      <c r="K349" s="1" t="s">
        <v>21</v>
      </c>
      <c r="L349" s="1">
        <v>8</v>
      </c>
      <c r="M349" s="1">
        <v>2561.86</v>
      </c>
      <c r="N349" s="1">
        <v>0</v>
      </c>
      <c r="O349" s="1">
        <v>20494.88</v>
      </c>
    </row>
    <row r="350" spans="1:15" x14ac:dyDescent="0.3">
      <c r="A350" s="1">
        <v>10315</v>
      </c>
      <c r="B350" s="1">
        <v>1609</v>
      </c>
      <c r="C350" s="2">
        <v>45024</v>
      </c>
      <c r="D350" s="2">
        <v>45029</v>
      </c>
      <c r="E350" s="1" t="s">
        <v>37</v>
      </c>
      <c r="F350" s="1" t="s">
        <v>29</v>
      </c>
      <c r="G350" s="1" t="s">
        <v>24</v>
      </c>
      <c r="H350" s="1" t="s">
        <v>18</v>
      </c>
      <c r="I350" s="1" t="s">
        <v>49</v>
      </c>
      <c r="J350" s="1" t="s">
        <v>50</v>
      </c>
      <c r="K350" s="1" t="s">
        <v>45</v>
      </c>
      <c r="L350" s="1">
        <v>8</v>
      </c>
      <c r="M350" s="1">
        <v>3253.02</v>
      </c>
      <c r="N350" s="1">
        <v>15</v>
      </c>
      <c r="O350" s="1">
        <v>22120.54</v>
      </c>
    </row>
    <row r="351" spans="1:15" x14ac:dyDescent="0.3">
      <c r="A351" s="1">
        <v>10179</v>
      </c>
      <c r="B351" s="1">
        <v>1768</v>
      </c>
      <c r="C351" s="2">
        <v>44973</v>
      </c>
      <c r="D351" s="2">
        <v>44976</v>
      </c>
      <c r="E351" s="1" t="s">
        <v>37</v>
      </c>
      <c r="F351" s="1" t="s">
        <v>16</v>
      </c>
      <c r="G351" s="1" t="s">
        <v>30</v>
      </c>
      <c r="H351" s="1" t="s">
        <v>25</v>
      </c>
      <c r="I351" s="1" t="s">
        <v>31</v>
      </c>
      <c r="J351" s="1" t="s">
        <v>32</v>
      </c>
      <c r="K351" s="1" t="s">
        <v>21</v>
      </c>
      <c r="L351" s="1">
        <v>9</v>
      </c>
      <c r="M351" s="1">
        <v>388.26</v>
      </c>
      <c r="N351" s="1">
        <v>10</v>
      </c>
      <c r="O351" s="1">
        <v>3144.91</v>
      </c>
    </row>
    <row r="352" spans="1:15" x14ac:dyDescent="0.3">
      <c r="A352" s="1">
        <v>10471</v>
      </c>
      <c r="B352" s="1">
        <v>1372</v>
      </c>
      <c r="C352" s="2">
        <v>45173</v>
      </c>
      <c r="D352" s="2">
        <v>45174</v>
      </c>
      <c r="E352" s="1" t="s">
        <v>37</v>
      </c>
      <c r="F352" s="1" t="s">
        <v>54</v>
      </c>
      <c r="G352" s="1" t="s">
        <v>17</v>
      </c>
      <c r="H352" s="1" t="s">
        <v>44</v>
      </c>
      <c r="I352" s="1" t="s">
        <v>31</v>
      </c>
      <c r="J352" s="1" t="s">
        <v>48</v>
      </c>
      <c r="K352" s="1" t="s">
        <v>33</v>
      </c>
      <c r="L352" s="1">
        <v>9</v>
      </c>
      <c r="M352" s="1">
        <v>2513.8200000000002</v>
      </c>
      <c r="N352" s="1">
        <v>5</v>
      </c>
      <c r="O352" s="1">
        <v>21493.16</v>
      </c>
    </row>
    <row r="353" spans="1:15" x14ac:dyDescent="0.3">
      <c r="A353" s="1">
        <v>10097</v>
      </c>
      <c r="B353" s="1">
        <v>1476</v>
      </c>
      <c r="C353" s="2">
        <v>45047</v>
      </c>
      <c r="D353" s="2">
        <v>45056</v>
      </c>
      <c r="E353" s="1" t="s">
        <v>37</v>
      </c>
      <c r="F353" s="1" t="s">
        <v>23</v>
      </c>
      <c r="G353" s="1" t="s">
        <v>24</v>
      </c>
      <c r="H353" s="1" t="s">
        <v>18</v>
      </c>
      <c r="I353" s="1" t="s">
        <v>52</v>
      </c>
      <c r="J353" s="1" t="s">
        <v>60</v>
      </c>
      <c r="K353" s="1" t="s">
        <v>28</v>
      </c>
      <c r="L353" s="1">
        <v>9</v>
      </c>
      <c r="M353" s="1">
        <v>501.79</v>
      </c>
      <c r="N353" s="1">
        <v>5</v>
      </c>
      <c r="O353" s="1">
        <v>4290.3</v>
      </c>
    </row>
    <row r="354" spans="1:15" x14ac:dyDescent="0.3">
      <c r="A354" s="1">
        <v>10355</v>
      </c>
      <c r="B354" s="1">
        <v>1945</v>
      </c>
      <c r="C354" s="2">
        <v>45188</v>
      </c>
      <c r="D354" s="2">
        <v>45191</v>
      </c>
      <c r="E354" s="1" t="s">
        <v>37</v>
      </c>
      <c r="F354" s="1" t="s">
        <v>23</v>
      </c>
      <c r="G354" s="1" t="s">
        <v>30</v>
      </c>
      <c r="H354" s="1" t="s">
        <v>35</v>
      </c>
      <c r="I354" s="1" t="s">
        <v>52</v>
      </c>
      <c r="J354" s="1" t="s">
        <v>53</v>
      </c>
      <c r="K354" s="1" t="s">
        <v>21</v>
      </c>
      <c r="L354" s="1">
        <v>9</v>
      </c>
      <c r="M354" s="1">
        <v>2632.88</v>
      </c>
      <c r="N354" s="1">
        <v>5</v>
      </c>
      <c r="O354" s="1">
        <v>22511.119999999999</v>
      </c>
    </row>
    <row r="355" spans="1:15" x14ac:dyDescent="0.3">
      <c r="A355" s="1">
        <v>10057</v>
      </c>
      <c r="B355" s="1">
        <v>1504</v>
      </c>
      <c r="C355" s="2">
        <v>45117</v>
      </c>
      <c r="D355" s="2">
        <v>45122</v>
      </c>
      <c r="E355" s="1" t="s">
        <v>37</v>
      </c>
      <c r="F355" s="1" t="s">
        <v>29</v>
      </c>
      <c r="G355" s="1" t="s">
        <v>17</v>
      </c>
      <c r="H355" s="1" t="s">
        <v>25</v>
      </c>
      <c r="I355" s="1" t="s">
        <v>57</v>
      </c>
      <c r="J355" s="1" t="s">
        <v>58</v>
      </c>
      <c r="K355" s="1" t="s">
        <v>33</v>
      </c>
      <c r="L355" s="1">
        <v>9</v>
      </c>
      <c r="M355" s="1">
        <v>1012.33</v>
      </c>
      <c r="N355" s="1">
        <v>20</v>
      </c>
      <c r="O355" s="1">
        <v>7288.78</v>
      </c>
    </row>
    <row r="356" spans="1:15" x14ac:dyDescent="0.3">
      <c r="A356" s="1">
        <v>10340</v>
      </c>
      <c r="B356" s="1">
        <v>1863</v>
      </c>
      <c r="C356" s="2">
        <v>45140</v>
      </c>
      <c r="D356" s="2">
        <v>45144</v>
      </c>
      <c r="E356" s="1" t="s">
        <v>37</v>
      </c>
      <c r="F356" s="1" t="s">
        <v>29</v>
      </c>
      <c r="G356" s="1" t="s">
        <v>30</v>
      </c>
      <c r="H356" s="1" t="s">
        <v>42</v>
      </c>
      <c r="I356" s="1" t="s">
        <v>49</v>
      </c>
      <c r="J356" s="1" t="s">
        <v>50</v>
      </c>
      <c r="K356" s="1" t="s">
        <v>45</v>
      </c>
      <c r="L356" s="1">
        <v>9</v>
      </c>
      <c r="M356" s="1">
        <v>1404.42</v>
      </c>
      <c r="N356" s="1">
        <v>20</v>
      </c>
      <c r="O356" s="1">
        <v>10111.82</v>
      </c>
    </row>
    <row r="357" spans="1:15" x14ac:dyDescent="0.3">
      <c r="A357" s="1">
        <v>10085</v>
      </c>
      <c r="B357" s="1">
        <v>1205</v>
      </c>
      <c r="C357" s="2">
        <v>45145</v>
      </c>
      <c r="D357" s="2">
        <v>45148</v>
      </c>
      <c r="E357" s="1" t="s">
        <v>46</v>
      </c>
      <c r="F357" s="1" t="s">
        <v>16</v>
      </c>
      <c r="G357" s="1" t="s">
        <v>30</v>
      </c>
      <c r="H357" s="1" t="s">
        <v>18</v>
      </c>
      <c r="I357" s="1" t="s">
        <v>49</v>
      </c>
      <c r="J357" s="1" t="s">
        <v>50</v>
      </c>
      <c r="K357" s="1" t="s">
        <v>28</v>
      </c>
      <c r="L357" s="1">
        <v>1</v>
      </c>
      <c r="M357" s="1">
        <v>2883.94</v>
      </c>
      <c r="N357" s="1">
        <v>20</v>
      </c>
      <c r="O357" s="1">
        <v>2307.15</v>
      </c>
    </row>
    <row r="358" spans="1:15" x14ac:dyDescent="0.3">
      <c r="A358" s="1">
        <v>10323</v>
      </c>
      <c r="B358" s="1">
        <v>1200</v>
      </c>
      <c r="C358" s="2">
        <v>44985</v>
      </c>
      <c r="D358" s="2">
        <v>44991</v>
      </c>
      <c r="E358" s="1" t="s">
        <v>46</v>
      </c>
      <c r="F358" s="1" t="s">
        <v>16</v>
      </c>
      <c r="G358" s="1" t="s">
        <v>24</v>
      </c>
      <c r="H358" s="1" t="s">
        <v>44</v>
      </c>
      <c r="I358" s="1" t="s">
        <v>31</v>
      </c>
      <c r="J358" s="1" t="s">
        <v>48</v>
      </c>
      <c r="K358" s="1" t="s">
        <v>33</v>
      </c>
      <c r="L358" s="1">
        <v>1</v>
      </c>
      <c r="M358" s="1">
        <v>3230.79</v>
      </c>
      <c r="N358" s="1">
        <v>5</v>
      </c>
      <c r="O358" s="1">
        <v>3069.25</v>
      </c>
    </row>
    <row r="359" spans="1:15" x14ac:dyDescent="0.3">
      <c r="A359" s="1">
        <v>10474</v>
      </c>
      <c r="B359" s="1">
        <v>1891</v>
      </c>
      <c r="C359" s="2">
        <v>45117</v>
      </c>
      <c r="D359" s="2">
        <v>45119</v>
      </c>
      <c r="E359" s="1" t="s">
        <v>46</v>
      </c>
      <c r="F359" s="1" t="s">
        <v>16</v>
      </c>
      <c r="G359" s="1" t="s">
        <v>17</v>
      </c>
      <c r="H359" s="1" t="s">
        <v>35</v>
      </c>
      <c r="I359" s="1" t="s">
        <v>26</v>
      </c>
      <c r="J359" s="1" t="s">
        <v>27</v>
      </c>
      <c r="K359" s="1" t="s">
        <v>45</v>
      </c>
      <c r="L359" s="1">
        <v>1</v>
      </c>
      <c r="M359" s="1">
        <v>1678.25</v>
      </c>
      <c r="N359" s="1">
        <v>15</v>
      </c>
      <c r="O359" s="1">
        <v>1426.51</v>
      </c>
    </row>
    <row r="360" spans="1:15" x14ac:dyDescent="0.3">
      <c r="A360" s="1">
        <v>10488</v>
      </c>
      <c r="B360" s="1">
        <v>1252</v>
      </c>
      <c r="C360" s="2">
        <v>45281</v>
      </c>
      <c r="D360" s="2">
        <v>45284</v>
      </c>
      <c r="E360" s="1" t="s">
        <v>46</v>
      </c>
      <c r="F360" s="1" t="s">
        <v>16</v>
      </c>
      <c r="G360" s="1" t="s">
        <v>24</v>
      </c>
      <c r="H360" s="1" t="s">
        <v>44</v>
      </c>
      <c r="I360" s="1" t="s">
        <v>52</v>
      </c>
      <c r="J360" s="1" t="s">
        <v>60</v>
      </c>
      <c r="K360" s="1" t="s">
        <v>33</v>
      </c>
      <c r="L360" s="1">
        <v>1</v>
      </c>
      <c r="M360" s="1">
        <v>296.63</v>
      </c>
      <c r="N360" s="1">
        <v>5</v>
      </c>
      <c r="O360" s="1">
        <v>281.8</v>
      </c>
    </row>
    <row r="361" spans="1:15" x14ac:dyDescent="0.3">
      <c r="A361" s="1">
        <v>10312</v>
      </c>
      <c r="B361" s="1">
        <v>1279</v>
      </c>
      <c r="C361" s="2">
        <v>44983</v>
      </c>
      <c r="D361" s="2">
        <v>44990</v>
      </c>
      <c r="E361" s="1" t="s">
        <v>46</v>
      </c>
      <c r="F361" s="1" t="s">
        <v>38</v>
      </c>
      <c r="G361" s="1" t="s">
        <v>30</v>
      </c>
      <c r="H361" s="1" t="s">
        <v>18</v>
      </c>
      <c r="I361" s="1" t="s">
        <v>52</v>
      </c>
      <c r="J361" s="1" t="s">
        <v>56</v>
      </c>
      <c r="K361" s="1" t="s">
        <v>33</v>
      </c>
      <c r="L361" s="1">
        <v>1</v>
      </c>
      <c r="M361" s="1">
        <v>2588.64</v>
      </c>
      <c r="N361" s="1">
        <v>0</v>
      </c>
      <c r="O361" s="1">
        <v>2588.64</v>
      </c>
    </row>
    <row r="362" spans="1:15" x14ac:dyDescent="0.3">
      <c r="A362" s="1">
        <v>10414</v>
      </c>
      <c r="B362" s="1">
        <v>1680</v>
      </c>
      <c r="C362" s="2">
        <v>45209</v>
      </c>
      <c r="D362" s="2">
        <v>45212</v>
      </c>
      <c r="E362" s="1" t="s">
        <v>46</v>
      </c>
      <c r="F362" s="1" t="s">
        <v>54</v>
      </c>
      <c r="G362" s="1" t="s">
        <v>30</v>
      </c>
      <c r="H362" s="1" t="s">
        <v>42</v>
      </c>
      <c r="I362" s="1" t="s">
        <v>26</v>
      </c>
      <c r="J362" s="1" t="s">
        <v>36</v>
      </c>
      <c r="K362" s="1" t="s">
        <v>45</v>
      </c>
      <c r="L362" s="1">
        <v>1</v>
      </c>
      <c r="M362" s="1">
        <v>1219.7</v>
      </c>
      <c r="N362" s="1">
        <v>5</v>
      </c>
      <c r="O362" s="1">
        <v>1158.71</v>
      </c>
    </row>
    <row r="363" spans="1:15" x14ac:dyDescent="0.3">
      <c r="A363" s="1">
        <v>10030</v>
      </c>
      <c r="B363" s="1">
        <v>1955</v>
      </c>
      <c r="C363" s="2">
        <v>45077</v>
      </c>
      <c r="D363" s="2">
        <v>45082</v>
      </c>
      <c r="E363" s="1" t="s">
        <v>46</v>
      </c>
      <c r="F363" s="1" t="s">
        <v>23</v>
      </c>
      <c r="G363" s="1" t="s">
        <v>30</v>
      </c>
      <c r="H363" s="1" t="s">
        <v>35</v>
      </c>
      <c r="I363" s="1" t="s">
        <v>26</v>
      </c>
      <c r="J363" s="1" t="s">
        <v>61</v>
      </c>
      <c r="K363" s="1" t="s">
        <v>45</v>
      </c>
      <c r="L363" s="1">
        <v>1</v>
      </c>
      <c r="M363" s="1">
        <v>349.38</v>
      </c>
      <c r="N363" s="1">
        <v>10</v>
      </c>
      <c r="O363" s="1">
        <v>314.44</v>
      </c>
    </row>
    <row r="364" spans="1:15" x14ac:dyDescent="0.3">
      <c r="A364" s="1">
        <v>10364</v>
      </c>
      <c r="B364" s="1">
        <v>1345</v>
      </c>
      <c r="C364" s="2">
        <v>45000</v>
      </c>
      <c r="D364" s="2">
        <v>45003</v>
      </c>
      <c r="E364" s="1" t="s">
        <v>46</v>
      </c>
      <c r="F364" s="1" t="s">
        <v>23</v>
      </c>
      <c r="G364" s="1" t="s">
        <v>24</v>
      </c>
      <c r="H364" s="1" t="s">
        <v>18</v>
      </c>
      <c r="I364" s="1" t="s">
        <v>57</v>
      </c>
      <c r="J364" s="1" t="s">
        <v>67</v>
      </c>
      <c r="K364" s="1" t="s">
        <v>28</v>
      </c>
      <c r="L364" s="1">
        <v>1</v>
      </c>
      <c r="M364" s="1">
        <v>3288.81</v>
      </c>
      <c r="N364" s="1">
        <v>10</v>
      </c>
      <c r="O364" s="1">
        <v>2959.93</v>
      </c>
    </row>
    <row r="365" spans="1:15" x14ac:dyDescent="0.3">
      <c r="A365" s="1">
        <v>10452</v>
      </c>
      <c r="B365" s="1">
        <v>1283</v>
      </c>
      <c r="C365" s="2">
        <v>45076</v>
      </c>
      <c r="D365" s="2">
        <v>45082</v>
      </c>
      <c r="E365" s="1" t="s">
        <v>46</v>
      </c>
      <c r="F365" s="1" t="s">
        <v>23</v>
      </c>
      <c r="G365" s="1" t="s">
        <v>24</v>
      </c>
      <c r="H365" s="1" t="s">
        <v>42</v>
      </c>
      <c r="I365" s="1" t="s">
        <v>49</v>
      </c>
      <c r="J365" s="1" t="s">
        <v>68</v>
      </c>
      <c r="K365" s="1" t="s">
        <v>28</v>
      </c>
      <c r="L365" s="1">
        <v>1</v>
      </c>
      <c r="M365" s="1">
        <v>1574.59</v>
      </c>
      <c r="N365" s="1">
        <v>5</v>
      </c>
      <c r="O365" s="1">
        <v>1495.86</v>
      </c>
    </row>
    <row r="366" spans="1:15" x14ac:dyDescent="0.3">
      <c r="A366" s="1">
        <v>10464</v>
      </c>
      <c r="B366" s="1">
        <v>1511</v>
      </c>
      <c r="C366" s="2">
        <v>45174</v>
      </c>
      <c r="D366" s="2">
        <v>45176</v>
      </c>
      <c r="E366" s="1" t="s">
        <v>46</v>
      </c>
      <c r="F366" s="1" t="s">
        <v>23</v>
      </c>
      <c r="G366" s="1" t="s">
        <v>30</v>
      </c>
      <c r="H366" s="1" t="s">
        <v>42</v>
      </c>
      <c r="I366" s="1" t="s">
        <v>31</v>
      </c>
      <c r="J366" s="1" t="s">
        <v>65</v>
      </c>
      <c r="K366" s="1" t="s">
        <v>47</v>
      </c>
      <c r="L366" s="1">
        <v>1</v>
      </c>
      <c r="M366" s="1">
        <v>559.4</v>
      </c>
      <c r="N366" s="1">
        <v>20</v>
      </c>
      <c r="O366" s="1">
        <v>447.52</v>
      </c>
    </row>
    <row r="367" spans="1:15" x14ac:dyDescent="0.3">
      <c r="A367" s="1">
        <v>10249</v>
      </c>
      <c r="B367" s="1">
        <v>1709</v>
      </c>
      <c r="C367" s="2">
        <v>45255</v>
      </c>
      <c r="D367" s="2">
        <v>45263</v>
      </c>
      <c r="E367" s="1" t="s">
        <v>46</v>
      </c>
      <c r="F367" s="1" t="s">
        <v>41</v>
      </c>
      <c r="G367" s="1" t="s">
        <v>17</v>
      </c>
      <c r="H367" s="1" t="s">
        <v>18</v>
      </c>
      <c r="I367" s="1" t="s">
        <v>31</v>
      </c>
      <c r="J367" s="1" t="s">
        <v>65</v>
      </c>
      <c r="K367" s="1" t="s">
        <v>45</v>
      </c>
      <c r="L367" s="1">
        <v>1</v>
      </c>
      <c r="M367" s="1">
        <v>3942.92</v>
      </c>
      <c r="N367" s="1">
        <v>0</v>
      </c>
      <c r="O367" s="1">
        <v>3942.92</v>
      </c>
    </row>
    <row r="368" spans="1:15" x14ac:dyDescent="0.3">
      <c r="A368" s="1">
        <v>10306</v>
      </c>
      <c r="B368" s="1">
        <v>1202</v>
      </c>
      <c r="C368" s="2">
        <v>45256</v>
      </c>
      <c r="D368" s="2">
        <v>45264</v>
      </c>
      <c r="E368" s="1" t="s">
        <v>46</v>
      </c>
      <c r="F368" s="1" t="s">
        <v>29</v>
      </c>
      <c r="G368" s="1" t="s">
        <v>30</v>
      </c>
      <c r="H368" s="1" t="s">
        <v>42</v>
      </c>
      <c r="I368" s="1" t="s">
        <v>57</v>
      </c>
      <c r="J368" s="1" t="s">
        <v>62</v>
      </c>
      <c r="K368" s="1" t="s">
        <v>28</v>
      </c>
      <c r="L368" s="1">
        <v>1</v>
      </c>
      <c r="M368" s="1">
        <v>3391.76</v>
      </c>
      <c r="N368" s="1">
        <v>20</v>
      </c>
      <c r="O368" s="1">
        <v>2713.41</v>
      </c>
    </row>
    <row r="369" spans="1:15" x14ac:dyDescent="0.3">
      <c r="A369" s="1">
        <v>10020</v>
      </c>
      <c r="B369" s="1">
        <v>1130</v>
      </c>
      <c r="C369" s="2">
        <v>45194</v>
      </c>
      <c r="D369" s="2">
        <v>45203</v>
      </c>
      <c r="E369" s="1" t="s">
        <v>46</v>
      </c>
      <c r="F369" s="1" t="s">
        <v>38</v>
      </c>
      <c r="G369" s="1" t="s">
        <v>17</v>
      </c>
      <c r="H369" s="1" t="s">
        <v>18</v>
      </c>
      <c r="I369" s="1" t="s">
        <v>49</v>
      </c>
      <c r="J369" s="1" t="s">
        <v>51</v>
      </c>
      <c r="K369" s="1" t="s">
        <v>21</v>
      </c>
      <c r="L369" s="1">
        <v>2</v>
      </c>
      <c r="M369" s="1">
        <v>3959.31</v>
      </c>
      <c r="N369" s="1">
        <v>5</v>
      </c>
      <c r="O369" s="1">
        <v>7522.69</v>
      </c>
    </row>
    <row r="370" spans="1:15" x14ac:dyDescent="0.3">
      <c r="A370" s="1">
        <v>10415</v>
      </c>
      <c r="B370" s="1">
        <v>1995</v>
      </c>
      <c r="C370" s="2">
        <v>45251</v>
      </c>
      <c r="D370" s="2">
        <v>45257</v>
      </c>
      <c r="E370" s="1" t="s">
        <v>46</v>
      </c>
      <c r="F370" s="1" t="s">
        <v>54</v>
      </c>
      <c r="G370" s="1" t="s">
        <v>17</v>
      </c>
      <c r="H370" s="1" t="s">
        <v>42</v>
      </c>
      <c r="I370" s="1" t="s">
        <v>57</v>
      </c>
      <c r="J370" s="1" t="s">
        <v>67</v>
      </c>
      <c r="K370" s="1" t="s">
        <v>28</v>
      </c>
      <c r="L370" s="1">
        <v>2</v>
      </c>
      <c r="M370" s="1">
        <v>3120.32</v>
      </c>
      <c r="N370" s="1">
        <v>20</v>
      </c>
      <c r="O370" s="1">
        <v>4992.51</v>
      </c>
    </row>
    <row r="371" spans="1:15" x14ac:dyDescent="0.3">
      <c r="A371" s="1">
        <v>10139</v>
      </c>
      <c r="B371" s="1">
        <v>1647</v>
      </c>
      <c r="C371" s="2">
        <v>45084</v>
      </c>
      <c r="D371" s="2">
        <v>45087</v>
      </c>
      <c r="E371" s="1" t="s">
        <v>46</v>
      </c>
      <c r="F371" s="1" t="s">
        <v>23</v>
      </c>
      <c r="G371" s="1" t="s">
        <v>17</v>
      </c>
      <c r="H371" s="1" t="s">
        <v>42</v>
      </c>
      <c r="I371" s="1" t="s">
        <v>52</v>
      </c>
      <c r="J371" s="1" t="s">
        <v>53</v>
      </c>
      <c r="K371" s="1" t="s">
        <v>45</v>
      </c>
      <c r="L371" s="1">
        <v>2</v>
      </c>
      <c r="M371" s="1">
        <v>402.91</v>
      </c>
      <c r="N371" s="1">
        <v>10</v>
      </c>
      <c r="O371" s="1">
        <v>725.24</v>
      </c>
    </row>
    <row r="372" spans="1:15" x14ac:dyDescent="0.3">
      <c r="A372" s="1">
        <v>10352</v>
      </c>
      <c r="B372" s="1">
        <v>1987</v>
      </c>
      <c r="C372" s="2">
        <v>45023</v>
      </c>
      <c r="D372" s="2">
        <v>45026</v>
      </c>
      <c r="E372" s="1" t="s">
        <v>46</v>
      </c>
      <c r="F372" s="1" t="s">
        <v>23</v>
      </c>
      <c r="G372" s="1" t="s">
        <v>30</v>
      </c>
      <c r="H372" s="1" t="s">
        <v>18</v>
      </c>
      <c r="I372" s="1" t="s">
        <v>26</v>
      </c>
      <c r="J372" s="1" t="s">
        <v>36</v>
      </c>
      <c r="K372" s="1" t="s">
        <v>45</v>
      </c>
      <c r="L372" s="1">
        <v>2</v>
      </c>
      <c r="M372" s="1">
        <v>2071.04</v>
      </c>
      <c r="N372" s="1">
        <v>20</v>
      </c>
      <c r="O372" s="1">
        <v>3313.66</v>
      </c>
    </row>
    <row r="373" spans="1:15" x14ac:dyDescent="0.3">
      <c r="A373" s="1">
        <v>10305</v>
      </c>
      <c r="B373" s="1">
        <v>1438</v>
      </c>
      <c r="C373" s="2">
        <v>44991</v>
      </c>
      <c r="D373" s="2">
        <v>44993</v>
      </c>
      <c r="E373" s="1" t="s">
        <v>46</v>
      </c>
      <c r="F373" s="1" t="s">
        <v>41</v>
      </c>
      <c r="G373" s="1" t="s">
        <v>17</v>
      </c>
      <c r="H373" s="1" t="s">
        <v>35</v>
      </c>
      <c r="I373" s="1" t="s">
        <v>31</v>
      </c>
      <c r="J373" s="1" t="s">
        <v>48</v>
      </c>
      <c r="K373" s="1" t="s">
        <v>21</v>
      </c>
      <c r="L373" s="1">
        <v>2</v>
      </c>
      <c r="M373" s="1">
        <v>3256.02</v>
      </c>
      <c r="N373" s="1">
        <v>20</v>
      </c>
      <c r="O373" s="1">
        <v>5209.63</v>
      </c>
    </row>
    <row r="374" spans="1:15" x14ac:dyDescent="0.3">
      <c r="A374" s="1">
        <v>10089</v>
      </c>
      <c r="B374" s="1">
        <v>1871</v>
      </c>
      <c r="C374" s="2">
        <v>45012</v>
      </c>
      <c r="D374" s="2">
        <v>45016</v>
      </c>
      <c r="E374" s="1" t="s">
        <v>46</v>
      </c>
      <c r="F374" s="1" t="s">
        <v>16</v>
      </c>
      <c r="G374" s="1" t="s">
        <v>24</v>
      </c>
      <c r="H374" s="1" t="s">
        <v>42</v>
      </c>
      <c r="I374" s="1" t="s">
        <v>31</v>
      </c>
      <c r="J374" s="1" t="s">
        <v>48</v>
      </c>
      <c r="K374" s="1" t="s">
        <v>45</v>
      </c>
      <c r="L374" s="1">
        <v>3</v>
      </c>
      <c r="M374" s="1">
        <v>1160.02</v>
      </c>
      <c r="N374" s="1">
        <v>10</v>
      </c>
      <c r="O374" s="1">
        <v>3132.05</v>
      </c>
    </row>
    <row r="375" spans="1:15" x14ac:dyDescent="0.3">
      <c r="A375" s="1">
        <v>10351</v>
      </c>
      <c r="B375" s="1">
        <v>1778</v>
      </c>
      <c r="C375" s="2">
        <v>44970</v>
      </c>
      <c r="D375" s="2">
        <v>44972</v>
      </c>
      <c r="E375" s="1" t="s">
        <v>46</v>
      </c>
      <c r="F375" s="1" t="s">
        <v>16</v>
      </c>
      <c r="G375" s="1" t="s">
        <v>30</v>
      </c>
      <c r="H375" s="1" t="s">
        <v>35</v>
      </c>
      <c r="I375" s="1" t="s">
        <v>31</v>
      </c>
      <c r="J375" s="1" t="s">
        <v>32</v>
      </c>
      <c r="K375" s="1" t="s">
        <v>45</v>
      </c>
      <c r="L375" s="1">
        <v>3</v>
      </c>
      <c r="M375" s="1">
        <v>1923.58</v>
      </c>
      <c r="N375" s="1">
        <v>15</v>
      </c>
      <c r="O375" s="1">
        <v>4905.13</v>
      </c>
    </row>
    <row r="376" spans="1:15" x14ac:dyDescent="0.3">
      <c r="A376" s="1">
        <v>10411</v>
      </c>
      <c r="B376" s="1">
        <v>1162</v>
      </c>
      <c r="C376" s="2">
        <v>44985</v>
      </c>
      <c r="D376" s="2">
        <v>44993</v>
      </c>
      <c r="E376" s="1" t="s">
        <v>46</v>
      </c>
      <c r="F376" s="1" t="s">
        <v>16</v>
      </c>
      <c r="G376" s="1" t="s">
        <v>30</v>
      </c>
      <c r="H376" s="1" t="s">
        <v>25</v>
      </c>
      <c r="I376" s="1" t="s">
        <v>19</v>
      </c>
      <c r="J376" s="1" t="s">
        <v>43</v>
      </c>
      <c r="K376" s="1" t="s">
        <v>33</v>
      </c>
      <c r="L376" s="1">
        <v>3</v>
      </c>
      <c r="M376" s="1">
        <v>2165.7199999999998</v>
      </c>
      <c r="N376" s="1">
        <v>5</v>
      </c>
      <c r="O376" s="1">
        <v>6172.3</v>
      </c>
    </row>
    <row r="377" spans="1:15" x14ac:dyDescent="0.3">
      <c r="A377" s="1">
        <v>10092</v>
      </c>
      <c r="B377" s="1">
        <v>1389</v>
      </c>
      <c r="C377" s="2">
        <v>45240</v>
      </c>
      <c r="D377" s="2">
        <v>45246</v>
      </c>
      <c r="E377" s="1" t="s">
        <v>46</v>
      </c>
      <c r="F377" s="1" t="s">
        <v>38</v>
      </c>
      <c r="G377" s="1" t="s">
        <v>30</v>
      </c>
      <c r="H377" s="1" t="s">
        <v>18</v>
      </c>
      <c r="I377" s="1" t="s">
        <v>49</v>
      </c>
      <c r="J377" s="1" t="s">
        <v>50</v>
      </c>
      <c r="K377" s="1" t="s">
        <v>33</v>
      </c>
      <c r="L377" s="1">
        <v>3</v>
      </c>
      <c r="M377" s="1">
        <v>343.33</v>
      </c>
      <c r="N377" s="1">
        <v>5</v>
      </c>
      <c r="O377" s="1">
        <v>978.49</v>
      </c>
    </row>
    <row r="378" spans="1:15" x14ac:dyDescent="0.3">
      <c r="A378" s="1">
        <v>10099</v>
      </c>
      <c r="B378" s="1">
        <v>1401</v>
      </c>
      <c r="C378" s="2">
        <v>45001</v>
      </c>
      <c r="D378" s="2">
        <v>45009</v>
      </c>
      <c r="E378" s="1" t="s">
        <v>46</v>
      </c>
      <c r="F378" s="1" t="s">
        <v>38</v>
      </c>
      <c r="G378" s="1" t="s">
        <v>17</v>
      </c>
      <c r="H378" s="1" t="s">
        <v>42</v>
      </c>
      <c r="I378" s="1" t="s">
        <v>52</v>
      </c>
      <c r="J378" s="1" t="s">
        <v>53</v>
      </c>
      <c r="K378" s="1" t="s">
        <v>28</v>
      </c>
      <c r="L378" s="1">
        <v>3</v>
      </c>
      <c r="M378" s="1">
        <v>315.75</v>
      </c>
      <c r="N378" s="1">
        <v>20</v>
      </c>
      <c r="O378" s="1">
        <v>757.8</v>
      </c>
    </row>
    <row r="379" spans="1:15" x14ac:dyDescent="0.3">
      <c r="A379" s="1">
        <v>10429</v>
      </c>
      <c r="B379" s="1">
        <v>1639</v>
      </c>
      <c r="C379" s="2">
        <v>45290</v>
      </c>
      <c r="D379" s="2">
        <v>45297</v>
      </c>
      <c r="E379" s="1" t="s">
        <v>46</v>
      </c>
      <c r="F379" s="1" t="s">
        <v>38</v>
      </c>
      <c r="G379" s="1" t="s">
        <v>17</v>
      </c>
      <c r="H379" s="1" t="s">
        <v>18</v>
      </c>
      <c r="I379" s="1" t="s">
        <v>52</v>
      </c>
      <c r="J379" s="1" t="s">
        <v>56</v>
      </c>
      <c r="K379" s="1" t="s">
        <v>33</v>
      </c>
      <c r="L379" s="1">
        <v>3</v>
      </c>
      <c r="M379" s="1">
        <v>742.59</v>
      </c>
      <c r="N379" s="1">
        <v>10</v>
      </c>
      <c r="O379" s="1">
        <v>2004.99</v>
      </c>
    </row>
    <row r="380" spans="1:15" x14ac:dyDescent="0.3">
      <c r="A380" s="1">
        <v>10106</v>
      </c>
      <c r="B380" s="1">
        <v>1269</v>
      </c>
      <c r="C380" s="2">
        <v>45112</v>
      </c>
      <c r="D380" s="2">
        <v>45113</v>
      </c>
      <c r="E380" s="1" t="s">
        <v>46</v>
      </c>
      <c r="F380" s="1" t="s">
        <v>23</v>
      </c>
      <c r="G380" s="1" t="s">
        <v>30</v>
      </c>
      <c r="H380" s="1" t="s">
        <v>25</v>
      </c>
      <c r="I380" s="1" t="s">
        <v>49</v>
      </c>
      <c r="J380" s="1" t="s">
        <v>63</v>
      </c>
      <c r="K380" s="1" t="s">
        <v>47</v>
      </c>
      <c r="L380" s="1">
        <v>3</v>
      </c>
      <c r="M380" s="1">
        <v>3781.22</v>
      </c>
      <c r="N380" s="1">
        <v>5</v>
      </c>
      <c r="O380" s="1">
        <v>10776.48</v>
      </c>
    </row>
    <row r="381" spans="1:15" x14ac:dyDescent="0.3">
      <c r="A381" s="1">
        <v>10021</v>
      </c>
      <c r="B381" s="1">
        <v>1661</v>
      </c>
      <c r="C381" s="2">
        <v>45159</v>
      </c>
      <c r="D381" s="2">
        <v>45163</v>
      </c>
      <c r="E381" s="1" t="s">
        <v>46</v>
      </c>
      <c r="F381" s="1" t="s">
        <v>29</v>
      </c>
      <c r="G381" s="1" t="s">
        <v>24</v>
      </c>
      <c r="H381" s="1" t="s">
        <v>18</v>
      </c>
      <c r="I381" s="1" t="s">
        <v>52</v>
      </c>
      <c r="J381" s="1" t="s">
        <v>56</v>
      </c>
      <c r="K381" s="1" t="s">
        <v>21</v>
      </c>
      <c r="L381" s="1">
        <v>3</v>
      </c>
      <c r="M381" s="1">
        <v>2361.58</v>
      </c>
      <c r="N381" s="1">
        <v>5</v>
      </c>
      <c r="O381" s="1">
        <v>6730.5</v>
      </c>
    </row>
    <row r="382" spans="1:15" x14ac:dyDescent="0.3">
      <c r="A382" s="1">
        <v>10029</v>
      </c>
      <c r="B382" s="1">
        <v>1191</v>
      </c>
      <c r="C382" s="2">
        <v>45061</v>
      </c>
      <c r="D382" s="2">
        <v>45067</v>
      </c>
      <c r="E382" s="1" t="s">
        <v>46</v>
      </c>
      <c r="F382" s="1" t="s">
        <v>29</v>
      </c>
      <c r="G382" s="1" t="s">
        <v>17</v>
      </c>
      <c r="H382" s="1" t="s">
        <v>18</v>
      </c>
      <c r="I382" s="1" t="s">
        <v>26</v>
      </c>
      <c r="J382" s="1" t="s">
        <v>27</v>
      </c>
      <c r="K382" s="1" t="s">
        <v>33</v>
      </c>
      <c r="L382" s="1">
        <v>3</v>
      </c>
      <c r="M382" s="1">
        <v>759.47</v>
      </c>
      <c r="N382" s="1">
        <v>15</v>
      </c>
      <c r="O382" s="1">
        <v>1936.65</v>
      </c>
    </row>
    <row r="383" spans="1:15" x14ac:dyDescent="0.3">
      <c r="A383" s="1">
        <v>10008</v>
      </c>
      <c r="B383" s="1">
        <v>1020</v>
      </c>
      <c r="C383" s="2">
        <v>45040</v>
      </c>
      <c r="D383" s="2">
        <v>45041</v>
      </c>
      <c r="E383" s="1" t="s">
        <v>46</v>
      </c>
      <c r="F383" s="1" t="s">
        <v>16</v>
      </c>
      <c r="G383" s="1" t="s">
        <v>24</v>
      </c>
      <c r="H383" s="1" t="s">
        <v>18</v>
      </c>
      <c r="I383" s="1" t="s">
        <v>31</v>
      </c>
      <c r="J383" s="1" t="s">
        <v>32</v>
      </c>
      <c r="K383" s="1" t="s">
        <v>47</v>
      </c>
      <c r="L383" s="1">
        <v>4</v>
      </c>
      <c r="M383" s="1">
        <v>2310.83</v>
      </c>
      <c r="N383" s="1">
        <v>10</v>
      </c>
      <c r="O383" s="1">
        <v>8318.99</v>
      </c>
    </row>
    <row r="384" spans="1:15" x14ac:dyDescent="0.3">
      <c r="A384" s="1">
        <v>10193</v>
      </c>
      <c r="B384" s="1">
        <v>1460</v>
      </c>
      <c r="C384" s="2">
        <v>45276</v>
      </c>
      <c r="D384" s="2">
        <v>45284</v>
      </c>
      <c r="E384" s="1" t="s">
        <v>46</v>
      </c>
      <c r="F384" s="1" t="s">
        <v>38</v>
      </c>
      <c r="G384" s="1" t="s">
        <v>30</v>
      </c>
      <c r="H384" s="1" t="s">
        <v>25</v>
      </c>
      <c r="I384" s="1" t="s">
        <v>49</v>
      </c>
      <c r="J384" s="1" t="s">
        <v>51</v>
      </c>
      <c r="K384" s="1" t="s">
        <v>33</v>
      </c>
      <c r="L384" s="1">
        <v>4</v>
      </c>
      <c r="M384" s="1">
        <v>496.18</v>
      </c>
      <c r="N384" s="1">
        <v>15</v>
      </c>
      <c r="O384" s="1">
        <v>1687.01</v>
      </c>
    </row>
    <row r="385" spans="1:15" x14ac:dyDescent="0.3">
      <c r="A385" s="1">
        <v>10461</v>
      </c>
      <c r="B385" s="1">
        <v>1546</v>
      </c>
      <c r="C385" s="2">
        <v>45138</v>
      </c>
      <c r="D385" s="2">
        <v>45142</v>
      </c>
      <c r="E385" s="1" t="s">
        <v>46</v>
      </c>
      <c r="F385" s="1" t="s">
        <v>38</v>
      </c>
      <c r="G385" s="1" t="s">
        <v>30</v>
      </c>
      <c r="H385" s="1" t="s">
        <v>18</v>
      </c>
      <c r="I385" s="1" t="s">
        <v>52</v>
      </c>
      <c r="J385" s="1" t="s">
        <v>64</v>
      </c>
      <c r="K385" s="1" t="s">
        <v>47</v>
      </c>
      <c r="L385" s="1">
        <v>4</v>
      </c>
      <c r="M385" s="1">
        <v>789.3</v>
      </c>
      <c r="N385" s="1">
        <v>15</v>
      </c>
      <c r="O385" s="1">
        <v>2683.62</v>
      </c>
    </row>
    <row r="386" spans="1:15" x14ac:dyDescent="0.3">
      <c r="A386" s="1">
        <v>10476</v>
      </c>
      <c r="B386" s="1">
        <v>1036</v>
      </c>
      <c r="C386" s="2">
        <v>44930</v>
      </c>
      <c r="D386" s="2">
        <v>44936</v>
      </c>
      <c r="E386" s="1" t="s">
        <v>46</v>
      </c>
      <c r="F386" s="1" t="s">
        <v>38</v>
      </c>
      <c r="G386" s="1" t="s">
        <v>30</v>
      </c>
      <c r="H386" s="1" t="s">
        <v>35</v>
      </c>
      <c r="I386" s="1" t="s">
        <v>19</v>
      </c>
      <c r="J386" s="1" t="s">
        <v>20</v>
      </c>
      <c r="K386" s="1" t="s">
        <v>45</v>
      </c>
      <c r="L386" s="1">
        <v>4</v>
      </c>
      <c r="M386" s="1">
        <v>1747.6</v>
      </c>
      <c r="N386" s="1">
        <v>20</v>
      </c>
      <c r="O386" s="1">
        <v>5592.32</v>
      </c>
    </row>
    <row r="387" spans="1:15" x14ac:dyDescent="0.3">
      <c r="A387" s="1">
        <v>10311</v>
      </c>
      <c r="B387" s="1">
        <v>1293</v>
      </c>
      <c r="C387" s="2">
        <v>45038</v>
      </c>
      <c r="D387" s="2">
        <v>45043</v>
      </c>
      <c r="E387" s="1" t="s">
        <v>46</v>
      </c>
      <c r="F387" s="1" t="s">
        <v>23</v>
      </c>
      <c r="G387" s="1" t="s">
        <v>24</v>
      </c>
      <c r="H387" s="1" t="s">
        <v>18</v>
      </c>
      <c r="I387" s="1" t="s">
        <v>19</v>
      </c>
      <c r="J387" s="1" t="s">
        <v>43</v>
      </c>
      <c r="K387" s="1" t="s">
        <v>33</v>
      </c>
      <c r="L387" s="1">
        <v>4</v>
      </c>
      <c r="M387" s="1">
        <v>2046.51</v>
      </c>
      <c r="N387" s="1">
        <v>5</v>
      </c>
      <c r="O387" s="1">
        <v>7776.74</v>
      </c>
    </row>
    <row r="388" spans="1:15" x14ac:dyDescent="0.3">
      <c r="A388" s="1">
        <v>10405</v>
      </c>
      <c r="B388" s="1">
        <v>1913</v>
      </c>
      <c r="C388" s="2">
        <v>45084</v>
      </c>
      <c r="D388" s="2">
        <v>45091</v>
      </c>
      <c r="E388" s="1" t="s">
        <v>46</v>
      </c>
      <c r="F388" s="1" t="s">
        <v>23</v>
      </c>
      <c r="G388" s="1" t="s">
        <v>24</v>
      </c>
      <c r="H388" s="1" t="s">
        <v>25</v>
      </c>
      <c r="I388" s="1" t="s">
        <v>19</v>
      </c>
      <c r="J388" s="1" t="s">
        <v>66</v>
      </c>
      <c r="K388" s="1" t="s">
        <v>45</v>
      </c>
      <c r="L388" s="1">
        <v>4</v>
      </c>
      <c r="M388" s="1">
        <v>1333.99</v>
      </c>
      <c r="N388" s="1">
        <v>5</v>
      </c>
      <c r="O388" s="1">
        <v>5069.16</v>
      </c>
    </row>
    <row r="389" spans="1:15" x14ac:dyDescent="0.3">
      <c r="A389" s="1">
        <v>10421</v>
      </c>
      <c r="B389" s="1">
        <v>1815</v>
      </c>
      <c r="C389" s="2">
        <v>45080</v>
      </c>
      <c r="D389" s="2">
        <v>45086</v>
      </c>
      <c r="E389" s="1" t="s">
        <v>46</v>
      </c>
      <c r="F389" s="1" t="s">
        <v>23</v>
      </c>
      <c r="G389" s="1" t="s">
        <v>24</v>
      </c>
      <c r="H389" s="1" t="s">
        <v>18</v>
      </c>
      <c r="I389" s="1" t="s">
        <v>52</v>
      </c>
      <c r="J389" s="1" t="s">
        <v>64</v>
      </c>
      <c r="K389" s="1" t="s">
        <v>45</v>
      </c>
      <c r="L389" s="1">
        <v>4</v>
      </c>
      <c r="M389" s="1">
        <v>335.16</v>
      </c>
      <c r="N389" s="1">
        <v>5</v>
      </c>
      <c r="O389" s="1">
        <v>1273.6099999999999</v>
      </c>
    </row>
    <row r="390" spans="1:15" x14ac:dyDescent="0.3">
      <c r="A390" s="1">
        <v>10070</v>
      </c>
      <c r="B390" s="1">
        <v>1241</v>
      </c>
      <c r="C390" s="2">
        <v>45112</v>
      </c>
      <c r="D390" s="2">
        <v>45113</v>
      </c>
      <c r="E390" s="1" t="s">
        <v>46</v>
      </c>
      <c r="F390" s="1" t="s">
        <v>41</v>
      </c>
      <c r="G390" s="1" t="s">
        <v>17</v>
      </c>
      <c r="H390" s="1" t="s">
        <v>35</v>
      </c>
      <c r="I390" s="1" t="s">
        <v>31</v>
      </c>
      <c r="J390" s="1" t="s">
        <v>39</v>
      </c>
      <c r="K390" s="1" t="s">
        <v>33</v>
      </c>
      <c r="L390" s="1">
        <v>4</v>
      </c>
      <c r="M390" s="1">
        <v>3612.15</v>
      </c>
      <c r="N390" s="1">
        <v>20</v>
      </c>
      <c r="O390" s="1">
        <v>11558.88</v>
      </c>
    </row>
    <row r="391" spans="1:15" x14ac:dyDescent="0.3">
      <c r="A391" s="1">
        <v>10408</v>
      </c>
      <c r="B391" s="1">
        <v>1337</v>
      </c>
      <c r="C391" s="2">
        <v>45186</v>
      </c>
      <c r="D391" s="2">
        <v>45190</v>
      </c>
      <c r="E391" s="1" t="s">
        <v>46</v>
      </c>
      <c r="F391" s="1" t="s">
        <v>41</v>
      </c>
      <c r="G391" s="1" t="s">
        <v>30</v>
      </c>
      <c r="H391" s="1" t="s">
        <v>18</v>
      </c>
      <c r="I391" s="1" t="s">
        <v>49</v>
      </c>
      <c r="J391" s="1" t="s">
        <v>63</v>
      </c>
      <c r="K391" s="1" t="s">
        <v>45</v>
      </c>
      <c r="L391" s="1">
        <v>4</v>
      </c>
      <c r="M391" s="1">
        <v>1045.28</v>
      </c>
      <c r="N391" s="1">
        <v>20</v>
      </c>
      <c r="O391" s="1">
        <v>3344.9</v>
      </c>
    </row>
    <row r="392" spans="1:15" x14ac:dyDescent="0.3">
      <c r="A392" s="1">
        <v>10053</v>
      </c>
      <c r="B392" s="1">
        <v>1875</v>
      </c>
      <c r="C392" s="2">
        <v>45115</v>
      </c>
      <c r="D392" s="2">
        <v>45118</v>
      </c>
      <c r="E392" s="1" t="s">
        <v>46</v>
      </c>
      <c r="F392" s="1" t="s">
        <v>16</v>
      </c>
      <c r="G392" s="1" t="s">
        <v>17</v>
      </c>
      <c r="H392" s="1" t="s">
        <v>35</v>
      </c>
      <c r="I392" s="1" t="s">
        <v>52</v>
      </c>
      <c r="J392" s="1" t="s">
        <v>64</v>
      </c>
      <c r="K392" s="1" t="s">
        <v>21</v>
      </c>
      <c r="L392" s="1">
        <v>5</v>
      </c>
      <c r="M392" s="1">
        <v>2534.0700000000002</v>
      </c>
      <c r="N392" s="1">
        <v>10</v>
      </c>
      <c r="O392" s="1">
        <v>11403.31</v>
      </c>
    </row>
    <row r="393" spans="1:15" x14ac:dyDescent="0.3">
      <c r="A393" s="1">
        <v>10107</v>
      </c>
      <c r="B393" s="1">
        <v>1862</v>
      </c>
      <c r="C393" s="2">
        <v>45058</v>
      </c>
      <c r="D393" s="2">
        <v>45064</v>
      </c>
      <c r="E393" s="1" t="s">
        <v>46</v>
      </c>
      <c r="F393" s="1" t="s">
        <v>38</v>
      </c>
      <c r="G393" s="1" t="s">
        <v>17</v>
      </c>
      <c r="H393" s="1" t="s">
        <v>44</v>
      </c>
      <c r="I393" s="1" t="s">
        <v>52</v>
      </c>
      <c r="J393" s="1" t="s">
        <v>60</v>
      </c>
      <c r="K393" s="1" t="s">
        <v>45</v>
      </c>
      <c r="L393" s="1">
        <v>5</v>
      </c>
      <c r="M393" s="1">
        <v>1063.01</v>
      </c>
      <c r="N393" s="1">
        <v>15</v>
      </c>
      <c r="O393" s="1">
        <v>4517.79</v>
      </c>
    </row>
    <row r="394" spans="1:15" x14ac:dyDescent="0.3">
      <c r="A394" s="1">
        <v>10090</v>
      </c>
      <c r="B394" s="1">
        <v>1387</v>
      </c>
      <c r="C394" s="2">
        <v>45160</v>
      </c>
      <c r="D394" s="2">
        <v>45166</v>
      </c>
      <c r="E394" s="1" t="s">
        <v>46</v>
      </c>
      <c r="F394" s="1" t="s">
        <v>54</v>
      </c>
      <c r="G394" s="1" t="s">
        <v>17</v>
      </c>
      <c r="H394" s="1" t="s">
        <v>35</v>
      </c>
      <c r="I394" s="1" t="s">
        <v>26</v>
      </c>
      <c r="J394" s="1" t="s">
        <v>27</v>
      </c>
      <c r="K394" s="1" t="s">
        <v>28</v>
      </c>
      <c r="L394" s="1">
        <v>5</v>
      </c>
      <c r="M394" s="1">
        <v>1355.24</v>
      </c>
      <c r="N394" s="1">
        <v>5</v>
      </c>
      <c r="O394" s="1">
        <v>6437.39</v>
      </c>
    </row>
    <row r="395" spans="1:15" x14ac:dyDescent="0.3">
      <c r="A395" s="1">
        <v>10281</v>
      </c>
      <c r="B395" s="1">
        <v>1951</v>
      </c>
      <c r="C395" s="2">
        <v>45231</v>
      </c>
      <c r="D395" s="2">
        <v>45240</v>
      </c>
      <c r="E395" s="1" t="s">
        <v>46</v>
      </c>
      <c r="F395" s="1" t="s">
        <v>54</v>
      </c>
      <c r="G395" s="1" t="s">
        <v>30</v>
      </c>
      <c r="H395" s="1" t="s">
        <v>44</v>
      </c>
      <c r="I395" s="1" t="s">
        <v>26</v>
      </c>
      <c r="J395" s="1" t="s">
        <v>69</v>
      </c>
      <c r="K395" s="1" t="s">
        <v>21</v>
      </c>
      <c r="L395" s="1">
        <v>5</v>
      </c>
      <c r="M395" s="1">
        <v>3098.44</v>
      </c>
      <c r="N395" s="1">
        <v>0</v>
      </c>
      <c r="O395" s="1">
        <v>15492.2</v>
      </c>
    </row>
    <row r="396" spans="1:15" x14ac:dyDescent="0.3">
      <c r="A396" s="1">
        <v>10438</v>
      </c>
      <c r="B396" s="1">
        <v>1749</v>
      </c>
      <c r="C396" s="2">
        <v>45082</v>
      </c>
      <c r="D396" s="2">
        <v>45091</v>
      </c>
      <c r="E396" s="1" t="s">
        <v>46</v>
      </c>
      <c r="F396" s="1" t="s">
        <v>23</v>
      </c>
      <c r="G396" s="1" t="s">
        <v>30</v>
      </c>
      <c r="H396" s="1" t="s">
        <v>18</v>
      </c>
      <c r="I396" s="1" t="s">
        <v>26</v>
      </c>
      <c r="J396" s="1" t="s">
        <v>61</v>
      </c>
      <c r="K396" s="1" t="s">
        <v>47</v>
      </c>
      <c r="L396" s="1">
        <v>5</v>
      </c>
      <c r="M396" s="1">
        <v>3116.22</v>
      </c>
      <c r="N396" s="1">
        <v>10</v>
      </c>
      <c r="O396" s="1">
        <v>14022.99</v>
      </c>
    </row>
    <row r="397" spans="1:15" x14ac:dyDescent="0.3">
      <c r="A397" s="1">
        <v>10105</v>
      </c>
      <c r="B397" s="1">
        <v>1995</v>
      </c>
      <c r="C397" s="2">
        <v>45027</v>
      </c>
      <c r="D397" s="2">
        <v>45029</v>
      </c>
      <c r="E397" s="1" t="s">
        <v>46</v>
      </c>
      <c r="F397" s="1" t="s">
        <v>41</v>
      </c>
      <c r="G397" s="1" t="s">
        <v>24</v>
      </c>
      <c r="H397" s="1" t="s">
        <v>35</v>
      </c>
      <c r="I397" s="1" t="s">
        <v>26</v>
      </c>
      <c r="J397" s="1" t="s">
        <v>27</v>
      </c>
      <c r="K397" s="1" t="s">
        <v>21</v>
      </c>
      <c r="L397" s="1">
        <v>5</v>
      </c>
      <c r="M397" s="1">
        <v>181.03</v>
      </c>
      <c r="N397" s="1">
        <v>10</v>
      </c>
      <c r="O397" s="1">
        <v>814.63</v>
      </c>
    </row>
    <row r="398" spans="1:15" x14ac:dyDescent="0.3">
      <c r="A398" s="1">
        <v>10457</v>
      </c>
      <c r="B398" s="1">
        <v>1828</v>
      </c>
      <c r="C398" s="2">
        <v>45276</v>
      </c>
      <c r="D398" s="2">
        <v>45280</v>
      </c>
      <c r="E398" s="1" t="s">
        <v>46</v>
      </c>
      <c r="F398" s="1" t="s">
        <v>29</v>
      </c>
      <c r="G398" s="1" t="s">
        <v>24</v>
      </c>
      <c r="H398" s="1" t="s">
        <v>44</v>
      </c>
      <c r="I398" s="1" t="s">
        <v>26</v>
      </c>
      <c r="J398" s="1" t="s">
        <v>27</v>
      </c>
      <c r="K398" s="1" t="s">
        <v>28</v>
      </c>
      <c r="L398" s="1">
        <v>5</v>
      </c>
      <c r="M398" s="1">
        <v>1480.66</v>
      </c>
      <c r="N398" s="1">
        <v>0</v>
      </c>
      <c r="O398" s="1">
        <v>7403.3</v>
      </c>
    </row>
    <row r="399" spans="1:15" x14ac:dyDescent="0.3">
      <c r="A399" s="1">
        <v>10081</v>
      </c>
      <c r="B399" s="1">
        <v>1508</v>
      </c>
      <c r="C399" s="2">
        <v>45280</v>
      </c>
      <c r="D399" s="2">
        <v>45283</v>
      </c>
      <c r="E399" s="1" t="s">
        <v>46</v>
      </c>
      <c r="F399" s="1" t="s">
        <v>16</v>
      </c>
      <c r="G399" s="1" t="s">
        <v>30</v>
      </c>
      <c r="H399" s="1" t="s">
        <v>18</v>
      </c>
      <c r="I399" s="1" t="s">
        <v>26</v>
      </c>
      <c r="J399" s="1" t="s">
        <v>27</v>
      </c>
      <c r="K399" s="1" t="s">
        <v>47</v>
      </c>
      <c r="L399" s="1">
        <v>6</v>
      </c>
      <c r="M399" s="1">
        <v>3642.91</v>
      </c>
      <c r="N399" s="1">
        <v>0</v>
      </c>
      <c r="O399" s="1">
        <v>21857.46</v>
      </c>
    </row>
    <row r="400" spans="1:15" x14ac:dyDescent="0.3">
      <c r="A400" s="1">
        <v>10110</v>
      </c>
      <c r="B400" s="1">
        <v>1455</v>
      </c>
      <c r="C400" s="2">
        <v>44946</v>
      </c>
      <c r="D400" s="2">
        <v>44947</v>
      </c>
      <c r="E400" s="1" t="s">
        <v>46</v>
      </c>
      <c r="F400" s="1" t="s">
        <v>16</v>
      </c>
      <c r="G400" s="1" t="s">
        <v>24</v>
      </c>
      <c r="H400" s="1" t="s">
        <v>35</v>
      </c>
      <c r="I400" s="1" t="s">
        <v>52</v>
      </c>
      <c r="J400" s="1" t="s">
        <v>56</v>
      </c>
      <c r="K400" s="1" t="s">
        <v>47</v>
      </c>
      <c r="L400" s="1">
        <v>6</v>
      </c>
      <c r="M400" s="1">
        <v>2076.84</v>
      </c>
      <c r="N400" s="1">
        <v>20</v>
      </c>
      <c r="O400" s="1">
        <v>9968.83</v>
      </c>
    </row>
    <row r="401" spans="1:15" x14ac:dyDescent="0.3">
      <c r="A401" s="1">
        <v>10396</v>
      </c>
      <c r="B401" s="1">
        <v>1851</v>
      </c>
      <c r="C401" s="2">
        <v>44958</v>
      </c>
      <c r="D401" s="2">
        <v>44966</v>
      </c>
      <c r="E401" s="1" t="s">
        <v>46</v>
      </c>
      <c r="F401" s="1" t="s">
        <v>16</v>
      </c>
      <c r="G401" s="1" t="s">
        <v>30</v>
      </c>
      <c r="H401" s="1" t="s">
        <v>44</v>
      </c>
      <c r="I401" s="1" t="s">
        <v>49</v>
      </c>
      <c r="J401" s="1" t="s">
        <v>51</v>
      </c>
      <c r="K401" s="1" t="s">
        <v>47</v>
      </c>
      <c r="L401" s="1">
        <v>6</v>
      </c>
      <c r="M401" s="1">
        <v>2354.67</v>
      </c>
      <c r="N401" s="1">
        <v>15</v>
      </c>
      <c r="O401" s="1">
        <v>12008.82</v>
      </c>
    </row>
    <row r="402" spans="1:15" x14ac:dyDescent="0.3">
      <c r="A402" s="1">
        <v>10082</v>
      </c>
      <c r="B402" s="1">
        <v>1775</v>
      </c>
      <c r="C402" s="2">
        <v>44936</v>
      </c>
      <c r="D402" s="2">
        <v>44942</v>
      </c>
      <c r="E402" s="1" t="s">
        <v>46</v>
      </c>
      <c r="F402" s="1" t="s">
        <v>38</v>
      </c>
      <c r="G402" s="1" t="s">
        <v>24</v>
      </c>
      <c r="H402" s="1" t="s">
        <v>42</v>
      </c>
      <c r="I402" s="1" t="s">
        <v>49</v>
      </c>
      <c r="J402" s="1" t="s">
        <v>63</v>
      </c>
      <c r="K402" s="1" t="s">
        <v>47</v>
      </c>
      <c r="L402" s="1">
        <v>6</v>
      </c>
      <c r="M402" s="1">
        <v>751.69</v>
      </c>
      <c r="N402" s="1">
        <v>0</v>
      </c>
      <c r="O402" s="1">
        <v>4510.1400000000003</v>
      </c>
    </row>
    <row r="403" spans="1:15" x14ac:dyDescent="0.3">
      <c r="A403" s="1">
        <v>10128</v>
      </c>
      <c r="B403" s="1">
        <v>1492</v>
      </c>
      <c r="C403" s="2">
        <v>45147</v>
      </c>
      <c r="D403" s="2">
        <v>45148</v>
      </c>
      <c r="E403" s="1" t="s">
        <v>46</v>
      </c>
      <c r="F403" s="1" t="s">
        <v>38</v>
      </c>
      <c r="G403" s="1" t="s">
        <v>30</v>
      </c>
      <c r="H403" s="1" t="s">
        <v>35</v>
      </c>
      <c r="I403" s="1" t="s">
        <v>26</v>
      </c>
      <c r="J403" s="1" t="s">
        <v>61</v>
      </c>
      <c r="K403" s="1" t="s">
        <v>47</v>
      </c>
      <c r="L403" s="1">
        <v>6</v>
      </c>
      <c r="M403" s="1">
        <v>659.76</v>
      </c>
      <c r="N403" s="1">
        <v>0</v>
      </c>
      <c r="O403" s="1">
        <v>3958.56</v>
      </c>
    </row>
    <row r="404" spans="1:15" x14ac:dyDescent="0.3">
      <c r="A404" s="1">
        <v>10431</v>
      </c>
      <c r="B404" s="1">
        <v>1687</v>
      </c>
      <c r="C404" s="2">
        <v>45139</v>
      </c>
      <c r="D404" s="2">
        <v>45146</v>
      </c>
      <c r="E404" s="1" t="s">
        <v>46</v>
      </c>
      <c r="F404" s="1" t="s">
        <v>38</v>
      </c>
      <c r="G404" s="1" t="s">
        <v>30</v>
      </c>
      <c r="H404" s="1" t="s">
        <v>35</v>
      </c>
      <c r="I404" s="1" t="s">
        <v>49</v>
      </c>
      <c r="J404" s="1" t="s">
        <v>51</v>
      </c>
      <c r="K404" s="1" t="s">
        <v>28</v>
      </c>
      <c r="L404" s="1">
        <v>6</v>
      </c>
      <c r="M404" s="1">
        <v>2247.37</v>
      </c>
      <c r="N404" s="1">
        <v>15</v>
      </c>
      <c r="O404" s="1">
        <v>11461.59</v>
      </c>
    </row>
    <row r="405" spans="1:15" x14ac:dyDescent="0.3">
      <c r="A405" s="1">
        <v>10223</v>
      </c>
      <c r="B405" s="1">
        <v>1645</v>
      </c>
      <c r="C405" s="2">
        <v>45108</v>
      </c>
      <c r="D405" s="2">
        <v>45117</v>
      </c>
      <c r="E405" s="1" t="s">
        <v>46</v>
      </c>
      <c r="F405" s="1" t="s">
        <v>54</v>
      </c>
      <c r="G405" s="1" t="s">
        <v>17</v>
      </c>
      <c r="H405" s="1" t="s">
        <v>25</v>
      </c>
      <c r="I405" s="1" t="s">
        <v>57</v>
      </c>
      <c r="J405" s="1" t="s">
        <v>59</v>
      </c>
      <c r="K405" s="1" t="s">
        <v>47</v>
      </c>
      <c r="L405" s="1">
        <v>6</v>
      </c>
      <c r="M405" s="1">
        <v>1477.55</v>
      </c>
      <c r="N405" s="1">
        <v>10</v>
      </c>
      <c r="O405" s="1">
        <v>7978.77</v>
      </c>
    </row>
    <row r="406" spans="1:15" x14ac:dyDescent="0.3">
      <c r="A406" s="1">
        <v>10273</v>
      </c>
      <c r="B406" s="1">
        <v>1267</v>
      </c>
      <c r="C406" s="2">
        <v>45091</v>
      </c>
      <c r="D406" s="2">
        <v>45100</v>
      </c>
      <c r="E406" s="1" t="s">
        <v>46</v>
      </c>
      <c r="F406" s="1" t="s">
        <v>54</v>
      </c>
      <c r="G406" s="1" t="s">
        <v>30</v>
      </c>
      <c r="H406" s="1" t="s">
        <v>18</v>
      </c>
      <c r="I406" s="1" t="s">
        <v>31</v>
      </c>
      <c r="J406" s="1" t="s">
        <v>39</v>
      </c>
      <c r="K406" s="1" t="s">
        <v>45</v>
      </c>
      <c r="L406" s="1">
        <v>6</v>
      </c>
      <c r="M406" s="1">
        <v>384.88</v>
      </c>
      <c r="N406" s="1">
        <v>5</v>
      </c>
      <c r="O406" s="1">
        <v>2193.8200000000002</v>
      </c>
    </row>
    <row r="407" spans="1:15" x14ac:dyDescent="0.3">
      <c r="A407" s="1">
        <v>10278</v>
      </c>
      <c r="B407" s="1">
        <v>1112</v>
      </c>
      <c r="C407" s="2">
        <v>45057</v>
      </c>
      <c r="D407" s="2">
        <v>45061</v>
      </c>
      <c r="E407" s="1" t="s">
        <v>46</v>
      </c>
      <c r="F407" s="1" t="s">
        <v>54</v>
      </c>
      <c r="G407" s="1" t="s">
        <v>17</v>
      </c>
      <c r="H407" s="1" t="s">
        <v>18</v>
      </c>
      <c r="I407" s="1" t="s">
        <v>19</v>
      </c>
      <c r="J407" s="1" t="s">
        <v>43</v>
      </c>
      <c r="K407" s="1" t="s">
        <v>45</v>
      </c>
      <c r="L407" s="1">
        <v>6</v>
      </c>
      <c r="M407" s="1">
        <v>734.34</v>
      </c>
      <c r="N407" s="1">
        <v>10</v>
      </c>
      <c r="O407" s="1">
        <v>3965.44</v>
      </c>
    </row>
    <row r="408" spans="1:15" x14ac:dyDescent="0.3">
      <c r="A408" s="1">
        <v>10473</v>
      </c>
      <c r="B408" s="1">
        <v>1098</v>
      </c>
      <c r="C408" s="2">
        <v>45054</v>
      </c>
      <c r="D408" s="2">
        <v>45055</v>
      </c>
      <c r="E408" s="1" t="s">
        <v>46</v>
      </c>
      <c r="F408" s="1" t="s">
        <v>54</v>
      </c>
      <c r="G408" s="1" t="s">
        <v>30</v>
      </c>
      <c r="H408" s="1" t="s">
        <v>18</v>
      </c>
      <c r="I408" s="1" t="s">
        <v>31</v>
      </c>
      <c r="J408" s="1" t="s">
        <v>48</v>
      </c>
      <c r="K408" s="1" t="s">
        <v>33</v>
      </c>
      <c r="L408" s="1">
        <v>6</v>
      </c>
      <c r="M408" s="1">
        <v>1911.16</v>
      </c>
      <c r="N408" s="1">
        <v>5</v>
      </c>
      <c r="O408" s="1">
        <v>10893.61</v>
      </c>
    </row>
    <row r="409" spans="1:15" x14ac:dyDescent="0.3">
      <c r="A409" s="1">
        <v>10012</v>
      </c>
      <c r="B409" s="1">
        <v>1214</v>
      </c>
      <c r="C409" s="2">
        <v>45214</v>
      </c>
      <c r="D409" s="2">
        <v>45220</v>
      </c>
      <c r="E409" s="1" t="s">
        <v>46</v>
      </c>
      <c r="F409" s="1" t="s">
        <v>23</v>
      </c>
      <c r="G409" s="1" t="s">
        <v>24</v>
      </c>
      <c r="H409" s="1" t="s">
        <v>44</v>
      </c>
      <c r="I409" s="1" t="s">
        <v>49</v>
      </c>
      <c r="J409" s="1" t="s">
        <v>51</v>
      </c>
      <c r="K409" s="1" t="s">
        <v>21</v>
      </c>
      <c r="L409" s="1">
        <v>6</v>
      </c>
      <c r="M409" s="1">
        <v>272.35000000000002</v>
      </c>
      <c r="N409" s="1">
        <v>5</v>
      </c>
      <c r="O409" s="1">
        <v>1552.39</v>
      </c>
    </row>
    <row r="410" spans="1:15" x14ac:dyDescent="0.3">
      <c r="A410" s="1">
        <v>10136</v>
      </c>
      <c r="B410" s="1">
        <v>1520</v>
      </c>
      <c r="C410" s="2">
        <v>45180</v>
      </c>
      <c r="D410" s="2">
        <v>45181</v>
      </c>
      <c r="E410" s="1" t="s">
        <v>46</v>
      </c>
      <c r="F410" s="1" t="s">
        <v>23</v>
      </c>
      <c r="G410" s="1" t="s">
        <v>17</v>
      </c>
      <c r="H410" s="1" t="s">
        <v>25</v>
      </c>
      <c r="I410" s="1" t="s">
        <v>31</v>
      </c>
      <c r="J410" s="1" t="s">
        <v>39</v>
      </c>
      <c r="K410" s="1" t="s">
        <v>33</v>
      </c>
      <c r="L410" s="1">
        <v>6</v>
      </c>
      <c r="M410" s="1">
        <v>1809.29</v>
      </c>
      <c r="N410" s="1">
        <v>0</v>
      </c>
      <c r="O410" s="1">
        <v>10855.74</v>
      </c>
    </row>
    <row r="411" spans="1:15" x14ac:dyDescent="0.3">
      <c r="A411" s="1">
        <v>10049</v>
      </c>
      <c r="B411" s="1">
        <v>1957</v>
      </c>
      <c r="C411" s="2">
        <v>45014</v>
      </c>
      <c r="D411" s="2">
        <v>45023</v>
      </c>
      <c r="E411" s="1" t="s">
        <v>46</v>
      </c>
      <c r="F411" s="1" t="s">
        <v>29</v>
      </c>
      <c r="G411" s="1" t="s">
        <v>17</v>
      </c>
      <c r="H411" s="1" t="s">
        <v>18</v>
      </c>
      <c r="I411" s="1" t="s">
        <v>26</v>
      </c>
      <c r="J411" s="1" t="s">
        <v>27</v>
      </c>
      <c r="K411" s="1" t="s">
        <v>21</v>
      </c>
      <c r="L411" s="1">
        <v>6</v>
      </c>
      <c r="M411" s="1">
        <v>3757.87</v>
      </c>
      <c r="N411" s="1">
        <v>15</v>
      </c>
      <c r="O411" s="1">
        <v>19165.14</v>
      </c>
    </row>
    <row r="412" spans="1:15" x14ac:dyDescent="0.3">
      <c r="A412" s="1">
        <v>10225</v>
      </c>
      <c r="B412" s="1">
        <v>1027</v>
      </c>
      <c r="C412" s="2">
        <v>45242</v>
      </c>
      <c r="D412" s="2">
        <v>45246</v>
      </c>
      <c r="E412" s="1" t="s">
        <v>46</v>
      </c>
      <c r="F412" s="1" t="s">
        <v>16</v>
      </c>
      <c r="G412" s="1" t="s">
        <v>30</v>
      </c>
      <c r="H412" s="1" t="s">
        <v>42</v>
      </c>
      <c r="I412" s="1" t="s">
        <v>52</v>
      </c>
      <c r="J412" s="1" t="s">
        <v>53</v>
      </c>
      <c r="K412" s="1" t="s">
        <v>28</v>
      </c>
      <c r="L412" s="1">
        <v>7</v>
      </c>
      <c r="M412" s="1">
        <v>1350.86</v>
      </c>
      <c r="N412" s="1">
        <v>10</v>
      </c>
      <c r="O412" s="1">
        <v>8510.42</v>
      </c>
    </row>
    <row r="413" spans="1:15" x14ac:dyDescent="0.3">
      <c r="A413" s="1">
        <v>10475</v>
      </c>
      <c r="B413" s="1">
        <v>1744</v>
      </c>
      <c r="C413" s="2">
        <v>44993</v>
      </c>
      <c r="D413" s="2">
        <v>44999</v>
      </c>
      <c r="E413" s="1" t="s">
        <v>46</v>
      </c>
      <c r="F413" s="1" t="s">
        <v>16</v>
      </c>
      <c r="G413" s="1" t="s">
        <v>30</v>
      </c>
      <c r="H413" s="1" t="s">
        <v>44</v>
      </c>
      <c r="I413" s="1" t="s">
        <v>19</v>
      </c>
      <c r="J413" s="1" t="s">
        <v>55</v>
      </c>
      <c r="K413" s="1" t="s">
        <v>21</v>
      </c>
      <c r="L413" s="1">
        <v>7</v>
      </c>
      <c r="M413" s="1">
        <v>1903.23</v>
      </c>
      <c r="N413" s="1">
        <v>10</v>
      </c>
      <c r="O413" s="1">
        <v>11990.35</v>
      </c>
    </row>
    <row r="414" spans="1:15" x14ac:dyDescent="0.3">
      <c r="A414" s="1">
        <v>10103</v>
      </c>
      <c r="B414" s="1">
        <v>1201</v>
      </c>
      <c r="C414" s="2">
        <v>45238</v>
      </c>
      <c r="D414" s="2">
        <v>45244</v>
      </c>
      <c r="E414" s="1" t="s">
        <v>46</v>
      </c>
      <c r="F414" s="1" t="s">
        <v>23</v>
      </c>
      <c r="G414" s="1" t="s">
        <v>17</v>
      </c>
      <c r="H414" s="1" t="s">
        <v>42</v>
      </c>
      <c r="I414" s="1" t="s">
        <v>19</v>
      </c>
      <c r="J414" s="1" t="s">
        <v>20</v>
      </c>
      <c r="K414" s="1" t="s">
        <v>47</v>
      </c>
      <c r="L414" s="1">
        <v>7</v>
      </c>
      <c r="M414" s="1">
        <v>3590.34</v>
      </c>
      <c r="N414" s="1">
        <v>20</v>
      </c>
      <c r="O414" s="1">
        <v>20105.900000000001</v>
      </c>
    </row>
    <row r="415" spans="1:15" x14ac:dyDescent="0.3">
      <c r="A415" s="1">
        <v>10343</v>
      </c>
      <c r="B415" s="1">
        <v>1488</v>
      </c>
      <c r="C415" s="2">
        <v>45196</v>
      </c>
      <c r="D415" s="2">
        <v>45204</v>
      </c>
      <c r="E415" s="1" t="s">
        <v>46</v>
      </c>
      <c r="F415" s="1" t="s">
        <v>23</v>
      </c>
      <c r="G415" s="1" t="s">
        <v>17</v>
      </c>
      <c r="H415" s="1" t="s">
        <v>18</v>
      </c>
      <c r="I415" s="1" t="s">
        <v>49</v>
      </c>
      <c r="J415" s="1" t="s">
        <v>51</v>
      </c>
      <c r="K415" s="1" t="s">
        <v>21</v>
      </c>
      <c r="L415" s="1">
        <v>7</v>
      </c>
      <c r="M415" s="1">
        <v>313.51</v>
      </c>
      <c r="N415" s="1">
        <v>0</v>
      </c>
      <c r="O415" s="1">
        <v>2194.5700000000002</v>
      </c>
    </row>
    <row r="416" spans="1:15" x14ac:dyDescent="0.3">
      <c r="A416" s="1">
        <v>10430</v>
      </c>
      <c r="B416" s="1">
        <v>1032</v>
      </c>
      <c r="C416" s="2">
        <v>45290</v>
      </c>
      <c r="D416" s="2">
        <v>45298</v>
      </c>
      <c r="E416" s="1" t="s">
        <v>46</v>
      </c>
      <c r="F416" s="1" t="s">
        <v>16</v>
      </c>
      <c r="G416" s="1" t="s">
        <v>24</v>
      </c>
      <c r="H416" s="1" t="s">
        <v>25</v>
      </c>
      <c r="I416" s="1" t="s">
        <v>26</v>
      </c>
      <c r="J416" s="1" t="s">
        <v>69</v>
      </c>
      <c r="K416" s="1" t="s">
        <v>33</v>
      </c>
      <c r="L416" s="1">
        <v>8</v>
      </c>
      <c r="M416" s="1">
        <v>3911.57</v>
      </c>
      <c r="N416" s="1">
        <v>10</v>
      </c>
      <c r="O416" s="1">
        <v>28163.3</v>
      </c>
    </row>
    <row r="417" spans="1:15" x14ac:dyDescent="0.3">
      <c r="A417" s="1">
        <v>10288</v>
      </c>
      <c r="B417" s="1">
        <v>1565</v>
      </c>
      <c r="C417" s="2">
        <v>45253</v>
      </c>
      <c r="D417" s="2">
        <v>45256</v>
      </c>
      <c r="E417" s="1" t="s">
        <v>46</v>
      </c>
      <c r="F417" s="1" t="s">
        <v>38</v>
      </c>
      <c r="G417" s="1" t="s">
        <v>17</v>
      </c>
      <c r="H417" s="1" t="s">
        <v>44</v>
      </c>
      <c r="I417" s="1" t="s">
        <v>26</v>
      </c>
      <c r="J417" s="1" t="s">
        <v>36</v>
      </c>
      <c r="K417" s="1" t="s">
        <v>47</v>
      </c>
      <c r="L417" s="1">
        <v>8</v>
      </c>
      <c r="M417" s="1">
        <v>3780.79</v>
      </c>
      <c r="N417" s="1">
        <v>5</v>
      </c>
      <c r="O417" s="1">
        <v>28734</v>
      </c>
    </row>
    <row r="418" spans="1:15" x14ac:dyDescent="0.3">
      <c r="A418" s="1">
        <v>10316</v>
      </c>
      <c r="B418" s="1">
        <v>1197</v>
      </c>
      <c r="C418" s="2">
        <v>45070</v>
      </c>
      <c r="D418" s="2">
        <v>45071</v>
      </c>
      <c r="E418" s="1" t="s">
        <v>46</v>
      </c>
      <c r="F418" s="1" t="s">
        <v>38</v>
      </c>
      <c r="G418" s="1" t="s">
        <v>30</v>
      </c>
      <c r="H418" s="1" t="s">
        <v>18</v>
      </c>
      <c r="I418" s="1" t="s">
        <v>57</v>
      </c>
      <c r="J418" s="1" t="s">
        <v>58</v>
      </c>
      <c r="K418" s="1" t="s">
        <v>33</v>
      </c>
      <c r="L418" s="1">
        <v>8</v>
      </c>
      <c r="M418" s="1">
        <v>2429.2600000000002</v>
      </c>
      <c r="N418" s="1">
        <v>15</v>
      </c>
      <c r="O418" s="1">
        <v>16518.97</v>
      </c>
    </row>
    <row r="419" spans="1:15" x14ac:dyDescent="0.3">
      <c r="A419" s="1">
        <v>10337</v>
      </c>
      <c r="B419" s="1">
        <v>1510</v>
      </c>
      <c r="C419" s="2">
        <v>45158</v>
      </c>
      <c r="D419" s="2">
        <v>45162</v>
      </c>
      <c r="E419" s="1" t="s">
        <v>46</v>
      </c>
      <c r="F419" s="1" t="s">
        <v>38</v>
      </c>
      <c r="G419" s="1" t="s">
        <v>17</v>
      </c>
      <c r="H419" s="1" t="s">
        <v>25</v>
      </c>
      <c r="I419" s="1" t="s">
        <v>57</v>
      </c>
      <c r="J419" s="1" t="s">
        <v>62</v>
      </c>
      <c r="K419" s="1" t="s">
        <v>33</v>
      </c>
      <c r="L419" s="1">
        <v>8</v>
      </c>
      <c r="M419" s="1">
        <v>3061.89</v>
      </c>
      <c r="N419" s="1">
        <v>5</v>
      </c>
      <c r="O419" s="1">
        <v>23270.36</v>
      </c>
    </row>
    <row r="420" spans="1:15" x14ac:dyDescent="0.3">
      <c r="A420" s="1">
        <v>10434</v>
      </c>
      <c r="B420" s="1">
        <v>1882</v>
      </c>
      <c r="C420" s="2">
        <v>45057</v>
      </c>
      <c r="D420" s="2">
        <v>45062</v>
      </c>
      <c r="E420" s="1" t="s">
        <v>46</v>
      </c>
      <c r="F420" s="1" t="s">
        <v>54</v>
      </c>
      <c r="G420" s="1" t="s">
        <v>24</v>
      </c>
      <c r="H420" s="1" t="s">
        <v>25</v>
      </c>
      <c r="I420" s="1" t="s">
        <v>19</v>
      </c>
      <c r="J420" s="1" t="s">
        <v>20</v>
      </c>
      <c r="K420" s="1" t="s">
        <v>45</v>
      </c>
      <c r="L420" s="1">
        <v>8</v>
      </c>
      <c r="M420" s="1">
        <v>437.36</v>
      </c>
      <c r="N420" s="1">
        <v>20</v>
      </c>
      <c r="O420" s="1">
        <v>2799.1</v>
      </c>
    </row>
    <row r="421" spans="1:15" x14ac:dyDescent="0.3">
      <c r="A421" s="1">
        <v>10205</v>
      </c>
      <c r="B421" s="1">
        <v>1230</v>
      </c>
      <c r="C421" s="2">
        <v>45246</v>
      </c>
      <c r="D421" s="2">
        <v>45254</v>
      </c>
      <c r="E421" s="1" t="s">
        <v>46</v>
      </c>
      <c r="F421" s="1" t="s">
        <v>23</v>
      </c>
      <c r="G421" s="1" t="s">
        <v>17</v>
      </c>
      <c r="H421" s="1" t="s">
        <v>35</v>
      </c>
      <c r="I421" s="1" t="s">
        <v>52</v>
      </c>
      <c r="J421" s="1" t="s">
        <v>60</v>
      </c>
      <c r="K421" s="1" t="s">
        <v>28</v>
      </c>
      <c r="L421" s="1">
        <v>8</v>
      </c>
      <c r="M421" s="1">
        <v>2821.15</v>
      </c>
      <c r="N421" s="1">
        <v>10</v>
      </c>
      <c r="O421" s="1">
        <v>20312.28</v>
      </c>
    </row>
    <row r="422" spans="1:15" x14ac:dyDescent="0.3">
      <c r="A422" s="1">
        <v>10060</v>
      </c>
      <c r="B422" s="1">
        <v>1818</v>
      </c>
      <c r="C422" s="2">
        <v>44949</v>
      </c>
      <c r="D422" s="2">
        <v>44952</v>
      </c>
      <c r="E422" s="1" t="s">
        <v>46</v>
      </c>
      <c r="F422" s="1" t="s">
        <v>41</v>
      </c>
      <c r="G422" s="1" t="s">
        <v>30</v>
      </c>
      <c r="H422" s="1" t="s">
        <v>42</v>
      </c>
      <c r="I422" s="1" t="s">
        <v>57</v>
      </c>
      <c r="J422" s="1" t="s">
        <v>62</v>
      </c>
      <c r="K422" s="1" t="s">
        <v>45</v>
      </c>
      <c r="L422" s="1">
        <v>8</v>
      </c>
      <c r="M422" s="1">
        <v>3128.25</v>
      </c>
      <c r="N422" s="1">
        <v>15</v>
      </c>
      <c r="O422" s="1">
        <v>21272.1</v>
      </c>
    </row>
    <row r="423" spans="1:15" x14ac:dyDescent="0.3">
      <c r="A423" s="1">
        <v>10134</v>
      </c>
      <c r="B423" s="1">
        <v>1856</v>
      </c>
      <c r="C423" s="2">
        <v>45112</v>
      </c>
      <c r="D423" s="2">
        <v>45113</v>
      </c>
      <c r="E423" s="1" t="s">
        <v>46</v>
      </c>
      <c r="F423" s="1" t="s">
        <v>41</v>
      </c>
      <c r="G423" s="1" t="s">
        <v>17</v>
      </c>
      <c r="H423" s="1" t="s">
        <v>35</v>
      </c>
      <c r="I423" s="1" t="s">
        <v>31</v>
      </c>
      <c r="J423" s="1" t="s">
        <v>65</v>
      </c>
      <c r="K423" s="1" t="s">
        <v>33</v>
      </c>
      <c r="L423" s="1">
        <v>8</v>
      </c>
      <c r="M423" s="1">
        <v>885.86</v>
      </c>
      <c r="N423" s="1">
        <v>15</v>
      </c>
      <c r="O423" s="1">
        <v>6023.85</v>
      </c>
    </row>
    <row r="424" spans="1:15" x14ac:dyDescent="0.3">
      <c r="A424" s="1">
        <v>10161</v>
      </c>
      <c r="B424" s="1">
        <v>1047</v>
      </c>
      <c r="C424" s="2">
        <v>45109</v>
      </c>
      <c r="D424" s="2">
        <v>45111</v>
      </c>
      <c r="E424" s="1" t="s">
        <v>46</v>
      </c>
      <c r="F424" s="1" t="s">
        <v>41</v>
      </c>
      <c r="G424" s="1" t="s">
        <v>17</v>
      </c>
      <c r="H424" s="1" t="s">
        <v>35</v>
      </c>
      <c r="I424" s="1" t="s">
        <v>19</v>
      </c>
      <c r="J424" s="1" t="s">
        <v>20</v>
      </c>
      <c r="K424" s="1" t="s">
        <v>33</v>
      </c>
      <c r="L424" s="1">
        <v>8</v>
      </c>
      <c r="M424" s="1">
        <v>1168.3900000000001</v>
      </c>
      <c r="N424" s="1">
        <v>10</v>
      </c>
      <c r="O424" s="1">
        <v>8412.41</v>
      </c>
    </row>
    <row r="425" spans="1:15" x14ac:dyDescent="0.3">
      <c r="A425" s="1">
        <v>10208</v>
      </c>
      <c r="B425" s="1">
        <v>1170</v>
      </c>
      <c r="C425" s="2">
        <v>45118</v>
      </c>
      <c r="D425" s="2">
        <v>45123</v>
      </c>
      <c r="E425" s="1" t="s">
        <v>46</v>
      </c>
      <c r="F425" s="1" t="s">
        <v>41</v>
      </c>
      <c r="G425" s="1" t="s">
        <v>24</v>
      </c>
      <c r="H425" s="1" t="s">
        <v>42</v>
      </c>
      <c r="I425" s="1" t="s">
        <v>52</v>
      </c>
      <c r="J425" s="1" t="s">
        <v>53</v>
      </c>
      <c r="K425" s="1" t="s">
        <v>28</v>
      </c>
      <c r="L425" s="1">
        <v>8</v>
      </c>
      <c r="M425" s="1">
        <v>953.07</v>
      </c>
      <c r="N425" s="1">
        <v>20</v>
      </c>
      <c r="O425" s="1">
        <v>6099.65</v>
      </c>
    </row>
    <row r="426" spans="1:15" x14ac:dyDescent="0.3">
      <c r="A426" s="1">
        <v>10280</v>
      </c>
      <c r="B426" s="1">
        <v>1624</v>
      </c>
      <c r="C426" s="2">
        <v>45144</v>
      </c>
      <c r="D426" s="2">
        <v>45149</v>
      </c>
      <c r="E426" s="1" t="s">
        <v>46</v>
      </c>
      <c r="F426" s="1" t="s">
        <v>41</v>
      </c>
      <c r="G426" s="1" t="s">
        <v>24</v>
      </c>
      <c r="H426" s="1" t="s">
        <v>18</v>
      </c>
      <c r="I426" s="1" t="s">
        <v>49</v>
      </c>
      <c r="J426" s="1" t="s">
        <v>68</v>
      </c>
      <c r="K426" s="1" t="s">
        <v>33</v>
      </c>
      <c r="L426" s="1">
        <v>8</v>
      </c>
      <c r="M426" s="1">
        <v>3784.12</v>
      </c>
      <c r="N426" s="1">
        <v>15</v>
      </c>
      <c r="O426" s="1">
        <v>25732.02</v>
      </c>
    </row>
    <row r="427" spans="1:15" x14ac:dyDescent="0.3">
      <c r="A427" s="1">
        <v>10367</v>
      </c>
      <c r="B427" s="1">
        <v>1880</v>
      </c>
      <c r="C427" s="2">
        <v>45090</v>
      </c>
      <c r="D427" s="2">
        <v>45095</v>
      </c>
      <c r="E427" s="1" t="s">
        <v>46</v>
      </c>
      <c r="F427" s="1" t="s">
        <v>41</v>
      </c>
      <c r="G427" s="1" t="s">
        <v>30</v>
      </c>
      <c r="H427" s="1" t="s">
        <v>35</v>
      </c>
      <c r="I427" s="1" t="s">
        <v>57</v>
      </c>
      <c r="J427" s="1" t="s">
        <v>62</v>
      </c>
      <c r="K427" s="1" t="s">
        <v>45</v>
      </c>
      <c r="L427" s="1">
        <v>8</v>
      </c>
      <c r="M427" s="1">
        <v>3610.33</v>
      </c>
      <c r="N427" s="1">
        <v>5</v>
      </c>
      <c r="O427" s="1">
        <v>27438.51</v>
      </c>
    </row>
    <row r="428" spans="1:15" x14ac:dyDescent="0.3">
      <c r="A428" s="1">
        <v>10058</v>
      </c>
      <c r="B428" s="1">
        <v>1130</v>
      </c>
      <c r="C428" s="2">
        <v>45044</v>
      </c>
      <c r="D428" s="2">
        <v>45048</v>
      </c>
      <c r="E428" s="1" t="s">
        <v>46</v>
      </c>
      <c r="F428" s="1" t="s">
        <v>29</v>
      </c>
      <c r="G428" s="1" t="s">
        <v>24</v>
      </c>
      <c r="H428" s="1" t="s">
        <v>44</v>
      </c>
      <c r="I428" s="1" t="s">
        <v>57</v>
      </c>
      <c r="J428" s="1" t="s">
        <v>59</v>
      </c>
      <c r="K428" s="1" t="s">
        <v>21</v>
      </c>
      <c r="L428" s="1">
        <v>8</v>
      </c>
      <c r="M428" s="1">
        <v>1070.7</v>
      </c>
      <c r="N428" s="1">
        <v>5</v>
      </c>
      <c r="O428" s="1">
        <v>8137.32</v>
      </c>
    </row>
    <row r="429" spans="1:15" x14ac:dyDescent="0.3">
      <c r="A429" s="1">
        <v>10387</v>
      </c>
      <c r="B429" s="1">
        <v>1672</v>
      </c>
      <c r="C429" s="2">
        <v>45055</v>
      </c>
      <c r="D429" s="2">
        <v>45062</v>
      </c>
      <c r="E429" s="1" t="s">
        <v>46</v>
      </c>
      <c r="F429" s="1" t="s">
        <v>29</v>
      </c>
      <c r="G429" s="1" t="s">
        <v>24</v>
      </c>
      <c r="H429" s="1" t="s">
        <v>42</v>
      </c>
      <c r="I429" s="1" t="s">
        <v>31</v>
      </c>
      <c r="J429" s="1" t="s">
        <v>32</v>
      </c>
      <c r="K429" s="1" t="s">
        <v>33</v>
      </c>
      <c r="L429" s="1">
        <v>8</v>
      </c>
      <c r="M429" s="1">
        <v>1375.47</v>
      </c>
      <c r="N429" s="1">
        <v>15</v>
      </c>
      <c r="O429" s="1">
        <v>9353.2000000000007</v>
      </c>
    </row>
    <row r="430" spans="1:15" x14ac:dyDescent="0.3">
      <c r="A430" s="1">
        <v>10498</v>
      </c>
      <c r="B430" s="1">
        <v>1734</v>
      </c>
      <c r="C430" s="2">
        <v>45017</v>
      </c>
      <c r="D430" s="2">
        <v>45025</v>
      </c>
      <c r="E430" s="1" t="s">
        <v>46</v>
      </c>
      <c r="F430" s="1" t="s">
        <v>16</v>
      </c>
      <c r="G430" s="1" t="s">
        <v>30</v>
      </c>
      <c r="H430" s="1" t="s">
        <v>18</v>
      </c>
      <c r="I430" s="1" t="s">
        <v>26</v>
      </c>
      <c r="J430" s="1" t="s">
        <v>36</v>
      </c>
      <c r="K430" s="1" t="s">
        <v>28</v>
      </c>
      <c r="L430" s="1">
        <v>9</v>
      </c>
      <c r="M430" s="1">
        <v>2190.39</v>
      </c>
      <c r="N430" s="1">
        <v>20</v>
      </c>
      <c r="O430" s="1">
        <v>15770.81</v>
      </c>
    </row>
    <row r="431" spans="1:15" x14ac:dyDescent="0.3">
      <c r="A431" s="1">
        <v>10265</v>
      </c>
      <c r="B431" s="1">
        <v>1471</v>
      </c>
      <c r="C431" s="2">
        <v>45174</v>
      </c>
      <c r="D431" s="2">
        <v>45179</v>
      </c>
      <c r="E431" s="1" t="s">
        <v>46</v>
      </c>
      <c r="F431" s="1" t="s">
        <v>38</v>
      </c>
      <c r="G431" s="1" t="s">
        <v>24</v>
      </c>
      <c r="H431" s="1" t="s">
        <v>18</v>
      </c>
      <c r="I431" s="1" t="s">
        <v>26</v>
      </c>
      <c r="J431" s="1" t="s">
        <v>61</v>
      </c>
      <c r="K431" s="1" t="s">
        <v>21</v>
      </c>
      <c r="L431" s="1">
        <v>9</v>
      </c>
      <c r="M431" s="1">
        <v>1963.16</v>
      </c>
      <c r="N431" s="1">
        <v>20</v>
      </c>
      <c r="O431" s="1">
        <v>14134.75</v>
      </c>
    </row>
    <row r="432" spans="1:15" x14ac:dyDescent="0.3">
      <c r="A432" s="1">
        <v>10172</v>
      </c>
      <c r="B432" s="1">
        <v>1546</v>
      </c>
      <c r="C432" s="2">
        <v>45087</v>
      </c>
      <c r="D432" s="2">
        <v>45088</v>
      </c>
      <c r="E432" s="1" t="s">
        <v>46</v>
      </c>
      <c r="F432" s="1" t="s">
        <v>54</v>
      </c>
      <c r="G432" s="1" t="s">
        <v>17</v>
      </c>
      <c r="H432" s="1" t="s">
        <v>42</v>
      </c>
      <c r="I432" s="1" t="s">
        <v>49</v>
      </c>
      <c r="J432" s="1" t="s">
        <v>63</v>
      </c>
      <c r="K432" s="1" t="s">
        <v>47</v>
      </c>
      <c r="L432" s="1">
        <v>9</v>
      </c>
      <c r="M432" s="1">
        <v>3159.22</v>
      </c>
      <c r="N432" s="1">
        <v>20</v>
      </c>
      <c r="O432" s="1">
        <v>22746.38</v>
      </c>
    </row>
    <row r="433" spans="1:15" x14ac:dyDescent="0.3">
      <c r="A433" s="1">
        <v>10324</v>
      </c>
      <c r="B433" s="1">
        <v>1123</v>
      </c>
      <c r="C433" s="2">
        <v>45064</v>
      </c>
      <c r="D433" s="2">
        <v>45070</v>
      </c>
      <c r="E433" s="1" t="s">
        <v>46</v>
      </c>
      <c r="F433" s="1" t="s">
        <v>41</v>
      </c>
      <c r="G433" s="1" t="s">
        <v>24</v>
      </c>
      <c r="H433" s="1" t="s">
        <v>44</v>
      </c>
      <c r="I433" s="1" t="s">
        <v>57</v>
      </c>
      <c r="J433" s="1" t="s">
        <v>58</v>
      </c>
      <c r="K433" s="1" t="s">
        <v>33</v>
      </c>
      <c r="L433" s="1">
        <v>9</v>
      </c>
      <c r="M433" s="1">
        <v>3472.58</v>
      </c>
      <c r="N433" s="1">
        <v>15</v>
      </c>
      <c r="O433" s="1">
        <v>26565.24</v>
      </c>
    </row>
    <row r="434" spans="1:15" x14ac:dyDescent="0.3">
      <c r="A434" s="1">
        <v>10432</v>
      </c>
      <c r="B434" s="1">
        <v>1459</v>
      </c>
      <c r="C434" s="2">
        <v>45142</v>
      </c>
      <c r="D434" s="2">
        <v>45148</v>
      </c>
      <c r="E434" s="1" t="s">
        <v>46</v>
      </c>
      <c r="F434" s="1" t="s">
        <v>41</v>
      </c>
      <c r="G434" s="1" t="s">
        <v>30</v>
      </c>
      <c r="H434" s="1" t="s">
        <v>18</v>
      </c>
      <c r="I434" s="1" t="s">
        <v>26</v>
      </c>
      <c r="J434" s="1" t="s">
        <v>61</v>
      </c>
      <c r="K434" s="1" t="s">
        <v>47</v>
      </c>
      <c r="L434" s="1">
        <v>9</v>
      </c>
      <c r="M434" s="1">
        <v>672.4</v>
      </c>
      <c r="N434" s="1">
        <v>10</v>
      </c>
      <c r="O434" s="1">
        <v>5446.44</v>
      </c>
    </row>
    <row r="435" spans="1:15" x14ac:dyDescent="0.3">
      <c r="A435" s="1">
        <v>10417</v>
      </c>
      <c r="B435" s="1">
        <v>1579</v>
      </c>
      <c r="C435" s="2">
        <v>45057</v>
      </c>
      <c r="D435" s="2">
        <v>45065</v>
      </c>
      <c r="E435" s="1" t="s">
        <v>22</v>
      </c>
      <c r="F435" s="1" t="s">
        <v>54</v>
      </c>
      <c r="G435" s="1" t="s">
        <v>17</v>
      </c>
      <c r="H435" s="1" t="s">
        <v>44</v>
      </c>
      <c r="I435" s="1" t="s">
        <v>52</v>
      </c>
      <c r="J435" s="1" t="s">
        <v>64</v>
      </c>
      <c r="K435" s="1" t="s">
        <v>45</v>
      </c>
      <c r="L435" s="1">
        <v>1</v>
      </c>
      <c r="M435" s="1">
        <v>3354.81</v>
      </c>
      <c r="N435" s="1">
        <v>0</v>
      </c>
      <c r="O435" s="1">
        <v>3354.81</v>
      </c>
    </row>
    <row r="436" spans="1:15" x14ac:dyDescent="0.3">
      <c r="A436" s="1">
        <v>10024</v>
      </c>
      <c r="B436" s="1">
        <v>1343</v>
      </c>
      <c r="C436" s="2">
        <v>45075</v>
      </c>
      <c r="D436" s="2">
        <v>45082</v>
      </c>
      <c r="E436" s="1" t="s">
        <v>22</v>
      </c>
      <c r="F436" s="1" t="s">
        <v>41</v>
      </c>
      <c r="G436" s="1" t="s">
        <v>17</v>
      </c>
      <c r="H436" s="1" t="s">
        <v>44</v>
      </c>
      <c r="I436" s="1" t="s">
        <v>49</v>
      </c>
      <c r="J436" s="1" t="s">
        <v>51</v>
      </c>
      <c r="K436" s="1" t="s">
        <v>45</v>
      </c>
      <c r="L436" s="1">
        <v>1</v>
      </c>
      <c r="M436" s="1">
        <v>3606.31</v>
      </c>
      <c r="N436" s="1">
        <v>0</v>
      </c>
      <c r="O436" s="1">
        <v>3606.31</v>
      </c>
    </row>
    <row r="437" spans="1:15" x14ac:dyDescent="0.3">
      <c r="A437" s="1">
        <v>10177</v>
      </c>
      <c r="B437" s="1">
        <v>1461</v>
      </c>
      <c r="C437" s="2">
        <v>44973</v>
      </c>
      <c r="D437" s="2">
        <v>44982</v>
      </c>
      <c r="E437" s="1" t="s">
        <v>22</v>
      </c>
      <c r="F437" s="1" t="s">
        <v>41</v>
      </c>
      <c r="G437" s="1" t="s">
        <v>24</v>
      </c>
      <c r="H437" s="1" t="s">
        <v>25</v>
      </c>
      <c r="I437" s="1" t="s">
        <v>31</v>
      </c>
      <c r="J437" s="1" t="s">
        <v>32</v>
      </c>
      <c r="K437" s="1" t="s">
        <v>28</v>
      </c>
      <c r="L437" s="1">
        <v>1</v>
      </c>
      <c r="M437" s="1">
        <v>2329.9299999999998</v>
      </c>
      <c r="N437" s="1">
        <v>0</v>
      </c>
      <c r="O437" s="1">
        <v>2329.9299999999998</v>
      </c>
    </row>
    <row r="438" spans="1:15" x14ac:dyDescent="0.3">
      <c r="A438" s="1">
        <v>10138</v>
      </c>
      <c r="B438" s="1">
        <v>1128</v>
      </c>
      <c r="C438" s="2">
        <v>45088</v>
      </c>
      <c r="D438" s="2">
        <v>45093</v>
      </c>
      <c r="E438" s="1" t="s">
        <v>22</v>
      </c>
      <c r="F438" s="1" t="s">
        <v>29</v>
      </c>
      <c r="G438" s="1" t="s">
        <v>17</v>
      </c>
      <c r="H438" s="1" t="s">
        <v>35</v>
      </c>
      <c r="I438" s="1" t="s">
        <v>52</v>
      </c>
      <c r="J438" s="1" t="s">
        <v>53</v>
      </c>
      <c r="K438" s="1" t="s">
        <v>21</v>
      </c>
      <c r="L438" s="1">
        <v>1</v>
      </c>
      <c r="M438" s="1">
        <v>912.67</v>
      </c>
      <c r="N438" s="1">
        <v>0</v>
      </c>
      <c r="O438" s="1">
        <v>912.67</v>
      </c>
    </row>
    <row r="439" spans="1:15" x14ac:dyDescent="0.3">
      <c r="A439" s="1">
        <v>10232</v>
      </c>
      <c r="B439" s="1">
        <v>1639</v>
      </c>
      <c r="C439" s="2">
        <v>44962</v>
      </c>
      <c r="D439" s="2">
        <v>44969</v>
      </c>
      <c r="E439" s="1" t="s">
        <v>22</v>
      </c>
      <c r="F439" s="1" t="s">
        <v>29</v>
      </c>
      <c r="G439" s="1" t="s">
        <v>17</v>
      </c>
      <c r="H439" s="1" t="s">
        <v>18</v>
      </c>
      <c r="I439" s="1" t="s">
        <v>57</v>
      </c>
      <c r="J439" s="1" t="s">
        <v>59</v>
      </c>
      <c r="K439" s="1" t="s">
        <v>21</v>
      </c>
      <c r="L439" s="1">
        <v>1</v>
      </c>
      <c r="M439" s="1">
        <v>2250.4899999999998</v>
      </c>
      <c r="N439" s="1">
        <v>15</v>
      </c>
      <c r="O439" s="1">
        <v>1912.92</v>
      </c>
    </row>
    <row r="440" spans="1:15" x14ac:dyDescent="0.3">
      <c r="A440" s="1">
        <v>10460</v>
      </c>
      <c r="B440" s="1">
        <v>1515</v>
      </c>
      <c r="C440" s="2">
        <v>45215</v>
      </c>
      <c r="D440" s="2">
        <v>45221</v>
      </c>
      <c r="E440" s="1" t="s">
        <v>22</v>
      </c>
      <c r="F440" s="1" t="s">
        <v>29</v>
      </c>
      <c r="G440" s="1" t="s">
        <v>24</v>
      </c>
      <c r="H440" s="1" t="s">
        <v>25</v>
      </c>
      <c r="I440" s="1" t="s">
        <v>49</v>
      </c>
      <c r="J440" s="1" t="s">
        <v>50</v>
      </c>
      <c r="K440" s="1" t="s">
        <v>21</v>
      </c>
      <c r="L440" s="1">
        <v>1</v>
      </c>
      <c r="M440" s="1">
        <v>445.38</v>
      </c>
      <c r="N440" s="1">
        <v>10</v>
      </c>
      <c r="O440" s="1">
        <v>400.84</v>
      </c>
    </row>
    <row r="441" spans="1:15" x14ac:dyDescent="0.3">
      <c r="A441" s="1">
        <v>10118</v>
      </c>
      <c r="B441" s="1">
        <v>1748</v>
      </c>
      <c r="C441" s="2">
        <v>45128</v>
      </c>
      <c r="D441" s="2">
        <v>45129</v>
      </c>
      <c r="E441" s="1" t="s">
        <v>22</v>
      </c>
      <c r="F441" s="1" t="s">
        <v>16</v>
      </c>
      <c r="G441" s="1" t="s">
        <v>17</v>
      </c>
      <c r="H441" s="1" t="s">
        <v>44</v>
      </c>
      <c r="I441" s="1" t="s">
        <v>31</v>
      </c>
      <c r="J441" s="1" t="s">
        <v>48</v>
      </c>
      <c r="K441" s="1" t="s">
        <v>33</v>
      </c>
      <c r="L441" s="1">
        <v>2</v>
      </c>
      <c r="M441" s="1">
        <v>2303.71</v>
      </c>
      <c r="N441" s="1">
        <v>20</v>
      </c>
      <c r="O441" s="1">
        <v>3685.94</v>
      </c>
    </row>
    <row r="442" spans="1:15" x14ac:dyDescent="0.3">
      <c r="A442" s="1">
        <v>10254</v>
      </c>
      <c r="B442" s="1">
        <v>1676</v>
      </c>
      <c r="C442" s="2">
        <v>45010</v>
      </c>
      <c r="D442" s="2">
        <v>45012</v>
      </c>
      <c r="E442" s="1" t="s">
        <v>22</v>
      </c>
      <c r="F442" s="1" t="s">
        <v>16</v>
      </c>
      <c r="G442" s="1" t="s">
        <v>17</v>
      </c>
      <c r="H442" s="1" t="s">
        <v>42</v>
      </c>
      <c r="I442" s="1" t="s">
        <v>52</v>
      </c>
      <c r="J442" s="1" t="s">
        <v>64</v>
      </c>
      <c r="K442" s="1" t="s">
        <v>45</v>
      </c>
      <c r="L442" s="1">
        <v>2</v>
      </c>
      <c r="M442" s="1">
        <v>2711.66</v>
      </c>
      <c r="N442" s="1">
        <v>0</v>
      </c>
      <c r="O442" s="1">
        <v>5423.32</v>
      </c>
    </row>
    <row r="443" spans="1:15" x14ac:dyDescent="0.3">
      <c r="A443" s="1">
        <v>10115</v>
      </c>
      <c r="B443" s="1">
        <v>1295</v>
      </c>
      <c r="C443" s="2">
        <v>45156</v>
      </c>
      <c r="D443" s="2">
        <v>45159</v>
      </c>
      <c r="E443" s="1" t="s">
        <v>22</v>
      </c>
      <c r="F443" s="1" t="s">
        <v>54</v>
      </c>
      <c r="G443" s="1" t="s">
        <v>24</v>
      </c>
      <c r="H443" s="1" t="s">
        <v>42</v>
      </c>
      <c r="I443" s="1" t="s">
        <v>57</v>
      </c>
      <c r="J443" s="1" t="s">
        <v>62</v>
      </c>
      <c r="K443" s="1" t="s">
        <v>28</v>
      </c>
      <c r="L443" s="1">
        <v>2</v>
      </c>
      <c r="M443" s="1">
        <v>3621.09</v>
      </c>
      <c r="N443" s="1">
        <v>0</v>
      </c>
      <c r="O443" s="1">
        <v>7242.18</v>
      </c>
    </row>
    <row r="444" spans="1:15" x14ac:dyDescent="0.3">
      <c r="A444" s="1">
        <v>10150</v>
      </c>
      <c r="B444" s="1">
        <v>1772</v>
      </c>
      <c r="C444" s="2">
        <v>44956</v>
      </c>
      <c r="D444" s="2">
        <v>44961</v>
      </c>
      <c r="E444" s="1" t="s">
        <v>22</v>
      </c>
      <c r="F444" s="1" t="s">
        <v>54</v>
      </c>
      <c r="G444" s="1" t="s">
        <v>24</v>
      </c>
      <c r="H444" s="1" t="s">
        <v>18</v>
      </c>
      <c r="I444" s="1" t="s">
        <v>49</v>
      </c>
      <c r="J444" s="1" t="s">
        <v>51</v>
      </c>
      <c r="K444" s="1" t="s">
        <v>28</v>
      </c>
      <c r="L444" s="1">
        <v>2</v>
      </c>
      <c r="M444" s="1">
        <v>2808.06</v>
      </c>
      <c r="N444" s="1">
        <v>0</v>
      </c>
      <c r="O444" s="1">
        <v>5616.12</v>
      </c>
    </row>
    <row r="445" spans="1:15" x14ac:dyDescent="0.3">
      <c r="A445" s="1">
        <v>10328</v>
      </c>
      <c r="B445" s="1">
        <v>1348</v>
      </c>
      <c r="C445" s="2">
        <v>45245</v>
      </c>
      <c r="D445" s="2">
        <v>45250</v>
      </c>
      <c r="E445" s="1" t="s">
        <v>22</v>
      </c>
      <c r="F445" s="1" t="s">
        <v>54</v>
      </c>
      <c r="G445" s="1" t="s">
        <v>24</v>
      </c>
      <c r="H445" s="1" t="s">
        <v>25</v>
      </c>
      <c r="I445" s="1" t="s">
        <v>52</v>
      </c>
      <c r="J445" s="1" t="s">
        <v>53</v>
      </c>
      <c r="K445" s="1" t="s">
        <v>45</v>
      </c>
      <c r="L445" s="1">
        <v>2</v>
      </c>
      <c r="M445" s="1">
        <v>2948.33</v>
      </c>
      <c r="N445" s="1">
        <v>15</v>
      </c>
      <c r="O445" s="1">
        <v>5012.16</v>
      </c>
    </row>
    <row r="446" spans="1:15" x14ac:dyDescent="0.3">
      <c r="A446" s="1">
        <v>10137</v>
      </c>
      <c r="B446" s="1">
        <v>1343</v>
      </c>
      <c r="C446" s="2">
        <v>44950</v>
      </c>
      <c r="D446" s="2">
        <v>44958</v>
      </c>
      <c r="E446" s="1" t="s">
        <v>22</v>
      </c>
      <c r="F446" s="1" t="s">
        <v>41</v>
      </c>
      <c r="G446" s="1" t="s">
        <v>24</v>
      </c>
      <c r="H446" s="1" t="s">
        <v>42</v>
      </c>
      <c r="I446" s="1" t="s">
        <v>49</v>
      </c>
      <c r="J446" s="1" t="s">
        <v>50</v>
      </c>
      <c r="K446" s="1" t="s">
        <v>45</v>
      </c>
      <c r="L446" s="1">
        <v>2</v>
      </c>
      <c r="M446" s="1">
        <v>1322.3</v>
      </c>
      <c r="N446" s="1">
        <v>15</v>
      </c>
      <c r="O446" s="1">
        <v>2247.91</v>
      </c>
    </row>
    <row r="447" spans="1:15" x14ac:dyDescent="0.3">
      <c r="A447" s="1">
        <v>10428</v>
      </c>
      <c r="B447" s="1">
        <v>1400</v>
      </c>
      <c r="C447" s="2">
        <v>44986</v>
      </c>
      <c r="D447" s="2">
        <v>44994</v>
      </c>
      <c r="E447" s="1" t="s">
        <v>22</v>
      </c>
      <c r="F447" s="1" t="s">
        <v>29</v>
      </c>
      <c r="G447" s="1" t="s">
        <v>30</v>
      </c>
      <c r="H447" s="1" t="s">
        <v>44</v>
      </c>
      <c r="I447" s="1" t="s">
        <v>49</v>
      </c>
      <c r="J447" s="1" t="s">
        <v>51</v>
      </c>
      <c r="K447" s="1" t="s">
        <v>47</v>
      </c>
      <c r="L447" s="1">
        <v>2</v>
      </c>
      <c r="M447" s="1">
        <v>2663.86</v>
      </c>
      <c r="N447" s="1">
        <v>20</v>
      </c>
      <c r="O447" s="1">
        <v>4262.18</v>
      </c>
    </row>
    <row r="448" spans="1:15" x14ac:dyDescent="0.3">
      <c r="A448" s="1">
        <v>10294</v>
      </c>
      <c r="B448" s="1">
        <v>1402</v>
      </c>
      <c r="C448" s="2">
        <v>44987</v>
      </c>
      <c r="D448" s="2">
        <v>44994</v>
      </c>
      <c r="E448" s="1" t="s">
        <v>22</v>
      </c>
      <c r="F448" s="1" t="s">
        <v>16</v>
      </c>
      <c r="G448" s="1" t="s">
        <v>24</v>
      </c>
      <c r="H448" s="1" t="s">
        <v>35</v>
      </c>
      <c r="I448" s="1" t="s">
        <v>19</v>
      </c>
      <c r="J448" s="1" t="s">
        <v>43</v>
      </c>
      <c r="K448" s="1" t="s">
        <v>45</v>
      </c>
      <c r="L448" s="1">
        <v>3</v>
      </c>
      <c r="M448" s="1">
        <v>967.49</v>
      </c>
      <c r="N448" s="1">
        <v>0</v>
      </c>
      <c r="O448" s="1">
        <v>2902.47</v>
      </c>
    </row>
    <row r="449" spans="1:15" x14ac:dyDescent="0.3">
      <c r="A449" s="1">
        <v>10392</v>
      </c>
      <c r="B449" s="1">
        <v>1967</v>
      </c>
      <c r="C449" s="2">
        <v>45027</v>
      </c>
      <c r="D449" s="2">
        <v>45036</v>
      </c>
      <c r="E449" s="1" t="s">
        <v>22</v>
      </c>
      <c r="F449" s="1" t="s">
        <v>38</v>
      </c>
      <c r="G449" s="1" t="s">
        <v>24</v>
      </c>
      <c r="H449" s="1" t="s">
        <v>25</v>
      </c>
      <c r="I449" s="1" t="s">
        <v>52</v>
      </c>
      <c r="J449" s="1" t="s">
        <v>60</v>
      </c>
      <c r="K449" s="1" t="s">
        <v>33</v>
      </c>
      <c r="L449" s="1">
        <v>3</v>
      </c>
      <c r="M449" s="1">
        <v>1553.98</v>
      </c>
      <c r="N449" s="1">
        <v>15</v>
      </c>
      <c r="O449" s="1">
        <v>3962.65</v>
      </c>
    </row>
    <row r="450" spans="1:15" x14ac:dyDescent="0.3">
      <c r="A450" s="1">
        <v>10052</v>
      </c>
      <c r="B450" s="1">
        <v>1562</v>
      </c>
      <c r="C450" s="2">
        <v>45097</v>
      </c>
      <c r="D450" s="2">
        <v>45098</v>
      </c>
      <c r="E450" s="1" t="s">
        <v>22</v>
      </c>
      <c r="F450" s="1" t="s">
        <v>54</v>
      </c>
      <c r="G450" s="1" t="s">
        <v>24</v>
      </c>
      <c r="H450" s="1" t="s">
        <v>35</v>
      </c>
      <c r="I450" s="1" t="s">
        <v>57</v>
      </c>
      <c r="J450" s="1" t="s">
        <v>62</v>
      </c>
      <c r="K450" s="1" t="s">
        <v>33</v>
      </c>
      <c r="L450" s="1">
        <v>3</v>
      </c>
      <c r="M450" s="1">
        <v>2668.52</v>
      </c>
      <c r="N450" s="1">
        <v>5</v>
      </c>
      <c r="O450" s="1">
        <v>7605.28</v>
      </c>
    </row>
    <row r="451" spans="1:15" x14ac:dyDescent="0.3">
      <c r="A451" s="1">
        <v>10077</v>
      </c>
      <c r="B451" s="1">
        <v>1366</v>
      </c>
      <c r="C451" s="2">
        <v>45030</v>
      </c>
      <c r="D451" s="2">
        <v>45034</v>
      </c>
      <c r="E451" s="1" t="s">
        <v>22</v>
      </c>
      <c r="F451" s="1" t="s">
        <v>54</v>
      </c>
      <c r="G451" s="1" t="s">
        <v>30</v>
      </c>
      <c r="H451" s="1" t="s">
        <v>25</v>
      </c>
      <c r="I451" s="1" t="s">
        <v>31</v>
      </c>
      <c r="J451" s="1" t="s">
        <v>32</v>
      </c>
      <c r="K451" s="1" t="s">
        <v>45</v>
      </c>
      <c r="L451" s="1">
        <v>3</v>
      </c>
      <c r="M451" s="1">
        <v>985.28</v>
      </c>
      <c r="N451" s="1">
        <v>10</v>
      </c>
      <c r="O451" s="1">
        <v>2660.26</v>
      </c>
    </row>
    <row r="452" spans="1:15" x14ac:dyDescent="0.3">
      <c r="A452" s="1">
        <v>10388</v>
      </c>
      <c r="B452" s="1">
        <v>1919</v>
      </c>
      <c r="C452" s="2">
        <v>44934</v>
      </c>
      <c r="D452" s="2">
        <v>44941</v>
      </c>
      <c r="E452" s="1" t="s">
        <v>22</v>
      </c>
      <c r="F452" s="1" t="s">
        <v>54</v>
      </c>
      <c r="G452" s="1" t="s">
        <v>30</v>
      </c>
      <c r="H452" s="1" t="s">
        <v>18</v>
      </c>
      <c r="I452" s="1" t="s">
        <v>31</v>
      </c>
      <c r="J452" s="1" t="s">
        <v>39</v>
      </c>
      <c r="K452" s="1" t="s">
        <v>33</v>
      </c>
      <c r="L452" s="1">
        <v>3</v>
      </c>
      <c r="M452" s="1">
        <v>2032.79</v>
      </c>
      <c r="N452" s="1">
        <v>10</v>
      </c>
      <c r="O452" s="1">
        <v>5488.53</v>
      </c>
    </row>
    <row r="453" spans="1:15" x14ac:dyDescent="0.3">
      <c r="A453" s="1">
        <v>10293</v>
      </c>
      <c r="B453" s="1">
        <v>1384</v>
      </c>
      <c r="C453" s="2">
        <v>44987</v>
      </c>
      <c r="D453" s="2">
        <v>44992</v>
      </c>
      <c r="E453" s="1" t="s">
        <v>22</v>
      </c>
      <c r="F453" s="1" t="s">
        <v>23</v>
      </c>
      <c r="G453" s="1" t="s">
        <v>24</v>
      </c>
      <c r="H453" s="1" t="s">
        <v>42</v>
      </c>
      <c r="I453" s="1" t="s">
        <v>26</v>
      </c>
      <c r="J453" s="1" t="s">
        <v>27</v>
      </c>
      <c r="K453" s="1" t="s">
        <v>21</v>
      </c>
      <c r="L453" s="1">
        <v>3</v>
      </c>
      <c r="M453" s="1">
        <v>2654.14</v>
      </c>
      <c r="N453" s="1">
        <v>10</v>
      </c>
      <c r="O453" s="1">
        <v>7166.18</v>
      </c>
    </row>
    <row r="454" spans="1:15" x14ac:dyDescent="0.3">
      <c r="A454" s="1">
        <v>10260</v>
      </c>
      <c r="B454" s="1">
        <v>1974</v>
      </c>
      <c r="C454" s="2">
        <v>45104</v>
      </c>
      <c r="D454" s="2">
        <v>45110</v>
      </c>
      <c r="E454" s="1" t="s">
        <v>22</v>
      </c>
      <c r="F454" s="1" t="s">
        <v>41</v>
      </c>
      <c r="G454" s="1" t="s">
        <v>17</v>
      </c>
      <c r="H454" s="1" t="s">
        <v>42</v>
      </c>
      <c r="I454" s="1" t="s">
        <v>31</v>
      </c>
      <c r="J454" s="1" t="s">
        <v>65</v>
      </c>
      <c r="K454" s="1" t="s">
        <v>28</v>
      </c>
      <c r="L454" s="1">
        <v>3</v>
      </c>
      <c r="M454" s="1">
        <v>647.32000000000005</v>
      </c>
      <c r="N454" s="1">
        <v>5</v>
      </c>
      <c r="O454" s="1">
        <v>1844.86</v>
      </c>
    </row>
    <row r="455" spans="1:15" x14ac:dyDescent="0.3">
      <c r="A455" s="1">
        <v>10338</v>
      </c>
      <c r="B455" s="1">
        <v>1146</v>
      </c>
      <c r="C455" s="2">
        <v>45139</v>
      </c>
      <c r="D455" s="2">
        <v>45145</v>
      </c>
      <c r="E455" s="1" t="s">
        <v>22</v>
      </c>
      <c r="F455" s="1" t="s">
        <v>29</v>
      </c>
      <c r="G455" s="1" t="s">
        <v>30</v>
      </c>
      <c r="H455" s="1" t="s">
        <v>42</v>
      </c>
      <c r="I455" s="1" t="s">
        <v>49</v>
      </c>
      <c r="J455" s="1" t="s">
        <v>50</v>
      </c>
      <c r="K455" s="1" t="s">
        <v>21</v>
      </c>
      <c r="L455" s="1">
        <v>3</v>
      </c>
      <c r="M455" s="1">
        <v>464.42</v>
      </c>
      <c r="N455" s="1">
        <v>20</v>
      </c>
      <c r="O455" s="1">
        <v>1114.6099999999999</v>
      </c>
    </row>
    <row r="456" spans="1:15" x14ac:dyDescent="0.3">
      <c r="A456" s="1">
        <v>10094</v>
      </c>
      <c r="B456" s="1">
        <v>1105</v>
      </c>
      <c r="C456" s="2">
        <v>44938</v>
      </c>
      <c r="D456" s="2">
        <v>44946</v>
      </c>
      <c r="E456" s="1" t="s">
        <v>22</v>
      </c>
      <c r="F456" s="1" t="s">
        <v>16</v>
      </c>
      <c r="G456" s="1" t="s">
        <v>30</v>
      </c>
      <c r="H456" s="1" t="s">
        <v>25</v>
      </c>
      <c r="I456" s="1" t="s">
        <v>52</v>
      </c>
      <c r="J456" s="1" t="s">
        <v>60</v>
      </c>
      <c r="K456" s="1" t="s">
        <v>21</v>
      </c>
      <c r="L456" s="1">
        <v>4</v>
      </c>
      <c r="M456" s="1">
        <v>1611.52</v>
      </c>
      <c r="N456" s="1">
        <v>10</v>
      </c>
      <c r="O456" s="1">
        <v>5801.47</v>
      </c>
    </row>
    <row r="457" spans="1:15" x14ac:dyDescent="0.3">
      <c r="A457" s="1">
        <v>10160</v>
      </c>
      <c r="B457" s="1">
        <v>1032</v>
      </c>
      <c r="C457" s="2">
        <v>45039</v>
      </c>
      <c r="D457" s="2">
        <v>45041</v>
      </c>
      <c r="E457" s="1" t="s">
        <v>22</v>
      </c>
      <c r="F457" s="1" t="s">
        <v>38</v>
      </c>
      <c r="G457" s="1" t="s">
        <v>17</v>
      </c>
      <c r="H457" s="1" t="s">
        <v>44</v>
      </c>
      <c r="I457" s="1" t="s">
        <v>31</v>
      </c>
      <c r="J457" s="1" t="s">
        <v>48</v>
      </c>
      <c r="K457" s="1" t="s">
        <v>47</v>
      </c>
      <c r="L457" s="1">
        <v>4</v>
      </c>
      <c r="M457" s="1">
        <v>1322.72</v>
      </c>
      <c r="N457" s="1">
        <v>5</v>
      </c>
      <c r="O457" s="1">
        <v>5026.34</v>
      </c>
    </row>
    <row r="458" spans="1:15" x14ac:dyDescent="0.3">
      <c r="A458" s="1">
        <v>10182</v>
      </c>
      <c r="B458" s="1">
        <v>1502</v>
      </c>
      <c r="C458" s="2">
        <v>45001</v>
      </c>
      <c r="D458" s="2">
        <v>45007</v>
      </c>
      <c r="E458" s="1" t="s">
        <v>22</v>
      </c>
      <c r="F458" s="1" t="s">
        <v>23</v>
      </c>
      <c r="G458" s="1" t="s">
        <v>24</v>
      </c>
      <c r="H458" s="1" t="s">
        <v>42</v>
      </c>
      <c r="I458" s="1" t="s">
        <v>57</v>
      </c>
      <c r="J458" s="1" t="s">
        <v>59</v>
      </c>
      <c r="K458" s="1" t="s">
        <v>45</v>
      </c>
      <c r="L458" s="1">
        <v>4</v>
      </c>
      <c r="M458" s="1">
        <v>3043.09</v>
      </c>
      <c r="N458" s="1">
        <v>5</v>
      </c>
      <c r="O458" s="1">
        <v>11563.74</v>
      </c>
    </row>
    <row r="459" spans="1:15" x14ac:dyDescent="0.3">
      <c r="A459" s="1">
        <v>10467</v>
      </c>
      <c r="B459" s="1">
        <v>1219</v>
      </c>
      <c r="C459" s="2">
        <v>45127</v>
      </c>
      <c r="D459" s="2">
        <v>45129</v>
      </c>
      <c r="E459" s="1" t="s">
        <v>22</v>
      </c>
      <c r="F459" s="1" t="s">
        <v>41</v>
      </c>
      <c r="G459" s="1" t="s">
        <v>17</v>
      </c>
      <c r="H459" s="1" t="s">
        <v>44</v>
      </c>
      <c r="I459" s="1" t="s">
        <v>26</v>
      </c>
      <c r="J459" s="1" t="s">
        <v>69</v>
      </c>
      <c r="K459" s="1" t="s">
        <v>28</v>
      </c>
      <c r="L459" s="1">
        <v>4</v>
      </c>
      <c r="M459" s="1">
        <v>3509.72</v>
      </c>
      <c r="N459" s="1">
        <v>15</v>
      </c>
      <c r="O459" s="1">
        <v>11933.05</v>
      </c>
    </row>
    <row r="460" spans="1:15" x14ac:dyDescent="0.3">
      <c r="A460" s="1">
        <v>10344</v>
      </c>
      <c r="B460" s="1">
        <v>1928</v>
      </c>
      <c r="C460" s="2">
        <v>45094</v>
      </c>
      <c r="D460" s="2">
        <v>45101</v>
      </c>
      <c r="E460" s="1" t="s">
        <v>22</v>
      </c>
      <c r="F460" s="1" t="s">
        <v>29</v>
      </c>
      <c r="G460" s="1" t="s">
        <v>30</v>
      </c>
      <c r="H460" s="1" t="s">
        <v>44</v>
      </c>
      <c r="I460" s="1" t="s">
        <v>52</v>
      </c>
      <c r="J460" s="1" t="s">
        <v>56</v>
      </c>
      <c r="K460" s="1" t="s">
        <v>33</v>
      </c>
      <c r="L460" s="1">
        <v>4</v>
      </c>
      <c r="M460" s="1">
        <v>2785.81</v>
      </c>
      <c r="N460" s="1">
        <v>20</v>
      </c>
      <c r="O460" s="1">
        <v>8914.59</v>
      </c>
    </row>
    <row r="461" spans="1:15" x14ac:dyDescent="0.3">
      <c r="A461" s="1">
        <v>10076</v>
      </c>
      <c r="B461" s="1">
        <v>1091</v>
      </c>
      <c r="C461" s="2">
        <v>44929</v>
      </c>
      <c r="D461" s="2">
        <v>44932</v>
      </c>
      <c r="E461" s="1" t="s">
        <v>22</v>
      </c>
      <c r="F461" s="1" t="s">
        <v>16</v>
      </c>
      <c r="G461" s="1" t="s">
        <v>30</v>
      </c>
      <c r="H461" s="1" t="s">
        <v>35</v>
      </c>
      <c r="I461" s="1" t="s">
        <v>31</v>
      </c>
      <c r="J461" s="1" t="s">
        <v>39</v>
      </c>
      <c r="K461" s="1" t="s">
        <v>33</v>
      </c>
      <c r="L461" s="1">
        <v>5</v>
      </c>
      <c r="M461" s="1">
        <v>1220.68</v>
      </c>
      <c r="N461" s="1">
        <v>20</v>
      </c>
      <c r="O461" s="1">
        <v>4882.72</v>
      </c>
    </row>
    <row r="462" spans="1:15" x14ac:dyDescent="0.3">
      <c r="A462" s="1">
        <v>10384</v>
      </c>
      <c r="B462" s="1">
        <v>1151</v>
      </c>
      <c r="C462" s="2">
        <v>45289</v>
      </c>
      <c r="D462" s="2">
        <v>45297</v>
      </c>
      <c r="E462" s="1" t="s">
        <v>22</v>
      </c>
      <c r="F462" s="1" t="s">
        <v>16</v>
      </c>
      <c r="G462" s="1" t="s">
        <v>24</v>
      </c>
      <c r="H462" s="1" t="s">
        <v>42</v>
      </c>
      <c r="I462" s="1" t="s">
        <v>19</v>
      </c>
      <c r="J462" s="1" t="s">
        <v>55</v>
      </c>
      <c r="K462" s="1" t="s">
        <v>28</v>
      </c>
      <c r="L462" s="1">
        <v>5</v>
      </c>
      <c r="M462" s="1">
        <v>1935.68</v>
      </c>
      <c r="N462" s="1">
        <v>20</v>
      </c>
      <c r="O462" s="1">
        <v>7742.72</v>
      </c>
    </row>
    <row r="463" spans="1:15" x14ac:dyDescent="0.3">
      <c r="A463" s="1">
        <v>10463</v>
      </c>
      <c r="B463" s="1">
        <v>1048</v>
      </c>
      <c r="C463" s="2">
        <v>44992</v>
      </c>
      <c r="D463" s="2">
        <v>45000</v>
      </c>
      <c r="E463" s="1" t="s">
        <v>22</v>
      </c>
      <c r="F463" s="1" t="s">
        <v>16</v>
      </c>
      <c r="G463" s="1" t="s">
        <v>24</v>
      </c>
      <c r="H463" s="1" t="s">
        <v>35</v>
      </c>
      <c r="I463" s="1" t="s">
        <v>26</v>
      </c>
      <c r="J463" s="1" t="s">
        <v>36</v>
      </c>
      <c r="K463" s="1" t="s">
        <v>47</v>
      </c>
      <c r="L463" s="1">
        <v>5</v>
      </c>
      <c r="M463" s="1">
        <v>2072.3200000000002</v>
      </c>
      <c r="N463" s="1">
        <v>15</v>
      </c>
      <c r="O463" s="1">
        <v>8807.36</v>
      </c>
    </row>
    <row r="464" spans="1:15" x14ac:dyDescent="0.3">
      <c r="A464" s="1">
        <v>10048</v>
      </c>
      <c r="B464" s="1">
        <v>1189</v>
      </c>
      <c r="C464" s="2">
        <v>45021</v>
      </c>
      <c r="D464" s="2">
        <v>45027</v>
      </c>
      <c r="E464" s="1" t="s">
        <v>22</v>
      </c>
      <c r="F464" s="1" t="s">
        <v>38</v>
      </c>
      <c r="G464" s="1" t="s">
        <v>24</v>
      </c>
      <c r="H464" s="1" t="s">
        <v>44</v>
      </c>
      <c r="I464" s="1" t="s">
        <v>31</v>
      </c>
      <c r="J464" s="1" t="s">
        <v>65</v>
      </c>
      <c r="K464" s="1" t="s">
        <v>28</v>
      </c>
      <c r="L464" s="1">
        <v>5</v>
      </c>
      <c r="M464" s="1">
        <v>2466.48</v>
      </c>
      <c r="N464" s="1">
        <v>5</v>
      </c>
      <c r="O464" s="1">
        <v>11715.78</v>
      </c>
    </row>
    <row r="465" spans="1:15" x14ac:dyDescent="0.3">
      <c r="A465" s="1">
        <v>10184</v>
      </c>
      <c r="B465" s="1">
        <v>1397</v>
      </c>
      <c r="C465" s="2">
        <v>45063</v>
      </c>
      <c r="D465" s="2">
        <v>45072</v>
      </c>
      <c r="E465" s="1" t="s">
        <v>22</v>
      </c>
      <c r="F465" s="1" t="s">
        <v>54</v>
      </c>
      <c r="G465" s="1" t="s">
        <v>17</v>
      </c>
      <c r="H465" s="1" t="s">
        <v>44</v>
      </c>
      <c r="I465" s="1" t="s">
        <v>52</v>
      </c>
      <c r="J465" s="1" t="s">
        <v>64</v>
      </c>
      <c r="K465" s="1" t="s">
        <v>21</v>
      </c>
      <c r="L465" s="1">
        <v>5</v>
      </c>
      <c r="M465" s="1">
        <v>2125.75</v>
      </c>
      <c r="N465" s="1">
        <v>15</v>
      </c>
      <c r="O465" s="1">
        <v>9034.44</v>
      </c>
    </row>
    <row r="466" spans="1:15" x14ac:dyDescent="0.3">
      <c r="A466" s="1">
        <v>10169</v>
      </c>
      <c r="B466" s="1">
        <v>1871</v>
      </c>
      <c r="C466" s="2">
        <v>45239</v>
      </c>
      <c r="D466" s="2">
        <v>45247</v>
      </c>
      <c r="E466" s="1" t="s">
        <v>22</v>
      </c>
      <c r="F466" s="1" t="s">
        <v>29</v>
      </c>
      <c r="G466" s="1" t="s">
        <v>30</v>
      </c>
      <c r="H466" s="1" t="s">
        <v>44</v>
      </c>
      <c r="I466" s="1" t="s">
        <v>19</v>
      </c>
      <c r="J466" s="1" t="s">
        <v>55</v>
      </c>
      <c r="K466" s="1" t="s">
        <v>47</v>
      </c>
      <c r="L466" s="1">
        <v>5</v>
      </c>
      <c r="M466" s="1">
        <v>3453.13</v>
      </c>
      <c r="N466" s="1">
        <v>5</v>
      </c>
      <c r="O466" s="1">
        <v>16402.37</v>
      </c>
    </row>
    <row r="467" spans="1:15" x14ac:dyDescent="0.3">
      <c r="A467" s="1">
        <v>10398</v>
      </c>
      <c r="B467" s="1">
        <v>1226</v>
      </c>
      <c r="C467" s="2">
        <v>44938</v>
      </c>
      <c r="D467" s="2">
        <v>44943</v>
      </c>
      <c r="E467" s="1" t="s">
        <v>22</v>
      </c>
      <c r="F467" s="1" t="s">
        <v>29</v>
      </c>
      <c r="G467" s="1" t="s">
        <v>17</v>
      </c>
      <c r="H467" s="1" t="s">
        <v>44</v>
      </c>
      <c r="I467" s="1" t="s">
        <v>49</v>
      </c>
      <c r="J467" s="1" t="s">
        <v>63</v>
      </c>
      <c r="K467" s="1" t="s">
        <v>33</v>
      </c>
      <c r="L467" s="1">
        <v>5</v>
      </c>
      <c r="M467" s="1">
        <v>3245.77</v>
      </c>
      <c r="N467" s="1">
        <v>0</v>
      </c>
      <c r="O467" s="1">
        <v>16228.85</v>
      </c>
    </row>
    <row r="468" spans="1:15" x14ac:dyDescent="0.3">
      <c r="A468" s="1">
        <v>10373</v>
      </c>
      <c r="B468" s="1">
        <v>1452</v>
      </c>
      <c r="C468" s="2">
        <v>45030</v>
      </c>
      <c r="D468" s="2">
        <v>45036</v>
      </c>
      <c r="E468" s="1" t="s">
        <v>22</v>
      </c>
      <c r="F468" s="1" t="s">
        <v>16</v>
      </c>
      <c r="G468" s="1" t="s">
        <v>24</v>
      </c>
      <c r="H468" s="1" t="s">
        <v>18</v>
      </c>
      <c r="I468" s="1" t="s">
        <v>52</v>
      </c>
      <c r="J468" s="1" t="s">
        <v>53</v>
      </c>
      <c r="K468" s="1" t="s">
        <v>21</v>
      </c>
      <c r="L468" s="1">
        <v>6</v>
      </c>
      <c r="M468" s="1">
        <v>1019.05</v>
      </c>
      <c r="N468" s="1">
        <v>0</v>
      </c>
      <c r="O468" s="1">
        <v>6114.3</v>
      </c>
    </row>
    <row r="469" spans="1:15" x14ac:dyDescent="0.3">
      <c r="A469" s="1">
        <v>10453</v>
      </c>
      <c r="B469" s="1">
        <v>1878</v>
      </c>
      <c r="C469" s="2">
        <v>45199</v>
      </c>
      <c r="D469" s="2">
        <v>45203</v>
      </c>
      <c r="E469" s="1" t="s">
        <v>22</v>
      </c>
      <c r="F469" s="1" t="s">
        <v>16</v>
      </c>
      <c r="G469" s="1" t="s">
        <v>24</v>
      </c>
      <c r="H469" s="1" t="s">
        <v>42</v>
      </c>
      <c r="I469" s="1" t="s">
        <v>26</v>
      </c>
      <c r="J469" s="1" t="s">
        <v>27</v>
      </c>
      <c r="K469" s="1" t="s">
        <v>47</v>
      </c>
      <c r="L469" s="1">
        <v>6</v>
      </c>
      <c r="M469" s="1">
        <v>2269.3200000000002</v>
      </c>
      <c r="N469" s="1">
        <v>15</v>
      </c>
      <c r="O469" s="1">
        <v>11573.53</v>
      </c>
    </row>
    <row r="470" spans="1:15" x14ac:dyDescent="0.3">
      <c r="A470" s="1">
        <v>10287</v>
      </c>
      <c r="B470" s="1">
        <v>1219</v>
      </c>
      <c r="C470" s="2">
        <v>45122</v>
      </c>
      <c r="D470" s="2">
        <v>45125</v>
      </c>
      <c r="E470" s="1" t="s">
        <v>22</v>
      </c>
      <c r="F470" s="1" t="s">
        <v>38</v>
      </c>
      <c r="G470" s="1" t="s">
        <v>24</v>
      </c>
      <c r="H470" s="1" t="s">
        <v>18</v>
      </c>
      <c r="I470" s="1" t="s">
        <v>57</v>
      </c>
      <c r="J470" s="1" t="s">
        <v>67</v>
      </c>
      <c r="K470" s="1" t="s">
        <v>21</v>
      </c>
      <c r="L470" s="1">
        <v>6</v>
      </c>
      <c r="M470" s="1">
        <v>1936.66</v>
      </c>
      <c r="N470" s="1">
        <v>0</v>
      </c>
      <c r="O470" s="1">
        <v>11619.96</v>
      </c>
    </row>
    <row r="471" spans="1:15" x14ac:dyDescent="0.3">
      <c r="A471" s="1">
        <v>10147</v>
      </c>
      <c r="B471" s="1">
        <v>1418</v>
      </c>
      <c r="C471" s="2">
        <v>45078</v>
      </c>
      <c r="D471" s="2">
        <v>45081</v>
      </c>
      <c r="E471" s="1" t="s">
        <v>22</v>
      </c>
      <c r="F471" s="1" t="s">
        <v>54</v>
      </c>
      <c r="G471" s="1" t="s">
        <v>24</v>
      </c>
      <c r="H471" s="1" t="s">
        <v>25</v>
      </c>
      <c r="I471" s="1" t="s">
        <v>31</v>
      </c>
      <c r="J471" s="1" t="s">
        <v>48</v>
      </c>
      <c r="K471" s="1" t="s">
        <v>21</v>
      </c>
      <c r="L471" s="1">
        <v>6</v>
      </c>
      <c r="M471" s="1">
        <v>1852.67</v>
      </c>
      <c r="N471" s="1">
        <v>5</v>
      </c>
      <c r="O471" s="1">
        <v>10560.22</v>
      </c>
    </row>
    <row r="472" spans="1:15" x14ac:dyDescent="0.3">
      <c r="A472" s="1">
        <v>10292</v>
      </c>
      <c r="B472" s="1">
        <v>1224</v>
      </c>
      <c r="C472" s="2">
        <v>45078</v>
      </c>
      <c r="D472" s="2">
        <v>45083</v>
      </c>
      <c r="E472" s="1" t="s">
        <v>22</v>
      </c>
      <c r="F472" s="1" t="s">
        <v>23</v>
      </c>
      <c r="G472" s="1" t="s">
        <v>24</v>
      </c>
      <c r="H472" s="1" t="s">
        <v>35</v>
      </c>
      <c r="I472" s="1" t="s">
        <v>57</v>
      </c>
      <c r="J472" s="1" t="s">
        <v>67</v>
      </c>
      <c r="K472" s="1" t="s">
        <v>21</v>
      </c>
      <c r="L472" s="1">
        <v>6</v>
      </c>
      <c r="M472" s="1">
        <v>1116.6600000000001</v>
      </c>
      <c r="N472" s="1">
        <v>0</v>
      </c>
      <c r="O472" s="1">
        <v>6699.96</v>
      </c>
    </row>
    <row r="473" spans="1:15" x14ac:dyDescent="0.3">
      <c r="A473" s="1">
        <v>10327</v>
      </c>
      <c r="B473" s="1">
        <v>1463</v>
      </c>
      <c r="C473" s="2">
        <v>45169</v>
      </c>
      <c r="D473" s="2">
        <v>45176</v>
      </c>
      <c r="E473" s="1" t="s">
        <v>22</v>
      </c>
      <c r="F473" s="1" t="s">
        <v>23</v>
      </c>
      <c r="G473" s="1" t="s">
        <v>17</v>
      </c>
      <c r="H473" s="1" t="s">
        <v>42</v>
      </c>
      <c r="I473" s="1" t="s">
        <v>52</v>
      </c>
      <c r="J473" s="1" t="s">
        <v>60</v>
      </c>
      <c r="K473" s="1" t="s">
        <v>47</v>
      </c>
      <c r="L473" s="1">
        <v>6</v>
      </c>
      <c r="M473" s="1">
        <v>3967.1</v>
      </c>
      <c r="N473" s="1">
        <v>0</v>
      </c>
      <c r="O473" s="1">
        <v>23802.6</v>
      </c>
    </row>
    <row r="474" spans="1:15" x14ac:dyDescent="0.3">
      <c r="A474" s="1">
        <v>10370</v>
      </c>
      <c r="B474" s="1">
        <v>1303</v>
      </c>
      <c r="C474" s="2">
        <v>44981</v>
      </c>
      <c r="D474" s="2">
        <v>44987</v>
      </c>
      <c r="E474" s="1" t="s">
        <v>22</v>
      </c>
      <c r="F474" s="1" t="s">
        <v>41</v>
      </c>
      <c r="G474" s="1" t="s">
        <v>30</v>
      </c>
      <c r="H474" s="1" t="s">
        <v>18</v>
      </c>
      <c r="I474" s="1" t="s">
        <v>49</v>
      </c>
      <c r="J474" s="1" t="s">
        <v>63</v>
      </c>
      <c r="K474" s="1" t="s">
        <v>28</v>
      </c>
      <c r="L474" s="1">
        <v>6</v>
      </c>
      <c r="M474" s="1">
        <v>1628.56</v>
      </c>
      <c r="N474" s="1">
        <v>0</v>
      </c>
      <c r="O474" s="1">
        <v>9771.36</v>
      </c>
    </row>
    <row r="475" spans="1:15" x14ac:dyDescent="0.3">
      <c r="A475" s="1">
        <v>10270</v>
      </c>
      <c r="B475" s="1">
        <v>1496</v>
      </c>
      <c r="C475" s="2">
        <v>45080</v>
      </c>
      <c r="D475" s="2">
        <v>45086</v>
      </c>
      <c r="E475" s="1" t="s">
        <v>22</v>
      </c>
      <c r="F475" s="1" t="s">
        <v>29</v>
      </c>
      <c r="G475" s="1" t="s">
        <v>24</v>
      </c>
      <c r="H475" s="1" t="s">
        <v>35</v>
      </c>
      <c r="I475" s="1" t="s">
        <v>31</v>
      </c>
      <c r="J475" s="1" t="s">
        <v>65</v>
      </c>
      <c r="K475" s="1" t="s">
        <v>45</v>
      </c>
      <c r="L475" s="1">
        <v>6</v>
      </c>
      <c r="M475" s="1">
        <v>3197.13</v>
      </c>
      <c r="N475" s="1">
        <v>10</v>
      </c>
      <c r="O475" s="1">
        <v>17264.5</v>
      </c>
    </row>
    <row r="476" spans="1:15" x14ac:dyDescent="0.3">
      <c r="A476" s="1">
        <v>10394</v>
      </c>
      <c r="B476" s="1">
        <v>1421</v>
      </c>
      <c r="C476" s="2">
        <v>45172</v>
      </c>
      <c r="D476" s="2">
        <v>45173</v>
      </c>
      <c r="E476" s="1" t="s">
        <v>22</v>
      </c>
      <c r="F476" s="1" t="s">
        <v>29</v>
      </c>
      <c r="G476" s="1" t="s">
        <v>17</v>
      </c>
      <c r="H476" s="1" t="s">
        <v>18</v>
      </c>
      <c r="I476" s="1" t="s">
        <v>49</v>
      </c>
      <c r="J476" s="1" t="s">
        <v>50</v>
      </c>
      <c r="K476" s="1" t="s">
        <v>47</v>
      </c>
      <c r="L476" s="1">
        <v>6</v>
      </c>
      <c r="M476" s="1">
        <v>2716.48</v>
      </c>
      <c r="N476" s="1">
        <v>0</v>
      </c>
      <c r="O476" s="1">
        <v>16298.88</v>
      </c>
    </row>
    <row r="477" spans="1:15" x14ac:dyDescent="0.3">
      <c r="A477" s="1">
        <v>10123</v>
      </c>
      <c r="B477" s="1">
        <v>1921</v>
      </c>
      <c r="C477" s="2">
        <v>44946</v>
      </c>
      <c r="D477" s="2">
        <v>44950</v>
      </c>
      <c r="E477" s="1" t="s">
        <v>22</v>
      </c>
      <c r="F477" s="1" t="s">
        <v>16</v>
      </c>
      <c r="G477" s="1" t="s">
        <v>24</v>
      </c>
      <c r="H477" s="1" t="s">
        <v>44</v>
      </c>
      <c r="I477" s="1" t="s">
        <v>26</v>
      </c>
      <c r="J477" s="1" t="s">
        <v>69</v>
      </c>
      <c r="K477" s="1" t="s">
        <v>47</v>
      </c>
      <c r="L477" s="1">
        <v>7</v>
      </c>
      <c r="M477" s="1">
        <v>1050.5</v>
      </c>
      <c r="N477" s="1">
        <v>20</v>
      </c>
      <c r="O477" s="1">
        <v>5882.8</v>
      </c>
    </row>
    <row r="478" spans="1:15" x14ac:dyDescent="0.3">
      <c r="A478" s="1">
        <v>10236</v>
      </c>
      <c r="B478" s="1">
        <v>1230</v>
      </c>
      <c r="C478" s="2">
        <v>45268</v>
      </c>
      <c r="D478" s="2">
        <v>45269</v>
      </c>
      <c r="E478" s="1" t="s">
        <v>22</v>
      </c>
      <c r="F478" s="1" t="s">
        <v>16</v>
      </c>
      <c r="G478" s="1" t="s">
        <v>30</v>
      </c>
      <c r="H478" s="1" t="s">
        <v>25</v>
      </c>
      <c r="I478" s="1" t="s">
        <v>52</v>
      </c>
      <c r="J478" s="1" t="s">
        <v>60</v>
      </c>
      <c r="K478" s="1" t="s">
        <v>33</v>
      </c>
      <c r="L478" s="1">
        <v>7</v>
      </c>
      <c r="M478" s="1">
        <v>2210.34</v>
      </c>
      <c r="N478" s="1">
        <v>5</v>
      </c>
      <c r="O478" s="1">
        <v>14698.76</v>
      </c>
    </row>
    <row r="479" spans="1:15" x14ac:dyDescent="0.3">
      <c r="A479" s="1">
        <v>10248</v>
      </c>
      <c r="B479" s="1">
        <v>1358</v>
      </c>
      <c r="C479" s="2">
        <v>44970</v>
      </c>
      <c r="D479" s="2">
        <v>44974</v>
      </c>
      <c r="E479" s="1" t="s">
        <v>22</v>
      </c>
      <c r="F479" s="1" t="s">
        <v>16</v>
      </c>
      <c r="G479" s="1" t="s">
        <v>30</v>
      </c>
      <c r="H479" s="1" t="s">
        <v>42</v>
      </c>
      <c r="I479" s="1" t="s">
        <v>31</v>
      </c>
      <c r="J479" s="1" t="s">
        <v>39</v>
      </c>
      <c r="K479" s="1" t="s">
        <v>21</v>
      </c>
      <c r="L479" s="1">
        <v>7</v>
      </c>
      <c r="M479" s="1">
        <v>2605.92</v>
      </c>
      <c r="N479" s="1">
        <v>20</v>
      </c>
      <c r="O479" s="1">
        <v>14593.15</v>
      </c>
    </row>
    <row r="480" spans="1:15" x14ac:dyDescent="0.3">
      <c r="A480" s="1">
        <v>10033</v>
      </c>
      <c r="B480" s="1">
        <v>1459</v>
      </c>
      <c r="C480" s="2">
        <v>45129</v>
      </c>
      <c r="D480" s="2">
        <v>45130</v>
      </c>
      <c r="E480" s="1" t="s">
        <v>22</v>
      </c>
      <c r="F480" s="1" t="s">
        <v>38</v>
      </c>
      <c r="G480" s="1" t="s">
        <v>17</v>
      </c>
      <c r="H480" s="1" t="s">
        <v>44</v>
      </c>
      <c r="I480" s="1" t="s">
        <v>57</v>
      </c>
      <c r="J480" s="1" t="s">
        <v>59</v>
      </c>
      <c r="K480" s="1" t="s">
        <v>45</v>
      </c>
      <c r="L480" s="1">
        <v>7</v>
      </c>
      <c r="M480" s="1">
        <v>3363.18</v>
      </c>
      <c r="N480" s="1">
        <v>20</v>
      </c>
      <c r="O480" s="1">
        <v>18833.810000000001</v>
      </c>
    </row>
    <row r="481" spans="1:15" x14ac:dyDescent="0.3">
      <c r="A481" s="1">
        <v>10368</v>
      </c>
      <c r="B481" s="1">
        <v>1001</v>
      </c>
      <c r="C481" s="2">
        <v>45011</v>
      </c>
      <c r="D481" s="2">
        <v>45018</v>
      </c>
      <c r="E481" s="1" t="s">
        <v>22</v>
      </c>
      <c r="F481" s="1" t="s">
        <v>38</v>
      </c>
      <c r="G481" s="1" t="s">
        <v>30</v>
      </c>
      <c r="H481" s="1" t="s">
        <v>35</v>
      </c>
      <c r="I481" s="1" t="s">
        <v>19</v>
      </c>
      <c r="J481" s="1" t="s">
        <v>20</v>
      </c>
      <c r="K481" s="1" t="s">
        <v>21</v>
      </c>
      <c r="L481" s="1">
        <v>7</v>
      </c>
      <c r="M481" s="1">
        <v>2279.48</v>
      </c>
      <c r="N481" s="1">
        <v>15</v>
      </c>
      <c r="O481" s="1">
        <v>13562.91</v>
      </c>
    </row>
    <row r="482" spans="1:15" x14ac:dyDescent="0.3">
      <c r="A482" s="1">
        <v>10211</v>
      </c>
      <c r="B482" s="1">
        <v>1524</v>
      </c>
      <c r="C482" s="2">
        <v>44996</v>
      </c>
      <c r="D482" s="2">
        <v>45000</v>
      </c>
      <c r="E482" s="1" t="s">
        <v>22</v>
      </c>
      <c r="F482" s="1" t="s">
        <v>23</v>
      </c>
      <c r="G482" s="1" t="s">
        <v>24</v>
      </c>
      <c r="H482" s="1" t="s">
        <v>42</v>
      </c>
      <c r="I482" s="1" t="s">
        <v>49</v>
      </c>
      <c r="J482" s="1" t="s">
        <v>51</v>
      </c>
      <c r="K482" s="1" t="s">
        <v>21</v>
      </c>
      <c r="L482" s="1">
        <v>7</v>
      </c>
      <c r="M482" s="1">
        <v>2257.5500000000002</v>
      </c>
      <c r="N482" s="1">
        <v>10</v>
      </c>
      <c r="O482" s="1">
        <v>14222.56</v>
      </c>
    </row>
    <row r="483" spans="1:15" x14ac:dyDescent="0.3">
      <c r="A483" s="1">
        <v>10397</v>
      </c>
      <c r="B483" s="1">
        <v>1253</v>
      </c>
      <c r="C483" s="2">
        <v>45063</v>
      </c>
      <c r="D483" s="2">
        <v>45071</v>
      </c>
      <c r="E483" s="1" t="s">
        <v>22</v>
      </c>
      <c r="F483" s="1" t="s">
        <v>41</v>
      </c>
      <c r="G483" s="1" t="s">
        <v>30</v>
      </c>
      <c r="H483" s="1" t="s">
        <v>18</v>
      </c>
      <c r="I483" s="1" t="s">
        <v>31</v>
      </c>
      <c r="J483" s="1" t="s">
        <v>39</v>
      </c>
      <c r="K483" s="1" t="s">
        <v>45</v>
      </c>
      <c r="L483" s="1">
        <v>7</v>
      </c>
      <c r="M483" s="1">
        <v>1138.46</v>
      </c>
      <c r="N483" s="1">
        <v>10</v>
      </c>
      <c r="O483" s="1">
        <v>7172.3</v>
      </c>
    </row>
    <row r="484" spans="1:15" x14ac:dyDescent="0.3">
      <c r="A484" s="1">
        <v>10038</v>
      </c>
      <c r="B484" s="1">
        <v>1856</v>
      </c>
      <c r="C484" s="2">
        <v>45271</v>
      </c>
      <c r="D484" s="2">
        <v>45280</v>
      </c>
      <c r="E484" s="1" t="s">
        <v>22</v>
      </c>
      <c r="F484" s="1" t="s">
        <v>29</v>
      </c>
      <c r="G484" s="1" t="s">
        <v>24</v>
      </c>
      <c r="H484" s="1" t="s">
        <v>42</v>
      </c>
      <c r="I484" s="1" t="s">
        <v>49</v>
      </c>
      <c r="J484" s="1" t="s">
        <v>63</v>
      </c>
      <c r="K484" s="1" t="s">
        <v>47</v>
      </c>
      <c r="L484" s="1">
        <v>7</v>
      </c>
      <c r="M484" s="1">
        <v>687.46</v>
      </c>
      <c r="N484" s="1">
        <v>20</v>
      </c>
      <c r="O484" s="1">
        <v>3849.78</v>
      </c>
    </row>
    <row r="485" spans="1:15" x14ac:dyDescent="0.3">
      <c r="A485" s="1">
        <v>10319</v>
      </c>
      <c r="B485" s="1">
        <v>1510</v>
      </c>
      <c r="C485" s="2">
        <v>45012</v>
      </c>
      <c r="D485" s="2">
        <v>45018</v>
      </c>
      <c r="E485" s="1" t="s">
        <v>22</v>
      </c>
      <c r="F485" s="1" t="s">
        <v>38</v>
      </c>
      <c r="G485" s="1" t="s">
        <v>24</v>
      </c>
      <c r="H485" s="1" t="s">
        <v>18</v>
      </c>
      <c r="I485" s="1" t="s">
        <v>49</v>
      </c>
      <c r="J485" s="1" t="s">
        <v>50</v>
      </c>
      <c r="K485" s="1" t="s">
        <v>28</v>
      </c>
      <c r="L485" s="1">
        <v>8</v>
      </c>
      <c r="M485" s="1">
        <v>1546.6</v>
      </c>
      <c r="N485" s="1">
        <v>15</v>
      </c>
      <c r="O485" s="1">
        <v>10516.88</v>
      </c>
    </row>
    <row r="486" spans="1:15" x14ac:dyDescent="0.3">
      <c r="A486" s="1">
        <v>10437</v>
      </c>
      <c r="B486" s="1">
        <v>1021</v>
      </c>
      <c r="C486" s="2">
        <v>45203</v>
      </c>
      <c r="D486" s="2">
        <v>45204</v>
      </c>
      <c r="E486" s="1" t="s">
        <v>22</v>
      </c>
      <c r="F486" s="1" t="s">
        <v>38</v>
      </c>
      <c r="G486" s="1" t="s">
        <v>30</v>
      </c>
      <c r="H486" s="1" t="s">
        <v>35</v>
      </c>
      <c r="I486" s="1" t="s">
        <v>57</v>
      </c>
      <c r="J486" s="1" t="s">
        <v>62</v>
      </c>
      <c r="K486" s="1" t="s">
        <v>21</v>
      </c>
      <c r="L486" s="1">
        <v>8</v>
      </c>
      <c r="M486" s="1">
        <v>2846.66</v>
      </c>
      <c r="N486" s="1">
        <v>15</v>
      </c>
      <c r="O486" s="1">
        <v>19357.29</v>
      </c>
    </row>
    <row r="487" spans="1:15" x14ac:dyDescent="0.3">
      <c r="A487" s="1">
        <v>10203</v>
      </c>
      <c r="B487" s="1">
        <v>1484</v>
      </c>
      <c r="C487" s="2">
        <v>44995</v>
      </c>
      <c r="D487" s="2">
        <v>45004</v>
      </c>
      <c r="E487" s="1" t="s">
        <v>22</v>
      </c>
      <c r="F487" s="1" t="s">
        <v>54</v>
      </c>
      <c r="G487" s="1" t="s">
        <v>30</v>
      </c>
      <c r="H487" s="1" t="s">
        <v>18</v>
      </c>
      <c r="I487" s="1" t="s">
        <v>49</v>
      </c>
      <c r="J487" s="1" t="s">
        <v>68</v>
      </c>
      <c r="K487" s="1" t="s">
        <v>45</v>
      </c>
      <c r="L487" s="1">
        <v>8</v>
      </c>
      <c r="M487" s="1">
        <v>2950.99</v>
      </c>
      <c r="N487" s="1">
        <v>20</v>
      </c>
      <c r="O487" s="1">
        <v>18886.34</v>
      </c>
    </row>
    <row r="488" spans="1:15" x14ac:dyDescent="0.3">
      <c r="A488" s="1">
        <v>10149</v>
      </c>
      <c r="B488" s="1">
        <v>1378</v>
      </c>
      <c r="C488" s="2">
        <v>45002</v>
      </c>
      <c r="D488" s="2">
        <v>45010</v>
      </c>
      <c r="E488" s="1" t="s">
        <v>22</v>
      </c>
      <c r="F488" s="1" t="s">
        <v>23</v>
      </c>
      <c r="G488" s="1" t="s">
        <v>30</v>
      </c>
      <c r="H488" s="1" t="s">
        <v>42</v>
      </c>
      <c r="I488" s="1" t="s">
        <v>57</v>
      </c>
      <c r="J488" s="1" t="s">
        <v>62</v>
      </c>
      <c r="K488" s="1" t="s">
        <v>33</v>
      </c>
      <c r="L488" s="1">
        <v>8</v>
      </c>
      <c r="M488" s="1">
        <v>2938.3</v>
      </c>
      <c r="N488" s="1">
        <v>15</v>
      </c>
      <c r="O488" s="1">
        <v>19980.439999999999</v>
      </c>
    </row>
    <row r="489" spans="1:15" x14ac:dyDescent="0.3">
      <c r="A489" s="1">
        <v>10276</v>
      </c>
      <c r="B489" s="1">
        <v>1385</v>
      </c>
      <c r="C489" s="2">
        <v>45008</v>
      </c>
      <c r="D489" s="2">
        <v>45009</v>
      </c>
      <c r="E489" s="1" t="s">
        <v>22</v>
      </c>
      <c r="F489" s="1" t="s">
        <v>23</v>
      </c>
      <c r="G489" s="1" t="s">
        <v>24</v>
      </c>
      <c r="H489" s="1" t="s">
        <v>44</v>
      </c>
      <c r="I489" s="1" t="s">
        <v>52</v>
      </c>
      <c r="J489" s="1" t="s">
        <v>53</v>
      </c>
      <c r="K489" s="1" t="s">
        <v>47</v>
      </c>
      <c r="L489" s="1">
        <v>8</v>
      </c>
      <c r="M489" s="1">
        <v>3860.72</v>
      </c>
      <c r="N489" s="1">
        <v>20</v>
      </c>
      <c r="O489" s="1">
        <v>24708.61</v>
      </c>
    </row>
    <row r="490" spans="1:15" x14ac:dyDescent="0.3">
      <c r="A490" s="1">
        <v>10369</v>
      </c>
      <c r="B490" s="1">
        <v>1896</v>
      </c>
      <c r="C490" s="2">
        <v>44998</v>
      </c>
      <c r="D490" s="2">
        <v>45000</v>
      </c>
      <c r="E490" s="1" t="s">
        <v>22</v>
      </c>
      <c r="F490" s="1" t="s">
        <v>23</v>
      </c>
      <c r="G490" s="1" t="s">
        <v>17</v>
      </c>
      <c r="H490" s="1" t="s">
        <v>35</v>
      </c>
      <c r="I490" s="1" t="s">
        <v>26</v>
      </c>
      <c r="J490" s="1" t="s">
        <v>36</v>
      </c>
      <c r="K490" s="1" t="s">
        <v>47</v>
      </c>
      <c r="L490" s="1">
        <v>8</v>
      </c>
      <c r="M490" s="1">
        <v>3277.19</v>
      </c>
      <c r="N490" s="1">
        <v>15</v>
      </c>
      <c r="O490" s="1">
        <v>22284.89</v>
      </c>
    </row>
    <row r="491" spans="1:15" x14ac:dyDescent="0.3">
      <c r="A491" s="1">
        <v>10377</v>
      </c>
      <c r="B491" s="1">
        <v>1232</v>
      </c>
      <c r="C491" s="2">
        <v>45194</v>
      </c>
      <c r="D491" s="2">
        <v>45202</v>
      </c>
      <c r="E491" s="1" t="s">
        <v>22</v>
      </c>
      <c r="F491" s="1" t="s">
        <v>23</v>
      </c>
      <c r="G491" s="1" t="s">
        <v>24</v>
      </c>
      <c r="H491" s="1" t="s">
        <v>25</v>
      </c>
      <c r="I491" s="1" t="s">
        <v>52</v>
      </c>
      <c r="J491" s="1" t="s">
        <v>56</v>
      </c>
      <c r="K491" s="1" t="s">
        <v>47</v>
      </c>
      <c r="L491" s="1">
        <v>8</v>
      </c>
      <c r="M491" s="1">
        <v>462</v>
      </c>
      <c r="N491" s="1">
        <v>5</v>
      </c>
      <c r="O491" s="1">
        <v>3511.2</v>
      </c>
    </row>
    <row r="492" spans="1:15" x14ac:dyDescent="0.3">
      <c r="A492" s="1">
        <v>10158</v>
      </c>
      <c r="B492" s="1">
        <v>1779</v>
      </c>
      <c r="C492" s="2">
        <v>45276</v>
      </c>
      <c r="D492" s="2">
        <v>45277</v>
      </c>
      <c r="E492" s="1" t="s">
        <v>22</v>
      </c>
      <c r="F492" s="1" t="s">
        <v>41</v>
      </c>
      <c r="G492" s="1" t="s">
        <v>24</v>
      </c>
      <c r="H492" s="1" t="s">
        <v>18</v>
      </c>
      <c r="I492" s="1" t="s">
        <v>49</v>
      </c>
      <c r="J492" s="1" t="s">
        <v>63</v>
      </c>
      <c r="K492" s="1" t="s">
        <v>28</v>
      </c>
      <c r="L492" s="1">
        <v>8</v>
      </c>
      <c r="M492" s="1">
        <v>3346.08</v>
      </c>
      <c r="N492" s="1">
        <v>15</v>
      </c>
      <c r="O492" s="1">
        <v>22753.34</v>
      </c>
    </row>
    <row r="493" spans="1:15" x14ac:dyDescent="0.3">
      <c r="A493" s="1">
        <v>10204</v>
      </c>
      <c r="B493" s="1">
        <v>1406</v>
      </c>
      <c r="C493" s="2">
        <v>45275</v>
      </c>
      <c r="D493" s="2">
        <v>45282</v>
      </c>
      <c r="E493" s="1" t="s">
        <v>22</v>
      </c>
      <c r="F493" s="1" t="s">
        <v>41</v>
      </c>
      <c r="G493" s="1" t="s">
        <v>17</v>
      </c>
      <c r="H493" s="1" t="s">
        <v>44</v>
      </c>
      <c r="I493" s="1" t="s">
        <v>26</v>
      </c>
      <c r="J493" s="1" t="s">
        <v>27</v>
      </c>
      <c r="K493" s="1" t="s">
        <v>47</v>
      </c>
      <c r="L493" s="1">
        <v>8</v>
      </c>
      <c r="M493" s="1">
        <v>2014.91</v>
      </c>
      <c r="N493" s="1">
        <v>5</v>
      </c>
      <c r="O493" s="1">
        <v>15313.32</v>
      </c>
    </row>
    <row r="494" spans="1:15" x14ac:dyDescent="0.3">
      <c r="A494" s="1">
        <v>10016</v>
      </c>
      <c r="B494" s="1">
        <v>1372</v>
      </c>
      <c r="C494" s="2">
        <v>44958</v>
      </c>
      <c r="D494" s="2">
        <v>44961</v>
      </c>
      <c r="E494" s="1" t="s">
        <v>22</v>
      </c>
      <c r="F494" s="1" t="s">
        <v>29</v>
      </c>
      <c r="G494" s="1" t="s">
        <v>17</v>
      </c>
      <c r="H494" s="1" t="s">
        <v>42</v>
      </c>
      <c r="I494" s="1" t="s">
        <v>31</v>
      </c>
      <c r="J494" s="1" t="s">
        <v>39</v>
      </c>
      <c r="K494" s="1" t="s">
        <v>21</v>
      </c>
      <c r="L494" s="1">
        <v>8</v>
      </c>
      <c r="M494" s="1">
        <v>595.45000000000005</v>
      </c>
      <c r="N494" s="1">
        <v>5</v>
      </c>
      <c r="O494" s="1">
        <v>4525.42</v>
      </c>
    </row>
    <row r="495" spans="1:15" x14ac:dyDescent="0.3">
      <c r="A495" s="1">
        <v>10062</v>
      </c>
      <c r="B495" s="1">
        <v>1020</v>
      </c>
      <c r="C495" s="2">
        <v>45221</v>
      </c>
      <c r="D495" s="2">
        <v>45226</v>
      </c>
      <c r="E495" s="1" t="s">
        <v>22</v>
      </c>
      <c r="F495" s="1" t="s">
        <v>29</v>
      </c>
      <c r="G495" s="1" t="s">
        <v>30</v>
      </c>
      <c r="H495" s="1" t="s">
        <v>35</v>
      </c>
      <c r="I495" s="1" t="s">
        <v>52</v>
      </c>
      <c r="J495" s="1" t="s">
        <v>56</v>
      </c>
      <c r="K495" s="1" t="s">
        <v>21</v>
      </c>
      <c r="L495" s="1">
        <v>8</v>
      </c>
      <c r="M495" s="1">
        <v>2819.34</v>
      </c>
      <c r="N495" s="1">
        <v>5</v>
      </c>
      <c r="O495" s="1">
        <v>21426.98</v>
      </c>
    </row>
    <row r="496" spans="1:15" x14ac:dyDescent="0.3">
      <c r="A496" s="1">
        <v>10206</v>
      </c>
      <c r="B496" s="1">
        <v>1748</v>
      </c>
      <c r="C496" s="2">
        <v>44975</v>
      </c>
      <c r="D496" s="2">
        <v>44984</v>
      </c>
      <c r="E496" s="1" t="s">
        <v>22</v>
      </c>
      <c r="F496" s="1" t="s">
        <v>29</v>
      </c>
      <c r="G496" s="1" t="s">
        <v>24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2278.14</v>
      </c>
      <c r="N496" s="1">
        <v>5</v>
      </c>
      <c r="O496" s="1">
        <v>17313.86</v>
      </c>
    </row>
    <row r="497" spans="1:15" x14ac:dyDescent="0.3">
      <c r="A497" s="1">
        <v>10272</v>
      </c>
      <c r="B497" s="1">
        <v>1563</v>
      </c>
      <c r="C497" s="2">
        <v>45239</v>
      </c>
      <c r="D497" s="2">
        <v>45241</v>
      </c>
      <c r="E497" s="1" t="s">
        <v>22</v>
      </c>
      <c r="F497" s="1" t="s">
        <v>16</v>
      </c>
      <c r="G497" s="1" t="s">
        <v>17</v>
      </c>
      <c r="H497" s="1" t="s">
        <v>42</v>
      </c>
      <c r="I497" s="1" t="s">
        <v>31</v>
      </c>
      <c r="J497" s="1" t="s">
        <v>48</v>
      </c>
      <c r="K497" s="1" t="s">
        <v>47</v>
      </c>
      <c r="L497" s="1">
        <v>9</v>
      </c>
      <c r="M497" s="1">
        <v>2119.81</v>
      </c>
      <c r="N497" s="1">
        <v>10</v>
      </c>
      <c r="O497" s="1">
        <v>17170.46</v>
      </c>
    </row>
    <row r="498" spans="1:15" x14ac:dyDescent="0.3">
      <c r="A498" s="1">
        <v>10468</v>
      </c>
      <c r="B498" s="1">
        <v>1157</v>
      </c>
      <c r="C498" s="2">
        <v>45074</v>
      </c>
      <c r="D498" s="2">
        <v>45082</v>
      </c>
      <c r="E498" s="1" t="s">
        <v>22</v>
      </c>
      <c r="F498" s="1" t="s">
        <v>16</v>
      </c>
      <c r="G498" s="1" t="s">
        <v>17</v>
      </c>
      <c r="H498" s="1" t="s">
        <v>18</v>
      </c>
      <c r="I498" s="1" t="s">
        <v>57</v>
      </c>
      <c r="J498" s="1" t="s">
        <v>59</v>
      </c>
      <c r="K498" s="1" t="s">
        <v>45</v>
      </c>
      <c r="L498" s="1">
        <v>9</v>
      </c>
      <c r="M498" s="1">
        <v>1890.53</v>
      </c>
      <c r="N498" s="1">
        <v>15</v>
      </c>
      <c r="O498" s="1">
        <v>14462.55</v>
      </c>
    </row>
    <row r="499" spans="1:15" x14ac:dyDescent="0.3">
      <c r="A499" s="1">
        <v>10126</v>
      </c>
      <c r="B499" s="1">
        <v>1187</v>
      </c>
      <c r="C499" s="2">
        <v>44997</v>
      </c>
      <c r="D499" s="2">
        <v>45002</v>
      </c>
      <c r="E499" s="1" t="s">
        <v>22</v>
      </c>
      <c r="F499" s="1" t="s">
        <v>54</v>
      </c>
      <c r="G499" s="1" t="s">
        <v>24</v>
      </c>
      <c r="H499" s="1" t="s">
        <v>18</v>
      </c>
      <c r="I499" s="1" t="s">
        <v>31</v>
      </c>
      <c r="J499" s="1" t="s">
        <v>48</v>
      </c>
      <c r="K499" s="1" t="s">
        <v>28</v>
      </c>
      <c r="L499" s="1">
        <v>9</v>
      </c>
      <c r="M499" s="1">
        <v>3308.64</v>
      </c>
      <c r="N499" s="1">
        <v>5</v>
      </c>
      <c r="O499" s="1">
        <v>28288.87</v>
      </c>
    </row>
    <row r="500" spans="1:15" x14ac:dyDescent="0.3">
      <c r="A500" s="1">
        <v>10002</v>
      </c>
      <c r="B500" s="1">
        <v>1435</v>
      </c>
      <c r="C500" s="2">
        <v>45199</v>
      </c>
      <c r="D500" s="2">
        <v>45203</v>
      </c>
      <c r="E500" s="1" t="s">
        <v>22</v>
      </c>
      <c r="F500" s="1" t="s">
        <v>23</v>
      </c>
      <c r="G500" s="1" t="s">
        <v>24</v>
      </c>
      <c r="H500" s="1" t="s">
        <v>25</v>
      </c>
      <c r="I500" s="1" t="s">
        <v>26</v>
      </c>
      <c r="J500" s="1" t="s">
        <v>27</v>
      </c>
      <c r="K500" s="1" t="s">
        <v>28</v>
      </c>
      <c r="L500" s="1">
        <v>9</v>
      </c>
      <c r="M500" s="1">
        <v>2525.23</v>
      </c>
      <c r="N500" s="1">
        <v>5</v>
      </c>
      <c r="O500" s="1">
        <v>21590.720000000001</v>
      </c>
    </row>
    <row r="501" spans="1:15" x14ac:dyDescent="0.3">
      <c r="A501" s="1">
        <v>10407</v>
      </c>
      <c r="B501" s="1">
        <v>1877</v>
      </c>
      <c r="C501" s="2">
        <v>45088</v>
      </c>
      <c r="D501" s="2">
        <v>45090</v>
      </c>
      <c r="E501" s="1" t="s">
        <v>22</v>
      </c>
      <c r="F501" s="1" t="s">
        <v>23</v>
      </c>
      <c r="G501" s="1" t="s">
        <v>24</v>
      </c>
      <c r="H501" s="1" t="s">
        <v>25</v>
      </c>
      <c r="I501" s="1" t="s">
        <v>52</v>
      </c>
      <c r="J501" s="1" t="s">
        <v>53</v>
      </c>
      <c r="K501" s="1" t="s">
        <v>33</v>
      </c>
      <c r="L501" s="1">
        <v>9</v>
      </c>
      <c r="M501" s="1">
        <v>3216.56</v>
      </c>
      <c r="N501" s="1">
        <v>20</v>
      </c>
      <c r="O501" s="1">
        <v>23159.23</v>
      </c>
    </row>
  </sheetData>
  <sortState xmlns:xlrd2="http://schemas.microsoft.com/office/spreadsheetml/2017/richdata2" ref="A2:O501">
    <sortCondition ref="E2:E501"/>
    <sortCondition ref="L2:L50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EA00-947F-4EEC-AD23-2776647D1857}">
  <dimension ref="A1:Q88"/>
  <sheetViews>
    <sheetView topLeftCell="A40" workbookViewId="0">
      <selection activeCell="U25" sqref="U25"/>
    </sheetView>
  </sheetViews>
  <sheetFormatPr defaultRowHeight="14.4" x14ac:dyDescent="0.3"/>
  <cols>
    <col min="1" max="1" width="15.88671875" bestFit="1" customWidth="1"/>
  </cols>
  <sheetData>
    <row r="1" spans="1:17" x14ac:dyDescent="0.3">
      <c r="A1" s="3" t="s">
        <v>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spans="1:17" x14ac:dyDescent="0.3">
      <c r="A2" s="1" t="s">
        <v>25</v>
      </c>
      <c r="C2" s="1">
        <v>10045</v>
      </c>
      <c r="D2" s="1">
        <v>1699</v>
      </c>
      <c r="E2" s="2">
        <v>45139</v>
      </c>
      <c r="F2" s="2">
        <v>45147</v>
      </c>
      <c r="G2" s="1" t="s">
        <v>34</v>
      </c>
      <c r="H2" s="1" t="s">
        <v>16</v>
      </c>
      <c r="I2" s="1" t="s">
        <v>17</v>
      </c>
      <c r="J2" s="1" t="s">
        <v>25</v>
      </c>
      <c r="K2" s="1" t="s">
        <v>26</v>
      </c>
      <c r="L2" s="1" t="s">
        <v>61</v>
      </c>
      <c r="M2" s="1" t="s">
        <v>47</v>
      </c>
      <c r="N2" s="1">
        <v>1</v>
      </c>
      <c r="O2" s="1">
        <v>2764.92</v>
      </c>
      <c r="P2" s="1">
        <v>0</v>
      </c>
      <c r="Q2" s="1">
        <v>2764.92</v>
      </c>
    </row>
    <row r="3" spans="1:17" x14ac:dyDescent="0.3">
      <c r="C3" s="1">
        <v>10317</v>
      </c>
      <c r="D3" s="1">
        <v>1981</v>
      </c>
      <c r="E3" s="2">
        <v>45051</v>
      </c>
      <c r="F3" s="2">
        <v>45056</v>
      </c>
      <c r="G3" s="1" t="s">
        <v>34</v>
      </c>
      <c r="H3" s="1" t="s">
        <v>38</v>
      </c>
      <c r="I3" s="1" t="s">
        <v>24</v>
      </c>
      <c r="J3" s="1" t="s">
        <v>25</v>
      </c>
      <c r="K3" s="1" t="s">
        <v>49</v>
      </c>
      <c r="L3" s="1" t="s">
        <v>63</v>
      </c>
      <c r="M3" s="1" t="s">
        <v>47</v>
      </c>
      <c r="N3" s="1">
        <v>2</v>
      </c>
      <c r="O3" s="1">
        <v>788.72</v>
      </c>
      <c r="P3" s="1">
        <v>20</v>
      </c>
      <c r="Q3" s="1">
        <v>1261.95</v>
      </c>
    </row>
    <row r="4" spans="1:17" x14ac:dyDescent="0.3">
      <c r="C4" s="1">
        <v>10190</v>
      </c>
      <c r="D4" s="1">
        <v>1857</v>
      </c>
      <c r="E4" s="2">
        <v>45185</v>
      </c>
      <c r="F4" s="2">
        <v>45187</v>
      </c>
      <c r="G4" s="1" t="s">
        <v>34</v>
      </c>
      <c r="H4" s="1" t="s">
        <v>54</v>
      </c>
      <c r="I4" s="1" t="s">
        <v>30</v>
      </c>
      <c r="J4" s="1" t="s">
        <v>25</v>
      </c>
      <c r="K4" s="1" t="s">
        <v>49</v>
      </c>
      <c r="L4" s="1" t="s">
        <v>51</v>
      </c>
      <c r="M4" s="1" t="s">
        <v>21</v>
      </c>
      <c r="N4" s="1">
        <v>2</v>
      </c>
      <c r="O4" s="1">
        <v>1372.59</v>
      </c>
      <c r="P4" s="1">
        <v>5</v>
      </c>
      <c r="Q4" s="1">
        <v>2607.92</v>
      </c>
    </row>
    <row r="5" spans="1:17" x14ac:dyDescent="0.3">
      <c r="C5" s="1">
        <v>10224</v>
      </c>
      <c r="D5" s="1">
        <v>1795</v>
      </c>
      <c r="E5" s="2">
        <v>45100</v>
      </c>
      <c r="F5" s="2">
        <v>45106</v>
      </c>
      <c r="G5" s="1" t="s">
        <v>34</v>
      </c>
      <c r="H5" s="1" t="s">
        <v>23</v>
      </c>
      <c r="I5" s="1" t="s">
        <v>30</v>
      </c>
      <c r="J5" s="1" t="s">
        <v>25</v>
      </c>
      <c r="K5" s="1" t="s">
        <v>57</v>
      </c>
      <c r="L5" s="1" t="s">
        <v>58</v>
      </c>
      <c r="M5" s="1" t="s">
        <v>21</v>
      </c>
      <c r="N5" s="1">
        <v>2</v>
      </c>
      <c r="O5" s="1">
        <v>1448.65</v>
      </c>
      <c r="P5" s="1">
        <v>20</v>
      </c>
      <c r="Q5" s="1">
        <v>2317.84</v>
      </c>
    </row>
    <row r="6" spans="1:17" x14ac:dyDescent="0.3">
      <c r="C6" s="1">
        <v>10194</v>
      </c>
      <c r="D6" s="1">
        <v>1690</v>
      </c>
      <c r="E6" s="2">
        <v>45180</v>
      </c>
      <c r="F6" s="2">
        <v>45182</v>
      </c>
      <c r="G6" s="1" t="s">
        <v>34</v>
      </c>
      <c r="H6" s="1" t="s">
        <v>41</v>
      </c>
      <c r="I6" s="1" t="s">
        <v>24</v>
      </c>
      <c r="J6" s="1" t="s">
        <v>25</v>
      </c>
      <c r="K6" s="1" t="s">
        <v>57</v>
      </c>
      <c r="L6" s="1" t="s">
        <v>59</v>
      </c>
      <c r="M6" s="1" t="s">
        <v>45</v>
      </c>
      <c r="N6" s="1">
        <v>2</v>
      </c>
      <c r="O6" s="1">
        <v>894.01</v>
      </c>
      <c r="P6" s="1">
        <v>15</v>
      </c>
      <c r="Q6" s="1">
        <v>1519.82</v>
      </c>
    </row>
    <row r="7" spans="1:17" x14ac:dyDescent="0.3">
      <c r="C7" s="1">
        <v>10239</v>
      </c>
      <c r="D7" s="1">
        <v>1384</v>
      </c>
      <c r="E7" s="2">
        <v>45146</v>
      </c>
      <c r="F7" s="2">
        <v>45149</v>
      </c>
      <c r="G7" s="1" t="s">
        <v>34</v>
      </c>
      <c r="H7" s="1" t="s">
        <v>41</v>
      </c>
      <c r="I7" s="1" t="s">
        <v>24</v>
      </c>
      <c r="J7" s="1" t="s">
        <v>25</v>
      </c>
      <c r="K7" s="1" t="s">
        <v>49</v>
      </c>
      <c r="L7" s="1" t="s">
        <v>63</v>
      </c>
      <c r="M7" s="1" t="s">
        <v>47</v>
      </c>
      <c r="N7" s="1">
        <v>2</v>
      </c>
      <c r="O7" s="1">
        <v>3960.56</v>
      </c>
      <c r="P7" s="1">
        <v>10</v>
      </c>
      <c r="Q7" s="1">
        <v>7129.01</v>
      </c>
    </row>
    <row r="8" spans="1:17" x14ac:dyDescent="0.3">
      <c r="C8" s="1">
        <v>10176</v>
      </c>
      <c r="D8" s="1">
        <v>1942</v>
      </c>
      <c r="E8" s="2">
        <v>45166</v>
      </c>
      <c r="F8" s="2">
        <v>45168</v>
      </c>
      <c r="G8" s="1" t="s">
        <v>34</v>
      </c>
      <c r="H8" s="1" t="s">
        <v>29</v>
      </c>
      <c r="I8" s="1" t="s">
        <v>30</v>
      </c>
      <c r="J8" s="1" t="s">
        <v>25</v>
      </c>
      <c r="K8" s="1" t="s">
        <v>31</v>
      </c>
      <c r="L8" s="1" t="s">
        <v>39</v>
      </c>
      <c r="M8" s="1" t="s">
        <v>45</v>
      </c>
      <c r="N8" s="1">
        <v>5</v>
      </c>
      <c r="O8" s="1">
        <v>1551.83</v>
      </c>
      <c r="P8" s="1">
        <v>5</v>
      </c>
      <c r="Q8" s="1">
        <v>7371.19</v>
      </c>
    </row>
    <row r="9" spans="1:17" x14ac:dyDescent="0.3">
      <c r="C9" s="1">
        <v>10159</v>
      </c>
      <c r="D9" s="1">
        <v>1929</v>
      </c>
      <c r="E9" s="2">
        <v>45109</v>
      </c>
      <c r="F9" s="2">
        <v>45113</v>
      </c>
      <c r="G9" s="1" t="s">
        <v>34</v>
      </c>
      <c r="H9" s="1" t="s">
        <v>16</v>
      </c>
      <c r="I9" s="1" t="s">
        <v>24</v>
      </c>
      <c r="J9" s="1" t="s">
        <v>25</v>
      </c>
      <c r="K9" s="1" t="s">
        <v>49</v>
      </c>
      <c r="L9" s="1" t="s">
        <v>68</v>
      </c>
      <c r="M9" s="1" t="s">
        <v>45</v>
      </c>
      <c r="N9" s="1">
        <v>6</v>
      </c>
      <c r="O9" s="1">
        <v>3800.77</v>
      </c>
      <c r="P9" s="1">
        <v>0</v>
      </c>
      <c r="Q9" s="1">
        <v>22804.62</v>
      </c>
    </row>
    <row r="10" spans="1:17" x14ac:dyDescent="0.3">
      <c r="C10" s="1">
        <v>10034</v>
      </c>
      <c r="D10" s="1">
        <v>1313</v>
      </c>
      <c r="E10" s="2">
        <v>45182</v>
      </c>
      <c r="F10" s="2">
        <v>45191</v>
      </c>
      <c r="G10" s="1" t="s">
        <v>34</v>
      </c>
      <c r="H10" s="1" t="s">
        <v>23</v>
      </c>
      <c r="I10" s="1" t="s">
        <v>30</v>
      </c>
      <c r="J10" s="1" t="s">
        <v>25</v>
      </c>
      <c r="K10" s="1" t="s">
        <v>31</v>
      </c>
      <c r="L10" s="1" t="s">
        <v>48</v>
      </c>
      <c r="M10" s="1" t="s">
        <v>47</v>
      </c>
      <c r="N10" s="1">
        <v>6</v>
      </c>
      <c r="O10" s="1">
        <v>1529.59</v>
      </c>
      <c r="P10" s="1">
        <v>0</v>
      </c>
      <c r="Q10" s="1">
        <v>9177.5400000000009</v>
      </c>
    </row>
    <row r="11" spans="1:17" x14ac:dyDescent="0.3">
      <c r="C11" s="1">
        <v>10349</v>
      </c>
      <c r="D11" s="1">
        <v>1871</v>
      </c>
      <c r="E11" s="2">
        <v>45174</v>
      </c>
      <c r="F11" s="2">
        <v>45177</v>
      </c>
      <c r="G11" s="1" t="s">
        <v>34</v>
      </c>
      <c r="H11" s="1" t="s">
        <v>29</v>
      </c>
      <c r="I11" s="1" t="s">
        <v>30</v>
      </c>
      <c r="J11" s="1" t="s">
        <v>25</v>
      </c>
      <c r="K11" s="1" t="s">
        <v>19</v>
      </c>
      <c r="L11" s="1" t="s">
        <v>55</v>
      </c>
      <c r="M11" s="1" t="s">
        <v>47</v>
      </c>
      <c r="N11" s="1">
        <v>6</v>
      </c>
      <c r="O11" s="1">
        <v>3281.72</v>
      </c>
      <c r="P11" s="1">
        <v>5</v>
      </c>
      <c r="Q11" s="1">
        <v>18705.8</v>
      </c>
    </row>
    <row r="12" spans="1:17" x14ac:dyDescent="0.3">
      <c r="C12" s="1">
        <v>10482</v>
      </c>
      <c r="D12" s="1">
        <v>1606</v>
      </c>
      <c r="E12" s="2">
        <v>45153</v>
      </c>
      <c r="F12" s="2">
        <v>45162</v>
      </c>
      <c r="G12" s="1" t="s">
        <v>34</v>
      </c>
      <c r="H12" s="1" t="s">
        <v>54</v>
      </c>
      <c r="I12" s="1" t="s">
        <v>24</v>
      </c>
      <c r="J12" s="1" t="s">
        <v>25</v>
      </c>
      <c r="K12" s="1" t="s">
        <v>57</v>
      </c>
      <c r="L12" s="1" t="s">
        <v>67</v>
      </c>
      <c r="M12" s="1" t="s">
        <v>33</v>
      </c>
      <c r="N12" s="1">
        <v>7</v>
      </c>
      <c r="O12" s="1">
        <v>2172.2399999999998</v>
      </c>
      <c r="P12" s="1">
        <v>20</v>
      </c>
      <c r="Q12" s="1">
        <v>12164.54</v>
      </c>
    </row>
    <row r="13" spans="1:17" x14ac:dyDescent="0.3">
      <c r="C13" s="1">
        <v>10454</v>
      </c>
      <c r="D13" s="1">
        <v>1959</v>
      </c>
      <c r="E13" s="2">
        <v>45251</v>
      </c>
      <c r="F13" s="2">
        <v>45255</v>
      </c>
      <c r="G13" s="1" t="s">
        <v>34</v>
      </c>
      <c r="H13" s="1" t="s">
        <v>41</v>
      </c>
      <c r="I13" s="1" t="s">
        <v>17</v>
      </c>
      <c r="J13" s="1" t="s">
        <v>25</v>
      </c>
      <c r="K13" s="1" t="s">
        <v>57</v>
      </c>
      <c r="L13" s="1" t="s">
        <v>58</v>
      </c>
      <c r="M13" s="1" t="s">
        <v>28</v>
      </c>
      <c r="N13" s="1">
        <v>9</v>
      </c>
      <c r="O13" s="1">
        <v>3191.56</v>
      </c>
      <c r="P13" s="1">
        <v>20</v>
      </c>
      <c r="Q13" s="1">
        <v>22979.23</v>
      </c>
    </row>
    <row r="14" spans="1:17" x14ac:dyDescent="0.3">
      <c r="C14" s="1">
        <v>10261</v>
      </c>
      <c r="D14" s="1">
        <v>1826</v>
      </c>
      <c r="E14" s="2">
        <v>44933</v>
      </c>
      <c r="F14" s="2">
        <v>44936</v>
      </c>
      <c r="G14" s="1" t="s">
        <v>15</v>
      </c>
      <c r="H14" s="1" t="s">
        <v>54</v>
      </c>
      <c r="I14" s="1" t="s">
        <v>24</v>
      </c>
      <c r="J14" s="1" t="s">
        <v>25</v>
      </c>
      <c r="K14" s="1" t="s">
        <v>31</v>
      </c>
      <c r="L14" s="1" t="s">
        <v>32</v>
      </c>
      <c r="M14" s="1" t="s">
        <v>33</v>
      </c>
      <c r="N14" s="1">
        <v>2</v>
      </c>
      <c r="O14" s="1">
        <v>533.25</v>
      </c>
      <c r="P14" s="1">
        <v>0</v>
      </c>
      <c r="Q14" s="1">
        <v>1066.5</v>
      </c>
    </row>
    <row r="15" spans="1:17" x14ac:dyDescent="0.3">
      <c r="C15" s="1">
        <v>10080</v>
      </c>
      <c r="D15" s="1">
        <v>1427</v>
      </c>
      <c r="E15" s="2">
        <v>45288</v>
      </c>
      <c r="F15" s="2">
        <v>45293</v>
      </c>
      <c r="G15" s="1" t="s">
        <v>15</v>
      </c>
      <c r="H15" s="1" t="s">
        <v>54</v>
      </c>
      <c r="I15" s="1" t="s">
        <v>17</v>
      </c>
      <c r="J15" s="1" t="s">
        <v>25</v>
      </c>
      <c r="K15" s="1" t="s">
        <v>52</v>
      </c>
      <c r="L15" s="1" t="s">
        <v>56</v>
      </c>
      <c r="M15" s="1" t="s">
        <v>28</v>
      </c>
      <c r="N15" s="1">
        <v>3</v>
      </c>
      <c r="O15" s="1">
        <v>262.25</v>
      </c>
      <c r="P15" s="1">
        <v>10</v>
      </c>
      <c r="Q15" s="1">
        <v>708.07</v>
      </c>
    </row>
    <row r="16" spans="1:17" x14ac:dyDescent="0.3">
      <c r="C16" s="1">
        <v>10339</v>
      </c>
      <c r="D16" s="1">
        <v>1147</v>
      </c>
      <c r="E16" s="2">
        <v>45005</v>
      </c>
      <c r="F16" s="2">
        <v>45012</v>
      </c>
      <c r="G16" s="1" t="s">
        <v>15</v>
      </c>
      <c r="H16" s="1" t="s">
        <v>54</v>
      </c>
      <c r="I16" s="1" t="s">
        <v>17</v>
      </c>
      <c r="J16" s="1" t="s">
        <v>25</v>
      </c>
      <c r="K16" s="1" t="s">
        <v>31</v>
      </c>
      <c r="L16" s="1" t="s">
        <v>32</v>
      </c>
      <c r="M16" s="1" t="s">
        <v>21</v>
      </c>
      <c r="N16" s="1">
        <v>4</v>
      </c>
      <c r="O16" s="1">
        <v>3708.51</v>
      </c>
      <c r="P16" s="1">
        <v>5</v>
      </c>
      <c r="Q16" s="1">
        <v>14092.34</v>
      </c>
    </row>
    <row r="17" spans="3:17" x14ac:dyDescent="0.3">
      <c r="C17" s="1">
        <v>10301</v>
      </c>
      <c r="D17" s="1">
        <v>1709</v>
      </c>
      <c r="E17" s="2">
        <v>44943</v>
      </c>
      <c r="F17" s="2">
        <v>44947</v>
      </c>
      <c r="G17" s="1" t="s">
        <v>15</v>
      </c>
      <c r="H17" s="1" t="s">
        <v>29</v>
      </c>
      <c r="I17" s="1" t="s">
        <v>17</v>
      </c>
      <c r="J17" s="1" t="s">
        <v>25</v>
      </c>
      <c r="K17" s="1" t="s">
        <v>52</v>
      </c>
      <c r="L17" s="1" t="s">
        <v>53</v>
      </c>
      <c r="M17" s="1" t="s">
        <v>21</v>
      </c>
      <c r="N17" s="1">
        <v>4</v>
      </c>
      <c r="O17" s="1">
        <v>1733.79</v>
      </c>
      <c r="P17" s="1">
        <v>5</v>
      </c>
      <c r="Q17" s="1">
        <v>6588.4</v>
      </c>
    </row>
    <row r="18" spans="3:17" x14ac:dyDescent="0.3">
      <c r="C18" s="1">
        <v>10215</v>
      </c>
      <c r="D18" s="1">
        <v>1242</v>
      </c>
      <c r="E18" s="2">
        <v>45157</v>
      </c>
      <c r="F18" s="2">
        <v>45162</v>
      </c>
      <c r="G18" s="1" t="s">
        <v>15</v>
      </c>
      <c r="H18" s="1" t="s">
        <v>16</v>
      </c>
      <c r="I18" s="1" t="s">
        <v>17</v>
      </c>
      <c r="J18" s="1" t="s">
        <v>25</v>
      </c>
      <c r="K18" s="1" t="s">
        <v>26</v>
      </c>
      <c r="L18" s="1" t="s">
        <v>27</v>
      </c>
      <c r="M18" s="1" t="s">
        <v>21</v>
      </c>
      <c r="N18" s="1">
        <v>5</v>
      </c>
      <c r="O18" s="1">
        <v>633.42999999999995</v>
      </c>
      <c r="P18" s="1">
        <v>20</v>
      </c>
      <c r="Q18" s="1">
        <v>2533.7199999999998</v>
      </c>
    </row>
    <row r="19" spans="3:17" x14ac:dyDescent="0.3">
      <c r="C19" s="1">
        <v>10009</v>
      </c>
      <c r="D19" s="1">
        <v>1614</v>
      </c>
      <c r="E19" s="2">
        <v>45204</v>
      </c>
      <c r="F19" s="2">
        <v>45213</v>
      </c>
      <c r="G19" s="1" t="s">
        <v>15</v>
      </c>
      <c r="H19" s="1" t="s">
        <v>29</v>
      </c>
      <c r="I19" s="1" t="s">
        <v>24</v>
      </c>
      <c r="J19" s="1" t="s">
        <v>25</v>
      </c>
      <c r="K19" s="1" t="s">
        <v>31</v>
      </c>
      <c r="L19" s="1" t="s">
        <v>48</v>
      </c>
      <c r="M19" s="1" t="s">
        <v>28</v>
      </c>
      <c r="N19" s="1">
        <v>5</v>
      </c>
      <c r="O19" s="1">
        <v>1098.04</v>
      </c>
      <c r="P19" s="1">
        <v>15</v>
      </c>
      <c r="Q19" s="1">
        <v>4666.67</v>
      </c>
    </row>
    <row r="20" spans="3:17" x14ac:dyDescent="0.3">
      <c r="C20" s="1">
        <v>10462</v>
      </c>
      <c r="D20" s="1">
        <v>1191</v>
      </c>
      <c r="E20" s="2">
        <v>45198</v>
      </c>
      <c r="F20" s="2">
        <v>45205</v>
      </c>
      <c r="G20" s="1" t="s">
        <v>15</v>
      </c>
      <c r="H20" s="1" t="s">
        <v>38</v>
      </c>
      <c r="I20" s="1" t="s">
        <v>17</v>
      </c>
      <c r="J20" s="1" t="s">
        <v>25</v>
      </c>
      <c r="K20" s="1" t="s">
        <v>52</v>
      </c>
      <c r="L20" s="1" t="s">
        <v>64</v>
      </c>
      <c r="M20" s="1" t="s">
        <v>45</v>
      </c>
      <c r="N20" s="1">
        <v>6</v>
      </c>
      <c r="O20" s="1">
        <v>385.25</v>
      </c>
      <c r="P20" s="1">
        <v>10</v>
      </c>
      <c r="Q20" s="1">
        <v>2080.35</v>
      </c>
    </row>
    <row r="21" spans="3:17" x14ac:dyDescent="0.3">
      <c r="C21" s="1">
        <v>10003</v>
      </c>
      <c r="D21" s="1">
        <v>1860</v>
      </c>
      <c r="E21" s="2">
        <v>45109</v>
      </c>
      <c r="F21" s="2">
        <v>45114</v>
      </c>
      <c r="G21" s="1" t="s">
        <v>15</v>
      </c>
      <c r="H21" s="1" t="s">
        <v>29</v>
      </c>
      <c r="I21" s="1" t="s">
        <v>30</v>
      </c>
      <c r="J21" s="1" t="s">
        <v>25</v>
      </c>
      <c r="K21" s="1" t="s">
        <v>31</v>
      </c>
      <c r="L21" s="1" t="s">
        <v>32</v>
      </c>
      <c r="M21" s="1" t="s">
        <v>33</v>
      </c>
      <c r="N21" s="1">
        <v>6</v>
      </c>
      <c r="O21" s="1">
        <v>3474.34</v>
      </c>
      <c r="P21" s="1">
        <v>15</v>
      </c>
      <c r="Q21" s="1">
        <v>17719.13</v>
      </c>
    </row>
    <row r="22" spans="3:17" x14ac:dyDescent="0.3">
      <c r="C22" s="1">
        <v>10391</v>
      </c>
      <c r="D22" s="1">
        <v>1624</v>
      </c>
      <c r="E22" s="2">
        <v>45033</v>
      </c>
      <c r="F22" s="2">
        <v>45037</v>
      </c>
      <c r="G22" s="1" t="s">
        <v>15</v>
      </c>
      <c r="H22" s="1" t="s">
        <v>29</v>
      </c>
      <c r="I22" s="1" t="s">
        <v>30</v>
      </c>
      <c r="J22" s="1" t="s">
        <v>25</v>
      </c>
      <c r="K22" s="1" t="s">
        <v>19</v>
      </c>
      <c r="L22" s="1" t="s">
        <v>66</v>
      </c>
      <c r="M22" s="1" t="s">
        <v>33</v>
      </c>
      <c r="N22" s="1">
        <v>6</v>
      </c>
      <c r="O22" s="1">
        <v>2824.42</v>
      </c>
      <c r="P22" s="1">
        <v>0</v>
      </c>
      <c r="Q22" s="1">
        <v>16946.52</v>
      </c>
    </row>
    <row r="23" spans="3:17" x14ac:dyDescent="0.3">
      <c r="C23" s="1">
        <v>10451</v>
      </c>
      <c r="D23" s="1">
        <v>1608</v>
      </c>
      <c r="E23" s="2">
        <v>45102</v>
      </c>
      <c r="F23" s="2">
        <v>45110</v>
      </c>
      <c r="G23" s="1" t="s">
        <v>15</v>
      </c>
      <c r="H23" s="1" t="s">
        <v>29</v>
      </c>
      <c r="I23" s="1" t="s">
        <v>24</v>
      </c>
      <c r="J23" s="1" t="s">
        <v>25</v>
      </c>
      <c r="K23" s="1" t="s">
        <v>57</v>
      </c>
      <c r="L23" s="1" t="s">
        <v>59</v>
      </c>
      <c r="M23" s="1" t="s">
        <v>28</v>
      </c>
      <c r="N23" s="1">
        <v>7</v>
      </c>
      <c r="O23" s="1">
        <v>1332.87</v>
      </c>
      <c r="P23" s="1">
        <v>0</v>
      </c>
      <c r="Q23" s="1">
        <v>9330.09</v>
      </c>
    </row>
    <row r="24" spans="3:17" x14ac:dyDescent="0.3">
      <c r="C24" s="1">
        <v>10495</v>
      </c>
      <c r="D24" s="1">
        <v>1127</v>
      </c>
      <c r="E24" s="2">
        <v>45060</v>
      </c>
      <c r="F24" s="2">
        <v>45063</v>
      </c>
      <c r="G24" s="1" t="s">
        <v>15</v>
      </c>
      <c r="H24" s="1" t="s">
        <v>23</v>
      </c>
      <c r="I24" s="1" t="s">
        <v>30</v>
      </c>
      <c r="J24" s="1" t="s">
        <v>25</v>
      </c>
      <c r="K24" s="1" t="s">
        <v>57</v>
      </c>
      <c r="L24" s="1" t="s">
        <v>59</v>
      </c>
      <c r="M24" s="1" t="s">
        <v>45</v>
      </c>
      <c r="N24" s="1">
        <v>8</v>
      </c>
      <c r="O24" s="1">
        <v>598.44000000000005</v>
      </c>
      <c r="P24" s="1">
        <v>0</v>
      </c>
      <c r="Q24" s="1">
        <v>4787.5200000000004</v>
      </c>
    </row>
    <row r="25" spans="3:17" x14ac:dyDescent="0.3">
      <c r="C25" s="1">
        <v>10291</v>
      </c>
      <c r="D25" s="1">
        <v>1735</v>
      </c>
      <c r="E25" s="2">
        <v>45007</v>
      </c>
      <c r="F25" s="2">
        <v>45008</v>
      </c>
      <c r="G25" s="1" t="s">
        <v>15</v>
      </c>
      <c r="H25" s="1" t="s">
        <v>54</v>
      </c>
      <c r="I25" s="1" t="s">
        <v>24</v>
      </c>
      <c r="J25" s="1" t="s">
        <v>25</v>
      </c>
      <c r="K25" s="1" t="s">
        <v>52</v>
      </c>
      <c r="L25" s="1" t="s">
        <v>53</v>
      </c>
      <c r="M25" s="1" t="s">
        <v>33</v>
      </c>
      <c r="N25" s="1">
        <v>9</v>
      </c>
      <c r="O25" s="1">
        <v>2661.11</v>
      </c>
      <c r="P25" s="1">
        <v>10</v>
      </c>
      <c r="Q25" s="1">
        <v>21554.99</v>
      </c>
    </row>
    <row r="26" spans="3:17" x14ac:dyDescent="0.3">
      <c r="C26" s="1">
        <v>10359</v>
      </c>
      <c r="D26" s="1">
        <v>1297</v>
      </c>
      <c r="E26" s="2">
        <v>45104</v>
      </c>
      <c r="F26" s="2">
        <v>45105</v>
      </c>
      <c r="G26" s="1" t="s">
        <v>16</v>
      </c>
      <c r="H26" s="1" t="s">
        <v>41</v>
      </c>
      <c r="I26" s="1" t="s">
        <v>17</v>
      </c>
      <c r="J26" s="1" t="s">
        <v>25</v>
      </c>
      <c r="K26" s="1" t="s">
        <v>31</v>
      </c>
      <c r="L26" s="1" t="s">
        <v>48</v>
      </c>
      <c r="M26" s="1" t="s">
        <v>47</v>
      </c>
      <c r="N26" s="1">
        <v>1</v>
      </c>
      <c r="O26" s="1">
        <v>202.49</v>
      </c>
      <c r="P26" s="1">
        <v>5</v>
      </c>
      <c r="Q26" s="1">
        <v>192.37</v>
      </c>
    </row>
    <row r="27" spans="3:17" x14ac:dyDescent="0.3">
      <c r="C27" s="1">
        <v>10246</v>
      </c>
      <c r="D27" s="1">
        <v>1744</v>
      </c>
      <c r="E27" s="2">
        <v>45131</v>
      </c>
      <c r="F27" s="2">
        <v>45139</v>
      </c>
      <c r="G27" s="1" t="s">
        <v>16</v>
      </c>
      <c r="H27" s="1" t="s">
        <v>29</v>
      </c>
      <c r="I27" s="1" t="s">
        <v>24</v>
      </c>
      <c r="J27" s="1" t="s">
        <v>25</v>
      </c>
      <c r="K27" s="1" t="s">
        <v>52</v>
      </c>
      <c r="L27" s="1" t="s">
        <v>53</v>
      </c>
      <c r="M27" s="1" t="s">
        <v>45</v>
      </c>
      <c r="N27" s="1">
        <v>1</v>
      </c>
      <c r="O27" s="1">
        <v>3082.45</v>
      </c>
      <c r="P27" s="1">
        <v>5</v>
      </c>
      <c r="Q27" s="1">
        <v>2928.33</v>
      </c>
    </row>
    <row r="28" spans="3:17" x14ac:dyDescent="0.3">
      <c r="C28" s="1">
        <v>10404</v>
      </c>
      <c r="D28" s="1">
        <v>1860</v>
      </c>
      <c r="E28" s="2">
        <v>44947</v>
      </c>
      <c r="F28" s="2">
        <v>44955</v>
      </c>
      <c r="G28" s="1" t="s">
        <v>16</v>
      </c>
      <c r="H28" s="1" t="s">
        <v>54</v>
      </c>
      <c r="I28" s="1" t="s">
        <v>17</v>
      </c>
      <c r="J28" s="1" t="s">
        <v>25</v>
      </c>
      <c r="K28" s="1" t="s">
        <v>19</v>
      </c>
      <c r="L28" s="1" t="s">
        <v>66</v>
      </c>
      <c r="M28" s="1" t="s">
        <v>45</v>
      </c>
      <c r="N28" s="1">
        <v>4</v>
      </c>
      <c r="O28" s="1">
        <v>3104.87</v>
      </c>
      <c r="P28" s="1">
        <v>10</v>
      </c>
      <c r="Q28" s="1">
        <v>11177.53</v>
      </c>
    </row>
    <row r="29" spans="3:17" x14ac:dyDescent="0.3">
      <c r="C29" s="1">
        <v>10155</v>
      </c>
      <c r="D29" s="1">
        <v>1134</v>
      </c>
      <c r="E29" s="2">
        <v>44945</v>
      </c>
      <c r="F29" s="2">
        <v>44954</v>
      </c>
      <c r="G29" s="1" t="s">
        <v>16</v>
      </c>
      <c r="H29" s="1" t="s">
        <v>29</v>
      </c>
      <c r="I29" s="1" t="s">
        <v>30</v>
      </c>
      <c r="J29" s="1" t="s">
        <v>25</v>
      </c>
      <c r="K29" s="1" t="s">
        <v>52</v>
      </c>
      <c r="L29" s="1" t="s">
        <v>56</v>
      </c>
      <c r="M29" s="1" t="s">
        <v>21</v>
      </c>
      <c r="N29" s="1">
        <v>4</v>
      </c>
      <c r="O29" s="1">
        <v>1442.15</v>
      </c>
      <c r="P29" s="1">
        <v>15</v>
      </c>
      <c r="Q29" s="1">
        <v>4903.3100000000004</v>
      </c>
    </row>
    <row r="30" spans="3:17" x14ac:dyDescent="0.3">
      <c r="C30" s="1">
        <v>10492</v>
      </c>
      <c r="D30" s="1">
        <v>1160</v>
      </c>
      <c r="E30" s="2">
        <v>45136</v>
      </c>
      <c r="F30" s="2">
        <v>45140</v>
      </c>
      <c r="G30" s="1" t="s">
        <v>16</v>
      </c>
      <c r="H30" s="1" t="s">
        <v>38</v>
      </c>
      <c r="I30" s="1" t="s">
        <v>24</v>
      </c>
      <c r="J30" s="1" t="s">
        <v>25</v>
      </c>
      <c r="K30" s="1" t="s">
        <v>31</v>
      </c>
      <c r="L30" s="1" t="s">
        <v>32</v>
      </c>
      <c r="M30" s="1" t="s">
        <v>47</v>
      </c>
      <c r="N30" s="1">
        <v>5</v>
      </c>
      <c r="O30" s="1">
        <v>311.56</v>
      </c>
      <c r="P30" s="1">
        <v>0</v>
      </c>
      <c r="Q30" s="1">
        <v>1557.8</v>
      </c>
    </row>
    <row r="31" spans="3:17" x14ac:dyDescent="0.3">
      <c r="C31" s="1">
        <v>10237</v>
      </c>
      <c r="D31" s="1">
        <v>1189</v>
      </c>
      <c r="E31" s="2">
        <v>45146</v>
      </c>
      <c r="F31" s="2">
        <v>45147</v>
      </c>
      <c r="G31" s="1" t="s">
        <v>16</v>
      </c>
      <c r="H31" s="1" t="s">
        <v>41</v>
      </c>
      <c r="I31" s="1" t="s">
        <v>17</v>
      </c>
      <c r="J31" s="1" t="s">
        <v>25</v>
      </c>
      <c r="K31" s="1" t="s">
        <v>19</v>
      </c>
      <c r="L31" s="1" t="s">
        <v>20</v>
      </c>
      <c r="M31" s="1" t="s">
        <v>21</v>
      </c>
      <c r="N31" s="1">
        <v>5</v>
      </c>
      <c r="O31" s="1">
        <v>465.79</v>
      </c>
      <c r="P31" s="1">
        <v>5</v>
      </c>
      <c r="Q31" s="1">
        <v>2212.5</v>
      </c>
    </row>
    <row r="32" spans="3:17" x14ac:dyDescent="0.3">
      <c r="C32" s="1">
        <v>10231</v>
      </c>
      <c r="D32" s="1">
        <v>1330</v>
      </c>
      <c r="E32" s="2">
        <v>45078</v>
      </c>
      <c r="F32" s="2">
        <v>45083</v>
      </c>
      <c r="G32" s="1" t="s">
        <v>16</v>
      </c>
      <c r="H32" s="1" t="s">
        <v>38</v>
      </c>
      <c r="I32" s="1" t="s">
        <v>30</v>
      </c>
      <c r="J32" s="1" t="s">
        <v>25</v>
      </c>
      <c r="K32" s="1" t="s">
        <v>26</v>
      </c>
      <c r="L32" s="1" t="s">
        <v>36</v>
      </c>
      <c r="M32" s="1" t="s">
        <v>47</v>
      </c>
      <c r="N32" s="1">
        <v>7</v>
      </c>
      <c r="O32" s="1">
        <v>693.26</v>
      </c>
      <c r="P32" s="1">
        <v>20</v>
      </c>
      <c r="Q32" s="1">
        <v>3882.26</v>
      </c>
    </row>
    <row r="33" spans="3:17" x14ac:dyDescent="0.3">
      <c r="C33" s="1">
        <v>10275</v>
      </c>
      <c r="D33" s="1">
        <v>1806</v>
      </c>
      <c r="E33" s="2">
        <v>44947</v>
      </c>
      <c r="F33" s="2">
        <v>44951</v>
      </c>
      <c r="G33" s="1" t="s">
        <v>16</v>
      </c>
      <c r="H33" s="1" t="s">
        <v>54</v>
      </c>
      <c r="I33" s="1" t="s">
        <v>24</v>
      </c>
      <c r="J33" s="1" t="s">
        <v>25</v>
      </c>
      <c r="K33" s="1" t="s">
        <v>52</v>
      </c>
      <c r="L33" s="1" t="s">
        <v>64</v>
      </c>
      <c r="M33" s="1" t="s">
        <v>33</v>
      </c>
      <c r="N33" s="1">
        <v>7</v>
      </c>
      <c r="O33" s="1">
        <v>509.1</v>
      </c>
      <c r="P33" s="1">
        <v>15</v>
      </c>
      <c r="Q33" s="1">
        <v>3029.14</v>
      </c>
    </row>
    <row r="34" spans="3:17" x14ac:dyDescent="0.3">
      <c r="C34" s="1">
        <v>10157</v>
      </c>
      <c r="D34" s="1">
        <v>1839</v>
      </c>
      <c r="E34" s="2">
        <v>45154</v>
      </c>
      <c r="F34" s="2">
        <v>45161</v>
      </c>
      <c r="G34" s="1" t="s">
        <v>16</v>
      </c>
      <c r="H34" s="1" t="s">
        <v>23</v>
      </c>
      <c r="I34" s="1" t="s">
        <v>30</v>
      </c>
      <c r="J34" s="1" t="s">
        <v>25</v>
      </c>
      <c r="K34" s="1" t="s">
        <v>19</v>
      </c>
      <c r="L34" s="1" t="s">
        <v>20</v>
      </c>
      <c r="M34" s="1" t="s">
        <v>33</v>
      </c>
      <c r="N34" s="1">
        <v>8</v>
      </c>
      <c r="O34" s="1">
        <v>1054.73</v>
      </c>
      <c r="P34" s="1">
        <v>0</v>
      </c>
      <c r="Q34" s="1">
        <v>8437.84</v>
      </c>
    </row>
    <row r="35" spans="3:17" x14ac:dyDescent="0.3">
      <c r="C35" s="1">
        <v>10251</v>
      </c>
      <c r="D35" s="1">
        <v>1410</v>
      </c>
      <c r="E35" s="2">
        <v>45154</v>
      </c>
      <c r="F35" s="2">
        <v>45155</v>
      </c>
      <c r="G35" s="1" t="s">
        <v>16</v>
      </c>
      <c r="H35" s="1" t="s">
        <v>23</v>
      </c>
      <c r="I35" s="1" t="s">
        <v>17</v>
      </c>
      <c r="J35" s="1" t="s">
        <v>25</v>
      </c>
      <c r="K35" s="1" t="s">
        <v>31</v>
      </c>
      <c r="L35" s="1" t="s">
        <v>48</v>
      </c>
      <c r="M35" s="1" t="s">
        <v>28</v>
      </c>
      <c r="N35" s="1">
        <v>8</v>
      </c>
      <c r="O35" s="1">
        <v>1822.29</v>
      </c>
      <c r="P35" s="1">
        <v>20</v>
      </c>
      <c r="Q35" s="1">
        <v>11662.66</v>
      </c>
    </row>
    <row r="36" spans="3:17" x14ac:dyDescent="0.3">
      <c r="C36" s="1">
        <v>10259</v>
      </c>
      <c r="D36" s="1">
        <v>1663</v>
      </c>
      <c r="E36" s="2">
        <v>45122</v>
      </c>
      <c r="F36" s="2">
        <v>45126</v>
      </c>
      <c r="G36" s="1" t="s">
        <v>16</v>
      </c>
      <c r="H36" s="1" t="s">
        <v>29</v>
      </c>
      <c r="I36" s="1" t="s">
        <v>24</v>
      </c>
      <c r="J36" s="1" t="s">
        <v>25</v>
      </c>
      <c r="K36" s="1" t="s">
        <v>49</v>
      </c>
      <c r="L36" s="1" t="s">
        <v>51</v>
      </c>
      <c r="M36" s="1" t="s">
        <v>21</v>
      </c>
      <c r="N36" s="1">
        <v>9</v>
      </c>
      <c r="O36" s="1">
        <v>1223.9100000000001</v>
      </c>
      <c r="P36" s="1">
        <v>5</v>
      </c>
      <c r="Q36" s="1">
        <v>10464.43</v>
      </c>
    </row>
    <row r="37" spans="3:17" x14ac:dyDescent="0.3">
      <c r="C37" s="1">
        <v>10073</v>
      </c>
      <c r="D37" s="1">
        <v>1564</v>
      </c>
      <c r="E37" s="2">
        <v>45055</v>
      </c>
      <c r="F37" s="2">
        <v>45063</v>
      </c>
      <c r="G37" s="1" t="s">
        <v>40</v>
      </c>
      <c r="H37" s="1" t="s">
        <v>16</v>
      </c>
      <c r="I37" s="1" t="s">
        <v>17</v>
      </c>
      <c r="J37" s="1" t="s">
        <v>25</v>
      </c>
      <c r="K37" s="1" t="s">
        <v>49</v>
      </c>
      <c r="L37" s="1" t="s">
        <v>68</v>
      </c>
      <c r="M37" s="1" t="s">
        <v>21</v>
      </c>
      <c r="N37" s="1">
        <v>1</v>
      </c>
      <c r="O37" s="1">
        <v>3037.61</v>
      </c>
      <c r="P37" s="1">
        <v>5</v>
      </c>
      <c r="Q37" s="1">
        <v>2885.73</v>
      </c>
    </row>
    <row r="38" spans="3:17" x14ac:dyDescent="0.3">
      <c r="C38" s="1">
        <v>10096</v>
      </c>
      <c r="D38" s="1">
        <v>1821</v>
      </c>
      <c r="E38" s="2">
        <v>44940</v>
      </c>
      <c r="F38" s="2">
        <v>44947</v>
      </c>
      <c r="G38" s="1" t="s">
        <v>40</v>
      </c>
      <c r="H38" s="1" t="s">
        <v>16</v>
      </c>
      <c r="I38" s="1" t="s">
        <v>17</v>
      </c>
      <c r="J38" s="1" t="s">
        <v>25</v>
      </c>
      <c r="K38" s="1" t="s">
        <v>52</v>
      </c>
      <c r="L38" s="1" t="s">
        <v>60</v>
      </c>
      <c r="M38" s="1" t="s">
        <v>33</v>
      </c>
      <c r="N38" s="1">
        <v>2</v>
      </c>
      <c r="O38" s="1">
        <v>1249.94</v>
      </c>
      <c r="P38" s="1">
        <v>10</v>
      </c>
      <c r="Q38" s="1">
        <v>2249.89</v>
      </c>
    </row>
    <row r="39" spans="3:17" x14ac:dyDescent="0.3">
      <c r="C39" s="1">
        <v>10271</v>
      </c>
      <c r="D39" s="1">
        <v>1441</v>
      </c>
      <c r="E39" s="2">
        <v>45068</v>
      </c>
      <c r="F39" s="2">
        <v>45072</v>
      </c>
      <c r="G39" s="1" t="s">
        <v>40</v>
      </c>
      <c r="H39" s="1" t="s">
        <v>16</v>
      </c>
      <c r="I39" s="1" t="s">
        <v>30</v>
      </c>
      <c r="J39" s="1" t="s">
        <v>25</v>
      </c>
      <c r="K39" s="1" t="s">
        <v>19</v>
      </c>
      <c r="L39" s="1" t="s">
        <v>66</v>
      </c>
      <c r="M39" s="1" t="s">
        <v>47</v>
      </c>
      <c r="N39" s="1">
        <v>3</v>
      </c>
      <c r="O39" s="1">
        <v>2469.5100000000002</v>
      </c>
      <c r="P39" s="1">
        <v>0</v>
      </c>
      <c r="Q39" s="1">
        <v>7408.53</v>
      </c>
    </row>
    <row r="40" spans="3:17" x14ac:dyDescent="0.3">
      <c r="C40" s="1">
        <v>10188</v>
      </c>
      <c r="D40" s="1">
        <v>1206</v>
      </c>
      <c r="E40" s="2">
        <v>45064</v>
      </c>
      <c r="F40" s="2">
        <v>45070</v>
      </c>
      <c r="G40" s="1" t="s">
        <v>40</v>
      </c>
      <c r="H40" s="1" t="s">
        <v>54</v>
      </c>
      <c r="I40" s="1" t="s">
        <v>17</v>
      </c>
      <c r="J40" s="1" t="s">
        <v>25</v>
      </c>
      <c r="K40" s="1" t="s">
        <v>52</v>
      </c>
      <c r="L40" s="1" t="s">
        <v>53</v>
      </c>
      <c r="M40" s="1" t="s">
        <v>21</v>
      </c>
      <c r="N40" s="1">
        <v>3</v>
      </c>
      <c r="O40" s="1">
        <v>778.85</v>
      </c>
      <c r="P40" s="1">
        <v>10</v>
      </c>
      <c r="Q40" s="1">
        <v>2102.89</v>
      </c>
    </row>
    <row r="41" spans="3:17" x14ac:dyDescent="0.3">
      <c r="C41" s="1">
        <v>10487</v>
      </c>
      <c r="D41" s="1">
        <v>1190</v>
      </c>
      <c r="E41" s="2">
        <v>44965</v>
      </c>
      <c r="F41" s="2">
        <v>44966</v>
      </c>
      <c r="G41" s="1" t="s">
        <v>40</v>
      </c>
      <c r="H41" s="1" t="s">
        <v>16</v>
      </c>
      <c r="I41" s="1" t="s">
        <v>30</v>
      </c>
      <c r="J41" s="1" t="s">
        <v>25</v>
      </c>
      <c r="K41" s="1" t="s">
        <v>52</v>
      </c>
      <c r="L41" s="1" t="s">
        <v>53</v>
      </c>
      <c r="M41" s="1" t="s">
        <v>21</v>
      </c>
      <c r="N41" s="1">
        <v>4</v>
      </c>
      <c r="O41" s="1">
        <v>2751.14</v>
      </c>
      <c r="P41" s="1">
        <v>20</v>
      </c>
      <c r="Q41" s="1">
        <v>8803.65</v>
      </c>
    </row>
    <row r="42" spans="3:17" x14ac:dyDescent="0.3">
      <c r="C42" s="1">
        <v>10109</v>
      </c>
      <c r="D42" s="1">
        <v>1270</v>
      </c>
      <c r="E42" s="2">
        <v>45058</v>
      </c>
      <c r="F42" s="2">
        <v>45061</v>
      </c>
      <c r="G42" s="1" t="s">
        <v>40</v>
      </c>
      <c r="H42" s="1" t="s">
        <v>38</v>
      </c>
      <c r="I42" s="1" t="s">
        <v>17</v>
      </c>
      <c r="J42" s="1" t="s">
        <v>25</v>
      </c>
      <c r="K42" s="1" t="s">
        <v>57</v>
      </c>
      <c r="L42" s="1" t="s">
        <v>59</v>
      </c>
      <c r="M42" s="1" t="s">
        <v>21</v>
      </c>
      <c r="N42" s="1">
        <v>4</v>
      </c>
      <c r="O42" s="1">
        <v>3107.29</v>
      </c>
      <c r="P42" s="1">
        <v>10</v>
      </c>
      <c r="Q42" s="1">
        <v>11186.24</v>
      </c>
    </row>
    <row r="43" spans="3:17" x14ac:dyDescent="0.3">
      <c r="C43" s="1">
        <v>10304</v>
      </c>
      <c r="D43" s="1">
        <v>1835</v>
      </c>
      <c r="E43" s="2">
        <v>45024</v>
      </c>
      <c r="F43" s="2">
        <v>45027</v>
      </c>
      <c r="G43" s="1" t="s">
        <v>40</v>
      </c>
      <c r="H43" s="1" t="s">
        <v>23</v>
      </c>
      <c r="I43" s="1" t="s">
        <v>24</v>
      </c>
      <c r="J43" s="1" t="s">
        <v>25</v>
      </c>
      <c r="K43" s="1" t="s">
        <v>26</v>
      </c>
      <c r="L43" s="1" t="s">
        <v>61</v>
      </c>
      <c r="M43" s="1" t="s">
        <v>21</v>
      </c>
      <c r="N43" s="1">
        <v>4</v>
      </c>
      <c r="O43" s="1">
        <v>2547.52</v>
      </c>
      <c r="P43" s="1">
        <v>20</v>
      </c>
      <c r="Q43" s="1">
        <v>8152.06</v>
      </c>
    </row>
    <row r="44" spans="3:17" x14ac:dyDescent="0.3">
      <c r="C44" s="1">
        <v>10135</v>
      </c>
      <c r="D44" s="1">
        <v>1838</v>
      </c>
      <c r="E44" s="2">
        <v>44981</v>
      </c>
      <c r="F44" s="2">
        <v>44990</v>
      </c>
      <c r="G44" s="1" t="s">
        <v>40</v>
      </c>
      <c r="H44" s="1" t="s">
        <v>16</v>
      </c>
      <c r="I44" s="1" t="s">
        <v>17</v>
      </c>
      <c r="J44" s="1" t="s">
        <v>25</v>
      </c>
      <c r="K44" s="1" t="s">
        <v>19</v>
      </c>
      <c r="L44" s="1" t="s">
        <v>43</v>
      </c>
      <c r="M44" s="1" t="s">
        <v>47</v>
      </c>
      <c r="N44" s="1">
        <v>6</v>
      </c>
      <c r="O44" s="1">
        <v>1919.66</v>
      </c>
      <c r="P44" s="1">
        <v>5</v>
      </c>
      <c r="Q44" s="1">
        <v>10942.06</v>
      </c>
    </row>
    <row r="45" spans="3:17" x14ac:dyDescent="0.3">
      <c r="C45" s="1">
        <v>10028</v>
      </c>
      <c r="D45" s="1">
        <v>1385</v>
      </c>
      <c r="E45" s="2">
        <v>45164</v>
      </c>
      <c r="F45" s="2">
        <v>45172</v>
      </c>
      <c r="G45" s="1" t="s">
        <v>40</v>
      </c>
      <c r="H45" s="1" t="s">
        <v>23</v>
      </c>
      <c r="I45" s="1" t="s">
        <v>24</v>
      </c>
      <c r="J45" s="1" t="s">
        <v>25</v>
      </c>
      <c r="K45" s="1" t="s">
        <v>49</v>
      </c>
      <c r="L45" s="1" t="s">
        <v>51</v>
      </c>
      <c r="M45" s="1" t="s">
        <v>33</v>
      </c>
      <c r="N45" s="1">
        <v>6</v>
      </c>
      <c r="O45" s="1">
        <v>3206.63</v>
      </c>
      <c r="P45" s="1">
        <v>20</v>
      </c>
      <c r="Q45" s="1">
        <v>15391.82</v>
      </c>
    </row>
    <row r="46" spans="3:17" x14ac:dyDescent="0.3">
      <c r="C46" s="1">
        <v>10362</v>
      </c>
      <c r="D46" s="1">
        <v>1763</v>
      </c>
      <c r="E46" s="2">
        <v>45193</v>
      </c>
      <c r="F46" s="2">
        <v>45194</v>
      </c>
      <c r="G46" s="1" t="s">
        <v>40</v>
      </c>
      <c r="H46" s="1" t="s">
        <v>23</v>
      </c>
      <c r="I46" s="1" t="s">
        <v>24</v>
      </c>
      <c r="J46" s="1" t="s">
        <v>25</v>
      </c>
      <c r="K46" s="1" t="s">
        <v>31</v>
      </c>
      <c r="L46" s="1" t="s">
        <v>48</v>
      </c>
      <c r="M46" s="1" t="s">
        <v>45</v>
      </c>
      <c r="N46" s="1">
        <v>7</v>
      </c>
      <c r="O46" s="1">
        <v>720.64</v>
      </c>
      <c r="P46" s="1">
        <v>20</v>
      </c>
      <c r="Q46" s="1">
        <v>4035.58</v>
      </c>
    </row>
    <row r="47" spans="3:17" x14ac:dyDescent="0.3">
      <c r="C47" s="1">
        <v>10054</v>
      </c>
      <c r="D47" s="1">
        <v>1566</v>
      </c>
      <c r="E47" s="2">
        <v>45279</v>
      </c>
      <c r="F47" s="2">
        <v>45281</v>
      </c>
      <c r="G47" s="1" t="s">
        <v>40</v>
      </c>
      <c r="H47" s="1" t="s">
        <v>23</v>
      </c>
      <c r="I47" s="1" t="s">
        <v>24</v>
      </c>
      <c r="J47" s="1" t="s">
        <v>25</v>
      </c>
      <c r="K47" s="1" t="s">
        <v>49</v>
      </c>
      <c r="L47" s="1" t="s">
        <v>50</v>
      </c>
      <c r="M47" s="1" t="s">
        <v>21</v>
      </c>
      <c r="N47" s="1">
        <v>8</v>
      </c>
      <c r="O47" s="1">
        <v>1428.62</v>
      </c>
      <c r="P47" s="1">
        <v>10</v>
      </c>
      <c r="Q47" s="1">
        <v>10286.06</v>
      </c>
    </row>
    <row r="48" spans="3:17" x14ac:dyDescent="0.3">
      <c r="C48" s="1">
        <v>10298</v>
      </c>
      <c r="D48" s="1">
        <v>1683</v>
      </c>
      <c r="E48" s="2">
        <v>45095</v>
      </c>
      <c r="F48" s="2">
        <v>45103</v>
      </c>
      <c r="G48" s="1" t="s">
        <v>40</v>
      </c>
      <c r="H48" s="1" t="s">
        <v>54</v>
      </c>
      <c r="I48" s="1" t="s">
        <v>24</v>
      </c>
      <c r="J48" s="1" t="s">
        <v>25</v>
      </c>
      <c r="K48" s="1" t="s">
        <v>26</v>
      </c>
      <c r="L48" s="1" t="s">
        <v>36</v>
      </c>
      <c r="M48" s="1" t="s">
        <v>47</v>
      </c>
      <c r="N48" s="1">
        <v>9</v>
      </c>
      <c r="O48" s="1">
        <v>3988.1</v>
      </c>
      <c r="P48" s="1">
        <v>0</v>
      </c>
      <c r="Q48" s="1">
        <v>35892.9</v>
      </c>
    </row>
    <row r="49" spans="3:17" x14ac:dyDescent="0.3">
      <c r="C49" s="1">
        <v>10114</v>
      </c>
      <c r="D49" s="1">
        <v>1701</v>
      </c>
      <c r="E49" s="2">
        <v>45219</v>
      </c>
      <c r="F49" s="2">
        <v>45227</v>
      </c>
      <c r="G49" s="1" t="s">
        <v>40</v>
      </c>
      <c r="H49" s="1" t="s">
        <v>23</v>
      </c>
      <c r="I49" s="1" t="s">
        <v>30</v>
      </c>
      <c r="J49" s="1" t="s">
        <v>25</v>
      </c>
      <c r="K49" s="1" t="s">
        <v>26</v>
      </c>
      <c r="L49" s="1" t="s">
        <v>69</v>
      </c>
      <c r="M49" s="1" t="s">
        <v>45</v>
      </c>
      <c r="N49" s="1">
        <v>9</v>
      </c>
      <c r="O49" s="1">
        <v>1206.3800000000001</v>
      </c>
      <c r="P49" s="1">
        <v>10</v>
      </c>
      <c r="Q49" s="1">
        <v>9771.68</v>
      </c>
    </row>
    <row r="50" spans="3:17" x14ac:dyDescent="0.3">
      <c r="C50" s="1">
        <v>10427</v>
      </c>
      <c r="D50" s="1">
        <v>1194</v>
      </c>
      <c r="E50" s="2">
        <v>45137</v>
      </c>
      <c r="F50" s="2">
        <v>45140</v>
      </c>
      <c r="G50" s="1" t="s">
        <v>40</v>
      </c>
      <c r="H50" s="1" t="s">
        <v>23</v>
      </c>
      <c r="I50" s="1" t="s">
        <v>24</v>
      </c>
      <c r="J50" s="1" t="s">
        <v>25</v>
      </c>
      <c r="K50" s="1" t="s">
        <v>19</v>
      </c>
      <c r="L50" s="1" t="s">
        <v>55</v>
      </c>
      <c r="M50" s="1" t="s">
        <v>28</v>
      </c>
      <c r="N50" s="1">
        <v>9</v>
      </c>
      <c r="O50" s="1">
        <v>2454.59</v>
      </c>
      <c r="P50" s="1">
        <v>5</v>
      </c>
      <c r="Q50" s="1">
        <v>20986.74</v>
      </c>
    </row>
    <row r="51" spans="3:17" x14ac:dyDescent="0.3">
      <c r="C51" s="1">
        <v>10314</v>
      </c>
      <c r="D51" s="1">
        <v>1883</v>
      </c>
      <c r="E51" s="2">
        <v>45256</v>
      </c>
      <c r="F51" s="2">
        <v>45264</v>
      </c>
      <c r="G51" s="1" t="s">
        <v>37</v>
      </c>
      <c r="H51" s="1" t="s">
        <v>16</v>
      </c>
      <c r="I51" s="1" t="s">
        <v>24</v>
      </c>
      <c r="J51" s="1" t="s">
        <v>25</v>
      </c>
      <c r="K51" s="1" t="s">
        <v>26</v>
      </c>
      <c r="L51" s="1" t="s">
        <v>69</v>
      </c>
      <c r="M51" s="1" t="s">
        <v>28</v>
      </c>
      <c r="N51" s="1">
        <v>1</v>
      </c>
      <c r="O51" s="1">
        <v>1681.85</v>
      </c>
      <c r="P51" s="1">
        <v>5</v>
      </c>
      <c r="Q51" s="1">
        <v>1597.76</v>
      </c>
    </row>
    <row r="52" spans="3:17" x14ac:dyDescent="0.3">
      <c r="C52" s="1">
        <v>10186</v>
      </c>
      <c r="D52" s="1">
        <v>1794</v>
      </c>
      <c r="E52" s="2">
        <v>45251</v>
      </c>
      <c r="F52" s="2">
        <v>45254</v>
      </c>
      <c r="G52" s="1" t="s">
        <v>37</v>
      </c>
      <c r="H52" s="1" t="s">
        <v>41</v>
      </c>
      <c r="I52" s="1" t="s">
        <v>30</v>
      </c>
      <c r="J52" s="1" t="s">
        <v>25</v>
      </c>
      <c r="K52" s="1" t="s">
        <v>52</v>
      </c>
      <c r="L52" s="1" t="s">
        <v>56</v>
      </c>
      <c r="M52" s="1" t="s">
        <v>47</v>
      </c>
      <c r="N52" s="1">
        <v>1</v>
      </c>
      <c r="O52" s="1">
        <v>508.81</v>
      </c>
      <c r="P52" s="1">
        <v>0</v>
      </c>
      <c r="Q52" s="1">
        <v>508.81</v>
      </c>
    </row>
    <row r="53" spans="3:17" x14ac:dyDescent="0.3">
      <c r="C53" s="1">
        <v>10102</v>
      </c>
      <c r="D53" s="1">
        <v>1161</v>
      </c>
      <c r="E53" s="2">
        <v>44996</v>
      </c>
      <c r="F53" s="2">
        <v>45002</v>
      </c>
      <c r="G53" s="1" t="s">
        <v>37</v>
      </c>
      <c r="H53" s="1" t="s">
        <v>54</v>
      </c>
      <c r="I53" s="1" t="s">
        <v>30</v>
      </c>
      <c r="J53" s="1" t="s">
        <v>25</v>
      </c>
      <c r="K53" s="1" t="s">
        <v>31</v>
      </c>
      <c r="L53" s="1" t="s">
        <v>39</v>
      </c>
      <c r="M53" s="1" t="s">
        <v>21</v>
      </c>
      <c r="N53" s="1">
        <v>2</v>
      </c>
      <c r="O53" s="1">
        <v>1859.03</v>
      </c>
      <c r="P53" s="1">
        <v>20</v>
      </c>
      <c r="Q53" s="1">
        <v>2974.45</v>
      </c>
    </row>
    <row r="54" spans="3:17" x14ac:dyDescent="0.3">
      <c r="C54" s="1">
        <v>10141</v>
      </c>
      <c r="D54" s="1">
        <v>1062</v>
      </c>
      <c r="E54" s="2">
        <v>45085</v>
      </c>
      <c r="F54" s="2">
        <v>45092</v>
      </c>
      <c r="G54" s="1" t="s">
        <v>37</v>
      </c>
      <c r="H54" s="1" t="s">
        <v>29</v>
      </c>
      <c r="I54" s="1" t="s">
        <v>17</v>
      </c>
      <c r="J54" s="1" t="s">
        <v>25</v>
      </c>
      <c r="K54" s="1" t="s">
        <v>31</v>
      </c>
      <c r="L54" s="1" t="s">
        <v>39</v>
      </c>
      <c r="M54" s="1" t="s">
        <v>28</v>
      </c>
      <c r="N54" s="1">
        <v>2</v>
      </c>
      <c r="O54" s="1">
        <v>1766.42</v>
      </c>
      <c r="P54" s="1">
        <v>10</v>
      </c>
      <c r="Q54" s="1">
        <v>3179.56</v>
      </c>
    </row>
    <row r="55" spans="3:17" x14ac:dyDescent="0.3">
      <c r="C55" s="1">
        <v>10308</v>
      </c>
      <c r="D55" s="1">
        <v>1122</v>
      </c>
      <c r="E55" s="2">
        <v>44931</v>
      </c>
      <c r="F55" s="2">
        <v>44940</v>
      </c>
      <c r="G55" s="1" t="s">
        <v>37</v>
      </c>
      <c r="H55" s="1" t="s">
        <v>23</v>
      </c>
      <c r="I55" s="1" t="s">
        <v>30</v>
      </c>
      <c r="J55" s="1" t="s">
        <v>25</v>
      </c>
      <c r="K55" s="1" t="s">
        <v>52</v>
      </c>
      <c r="L55" s="1" t="s">
        <v>53</v>
      </c>
      <c r="M55" s="1" t="s">
        <v>45</v>
      </c>
      <c r="N55" s="1">
        <v>4</v>
      </c>
      <c r="O55" s="1">
        <v>3143.2</v>
      </c>
      <c r="P55" s="1">
        <v>0</v>
      </c>
      <c r="Q55" s="1">
        <v>12572.8</v>
      </c>
    </row>
    <row r="56" spans="3:17" x14ac:dyDescent="0.3">
      <c r="C56" s="1">
        <v>10333</v>
      </c>
      <c r="D56" s="1">
        <v>1931</v>
      </c>
      <c r="E56" s="2">
        <v>45080</v>
      </c>
      <c r="F56" s="2">
        <v>45086</v>
      </c>
      <c r="G56" s="1" t="s">
        <v>37</v>
      </c>
      <c r="H56" s="1" t="s">
        <v>54</v>
      </c>
      <c r="I56" s="1" t="s">
        <v>17</v>
      </c>
      <c r="J56" s="1" t="s">
        <v>25</v>
      </c>
      <c r="K56" s="1" t="s">
        <v>52</v>
      </c>
      <c r="L56" s="1" t="s">
        <v>60</v>
      </c>
      <c r="M56" s="1" t="s">
        <v>21</v>
      </c>
      <c r="N56" s="1">
        <v>5</v>
      </c>
      <c r="O56" s="1">
        <v>3374.49</v>
      </c>
      <c r="P56" s="1">
        <v>5</v>
      </c>
      <c r="Q56" s="1">
        <v>16028.83</v>
      </c>
    </row>
    <row r="57" spans="3:17" x14ac:dyDescent="0.3">
      <c r="C57" s="1">
        <v>10256</v>
      </c>
      <c r="D57" s="1">
        <v>1818</v>
      </c>
      <c r="E57" s="2">
        <v>45176</v>
      </c>
      <c r="F57" s="2">
        <v>45184</v>
      </c>
      <c r="G57" s="1" t="s">
        <v>37</v>
      </c>
      <c r="H57" s="1" t="s">
        <v>41</v>
      </c>
      <c r="I57" s="1" t="s">
        <v>24</v>
      </c>
      <c r="J57" s="1" t="s">
        <v>25</v>
      </c>
      <c r="K57" s="1" t="s">
        <v>19</v>
      </c>
      <c r="L57" s="1" t="s">
        <v>20</v>
      </c>
      <c r="M57" s="1" t="s">
        <v>45</v>
      </c>
      <c r="N57" s="1">
        <v>6</v>
      </c>
      <c r="O57" s="1">
        <v>2632.72</v>
      </c>
      <c r="P57" s="1">
        <v>0</v>
      </c>
      <c r="Q57" s="1">
        <v>15796.32</v>
      </c>
    </row>
    <row r="58" spans="3:17" x14ac:dyDescent="0.3">
      <c r="C58" s="1">
        <v>10153</v>
      </c>
      <c r="D58" s="1">
        <v>1040</v>
      </c>
      <c r="E58" s="2">
        <v>45282</v>
      </c>
      <c r="F58" s="2">
        <v>45287</v>
      </c>
      <c r="G58" s="1" t="s">
        <v>37</v>
      </c>
      <c r="H58" s="1" t="s">
        <v>29</v>
      </c>
      <c r="I58" s="1" t="s">
        <v>30</v>
      </c>
      <c r="J58" s="1" t="s">
        <v>25</v>
      </c>
      <c r="K58" s="1" t="s">
        <v>19</v>
      </c>
      <c r="L58" s="1" t="s">
        <v>66</v>
      </c>
      <c r="M58" s="1" t="s">
        <v>28</v>
      </c>
      <c r="N58" s="1">
        <v>6</v>
      </c>
      <c r="O58" s="1">
        <v>351.71</v>
      </c>
      <c r="P58" s="1">
        <v>10</v>
      </c>
      <c r="Q58" s="1">
        <v>1899.23</v>
      </c>
    </row>
    <row r="59" spans="3:17" x14ac:dyDescent="0.3">
      <c r="C59" s="1">
        <v>10303</v>
      </c>
      <c r="D59" s="1">
        <v>1246</v>
      </c>
      <c r="E59" s="2">
        <v>45124</v>
      </c>
      <c r="F59" s="2">
        <v>45125</v>
      </c>
      <c r="G59" s="1" t="s">
        <v>37</v>
      </c>
      <c r="H59" s="1" t="s">
        <v>29</v>
      </c>
      <c r="I59" s="1" t="s">
        <v>17</v>
      </c>
      <c r="J59" s="1" t="s">
        <v>25</v>
      </c>
      <c r="K59" s="1" t="s">
        <v>57</v>
      </c>
      <c r="L59" s="1" t="s">
        <v>67</v>
      </c>
      <c r="M59" s="1" t="s">
        <v>21</v>
      </c>
      <c r="N59" s="1">
        <v>6</v>
      </c>
      <c r="O59" s="1">
        <v>257.2</v>
      </c>
      <c r="P59" s="1">
        <v>0</v>
      </c>
      <c r="Q59" s="1">
        <v>1543.2</v>
      </c>
    </row>
    <row r="60" spans="3:17" x14ac:dyDescent="0.3">
      <c r="C60" s="1">
        <v>10143</v>
      </c>
      <c r="D60" s="1">
        <v>1498</v>
      </c>
      <c r="E60" s="2">
        <v>44986</v>
      </c>
      <c r="F60" s="2">
        <v>44993</v>
      </c>
      <c r="G60" s="1" t="s">
        <v>37</v>
      </c>
      <c r="H60" s="1" t="s">
        <v>54</v>
      </c>
      <c r="I60" s="1" t="s">
        <v>30</v>
      </c>
      <c r="J60" s="1" t="s">
        <v>25</v>
      </c>
      <c r="K60" s="1" t="s">
        <v>57</v>
      </c>
      <c r="L60" s="1" t="s">
        <v>58</v>
      </c>
      <c r="M60" s="1" t="s">
        <v>21</v>
      </c>
      <c r="N60" s="1">
        <v>7</v>
      </c>
      <c r="O60" s="1">
        <v>3680.23</v>
      </c>
      <c r="P60" s="1">
        <v>5</v>
      </c>
      <c r="Q60" s="1">
        <v>24473.53</v>
      </c>
    </row>
    <row r="61" spans="3:17" x14ac:dyDescent="0.3">
      <c r="C61" s="1">
        <v>10289</v>
      </c>
      <c r="D61" s="1">
        <v>1854</v>
      </c>
      <c r="E61" s="2">
        <v>45012</v>
      </c>
      <c r="F61" s="2">
        <v>45014</v>
      </c>
      <c r="G61" s="1" t="s">
        <v>37</v>
      </c>
      <c r="H61" s="1" t="s">
        <v>54</v>
      </c>
      <c r="I61" s="1" t="s">
        <v>17</v>
      </c>
      <c r="J61" s="1" t="s">
        <v>25</v>
      </c>
      <c r="K61" s="1" t="s">
        <v>57</v>
      </c>
      <c r="L61" s="1" t="s">
        <v>58</v>
      </c>
      <c r="M61" s="1" t="s">
        <v>21</v>
      </c>
      <c r="N61" s="1">
        <v>7</v>
      </c>
      <c r="O61" s="1">
        <v>1396.71</v>
      </c>
      <c r="P61" s="1">
        <v>20</v>
      </c>
      <c r="Q61" s="1">
        <v>7821.58</v>
      </c>
    </row>
    <row r="62" spans="3:17" x14ac:dyDescent="0.3">
      <c r="C62" s="1">
        <v>10041</v>
      </c>
      <c r="D62" s="1">
        <v>1058</v>
      </c>
      <c r="E62" s="2">
        <v>45211</v>
      </c>
      <c r="F62" s="2">
        <v>45220</v>
      </c>
      <c r="G62" s="1" t="s">
        <v>37</v>
      </c>
      <c r="H62" s="1" t="s">
        <v>16</v>
      </c>
      <c r="I62" s="1" t="s">
        <v>17</v>
      </c>
      <c r="J62" s="1" t="s">
        <v>25</v>
      </c>
      <c r="K62" s="1" t="s">
        <v>52</v>
      </c>
      <c r="L62" s="1" t="s">
        <v>64</v>
      </c>
      <c r="M62" s="1" t="s">
        <v>21</v>
      </c>
      <c r="N62" s="1">
        <v>8</v>
      </c>
      <c r="O62" s="1">
        <v>3158.8</v>
      </c>
      <c r="P62" s="1">
        <v>0</v>
      </c>
      <c r="Q62" s="1">
        <v>25270.400000000001</v>
      </c>
    </row>
    <row r="63" spans="3:17" x14ac:dyDescent="0.3">
      <c r="C63" s="1">
        <v>10357</v>
      </c>
      <c r="D63" s="1">
        <v>1414</v>
      </c>
      <c r="E63" s="2">
        <v>45205</v>
      </c>
      <c r="F63" s="2">
        <v>45213</v>
      </c>
      <c r="G63" s="1" t="s">
        <v>37</v>
      </c>
      <c r="H63" s="1" t="s">
        <v>38</v>
      </c>
      <c r="I63" s="1" t="s">
        <v>17</v>
      </c>
      <c r="J63" s="1" t="s">
        <v>25</v>
      </c>
      <c r="K63" s="1" t="s">
        <v>57</v>
      </c>
      <c r="L63" s="1" t="s">
        <v>58</v>
      </c>
      <c r="M63" s="1" t="s">
        <v>28</v>
      </c>
      <c r="N63" s="1">
        <v>8</v>
      </c>
      <c r="O63" s="1">
        <v>1300.31</v>
      </c>
      <c r="P63" s="1">
        <v>0</v>
      </c>
      <c r="Q63" s="1">
        <v>10402.48</v>
      </c>
    </row>
    <row r="64" spans="3:17" x14ac:dyDescent="0.3">
      <c r="C64" s="1">
        <v>10083</v>
      </c>
      <c r="D64" s="1">
        <v>1942</v>
      </c>
      <c r="E64" s="2">
        <v>45228</v>
      </c>
      <c r="F64" s="2">
        <v>45232</v>
      </c>
      <c r="G64" s="1" t="s">
        <v>37</v>
      </c>
      <c r="H64" s="1" t="s">
        <v>23</v>
      </c>
      <c r="I64" s="1" t="s">
        <v>17</v>
      </c>
      <c r="J64" s="1" t="s">
        <v>25</v>
      </c>
      <c r="K64" s="1" t="s">
        <v>57</v>
      </c>
      <c r="L64" s="1" t="s">
        <v>62</v>
      </c>
      <c r="M64" s="1" t="s">
        <v>21</v>
      </c>
      <c r="N64" s="1">
        <v>8</v>
      </c>
      <c r="O64" s="1">
        <v>997.34</v>
      </c>
      <c r="P64" s="1">
        <v>5</v>
      </c>
      <c r="Q64" s="1">
        <v>7579.78</v>
      </c>
    </row>
    <row r="65" spans="3:17" x14ac:dyDescent="0.3">
      <c r="C65" s="1">
        <v>10221</v>
      </c>
      <c r="D65" s="1">
        <v>1573</v>
      </c>
      <c r="E65" s="2">
        <v>45252</v>
      </c>
      <c r="F65" s="2">
        <v>45259</v>
      </c>
      <c r="G65" s="1" t="s">
        <v>37</v>
      </c>
      <c r="H65" s="1" t="s">
        <v>23</v>
      </c>
      <c r="I65" s="1" t="s">
        <v>17</v>
      </c>
      <c r="J65" s="1" t="s">
        <v>25</v>
      </c>
      <c r="K65" s="1" t="s">
        <v>19</v>
      </c>
      <c r="L65" s="1" t="s">
        <v>20</v>
      </c>
      <c r="M65" s="1" t="s">
        <v>33</v>
      </c>
      <c r="N65" s="1">
        <v>8</v>
      </c>
      <c r="O65" s="1">
        <v>1099.0999999999999</v>
      </c>
      <c r="P65" s="1">
        <v>10</v>
      </c>
      <c r="Q65" s="1">
        <v>7913.52</v>
      </c>
    </row>
    <row r="66" spans="3:17" x14ac:dyDescent="0.3">
      <c r="C66" s="1">
        <v>10179</v>
      </c>
      <c r="D66" s="1">
        <v>1768</v>
      </c>
      <c r="E66" s="2">
        <v>44973</v>
      </c>
      <c r="F66" s="2">
        <v>44976</v>
      </c>
      <c r="G66" s="1" t="s">
        <v>37</v>
      </c>
      <c r="H66" s="1" t="s">
        <v>16</v>
      </c>
      <c r="I66" s="1" t="s">
        <v>30</v>
      </c>
      <c r="J66" s="1" t="s">
        <v>25</v>
      </c>
      <c r="K66" s="1" t="s">
        <v>31</v>
      </c>
      <c r="L66" s="1" t="s">
        <v>32</v>
      </c>
      <c r="M66" s="1" t="s">
        <v>21</v>
      </c>
      <c r="N66" s="1">
        <v>9</v>
      </c>
      <c r="O66" s="1">
        <v>388.26</v>
      </c>
      <c r="P66" s="1">
        <v>10</v>
      </c>
      <c r="Q66" s="1">
        <v>3144.91</v>
      </c>
    </row>
    <row r="67" spans="3:17" x14ac:dyDescent="0.3">
      <c r="C67" s="1">
        <v>10057</v>
      </c>
      <c r="D67" s="1">
        <v>1504</v>
      </c>
      <c r="E67" s="2">
        <v>45117</v>
      </c>
      <c r="F67" s="2">
        <v>45122</v>
      </c>
      <c r="G67" s="1" t="s">
        <v>37</v>
      </c>
      <c r="H67" s="1" t="s">
        <v>29</v>
      </c>
      <c r="I67" s="1" t="s">
        <v>17</v>
      </c>
      <c r="J67" s="1" t="s">
        <v>25</v>
      </c>
      <c r="K67" s="1" t="s">
        <v>57</v>
      </c>
      <c r="L67" s="1" t="s">
        <v>58</v>
      </c>
      <c r="M67" s="1" t="s">
        <v>33</v>
      </c>
      <c r="N67" s="1">
        <v>9</v>
      </c>
      <c r="O67" s="1">
        <v>1012.33</v>
      </c>
      <c r="P67" s="1">
        <v>20</v>
      </c>
      <c r="Q67" s="1">
        <v>7288.78</v>
      </c>
    </row>
    <row r="68" spans="3:17" x14ac:dyDescent="0.3">
      <c r="C68" s="1">
        <v>10411</v>
      </c>
      <c r="D68" s="1">
        <v>1162</v>
      </c>
      <c r="E68" s="2">
        <v>44985</v>
      </c>
      <c r="F68" s="2">
        <v>44993</v>
      </c>
      <c r="G68" s="1" t="s">
        <v>46</v>
      </c>
      <c r="H68" s="1" t="s">
        <v>16</v>
      </c>
      <c r="I68" s="1" t="s">
        <v>30</v>
      </c>
      <c r="J68" s="1" t="s">
        <v>25</v>
      </c>
      <c r="K68" s="1" t="s">
        <v>19</v>
      </c>
      <c r="L68" s="1" t="s">
        <v>43</v>
      </c>
      <c r="M68" s="1" t="s">
        <v>33</v>
      </c>
      <c r="N68" s="1">
        <v>3</v>
      </c>
      <c r="O68" s="1">
        <v>2165.7199999999998</v>
      </c>
      <c r="P68" s="1">
        <v>5</v>
      </c>
      <c r="Q68" s="1">
        <v>6172.3</v>
      </c>
    </row>
    <row r="69" spans="3:17" x14ac:dyDescent="0.3">
      <c r="C69" s="1">
        <v>10106</v>
      </c>
      <c r="D69" s="1">
        <v>1269</v>
      </c>
      <c r="E69" s="2">
        <v>45112</v>
      </c>
      <c r="F69" s="2">
        <v>45113</v>
      </c>
      <c r="G69" s="1" t="s">
        <v>46</v>
      </c>
      <c r="H69" s="1" t="s">
        <v>23</v>
      </c>
      <c r="I69" s="1" t="s">
        <v>30</v>
      </c>
      <c r="J69" s="1" t="s">
        <v>25</v>
      </c>
      <c r="K69" s="1" t="s">
        <v>49</v>
      </c>
      <c r="L69" s="1" t="s">
        <v>63</v>
      </c>
      <c r="M69" s="1" t="s">
        <v>47</v>
      </c>
      <c r="N69" s="1">
        <v>3</v>
      </c>
      <c r="O69" s="1">
        <v>3781.22</v>
      </c>
      <c r="P69" s="1">
        <v>5</v>
      </c>
      <c r="Q69" s="1">
        <v>10776.48</v>
      </c>
    </row>
    <row r="70" spans="3:17" x14ac:dyDescent="0.3">
      <c r="C70" s="1">
        <v>10193</v>
      </c>
      <c r="D70" s="1">
        <v>1460</v>
      </c>
      <c r="E70" s="2">
        <v>45276</v>
      </c>
      <c r="F70" s="2">
        <v>45284</v>
      </c>
      <c r="G70" s="1" t="s">
        <v>46</v>
      </c>
      <c r="H70" s="1" t="s">
        <v>38</v>
      </c>
      <c r="I70" s="1" t="s">
        <v>30</v>
      </c>
      <c r="J70" s="1" t="s">
        <v>25</v>
      </c>
      <c r="K70" s="1" t="s">
        <v>49</v>
      </c>
      <c r="L70" s="1" t="s">
        <v>51</v>
      </c>
      <c r="M70" s="1" t="s">
        <v>33</v>
      </c>
      <c r="N70" s="1">
        <v>4</v>
      </c>
      <c r="O70" s="1">
        <v>496.18</v>
      </c>
      <c r="P70" s="1">
        <v>15</v>
      </c>
      <c r="Q70" s="1">
        <v>1687.01</v>
      </c>
    </row>
    <row r="71" spans="3:17" x14ac:dyDescent="0.3">
      <c r="C71" s="1">
        <v>10405</v>
      </c>
      <c r="D71" s="1">
        <v>1913</v>
      </c>
      <c r="E71" s="2">
        <v>45084</v>
      </c>
      <c r="F71" s="2">
        <v>45091</v>
      </c>
      <c r="G71" s="1" t="s">
        <v>46</v>
      </c>
      <c r="H71" s="1" t="s">
        <v>23</v>
      </c>
      <c r="I71" s="1" t="s">
        <v>24</v>
      </c>
      <c r="J71" s="1" t="s">
        <v>25</v>
      </c>
      <c r="K71" s="1" t="s">
        <v>19</v>
      </c>
      <c r="L71" s="1" t="s">
        <v>66</v>
      </c>
      <c r="M71" s="1" t="s">
        <v>45</v>
      </c>
      <c r="N71" s="1">
        <v>4</v>
      </c>
      <c r="O71" s="1">
        <v>1333.99</v>
      </c>
      <c r="P71" s="1">
        <v>5</v>
      </c>
      <c r="Q71" s="1">
        <v>5069.16</v>
      </c>
    </row>
    <row r="72" spans="3:17" x14ac:dyDescent="0.3">
      <c r="C72" s="1">
        <v>10223</v>
      </c>
      <c r="D72" s="1">
        <v>1645</v>
      </c>
      <c r="E72" s="2">
        <v>45108</v>
      </c>
      <c r="F72" s="2">
        <v>45117</v>
      </c>
      <c r="G72" s="1" t="s">
        <v>46</v>
      </c>
      <c r="H72" s="1" t="s">
        <v>54</v>
      </c>
      <c r="I72" s="1" t="s">
        <v>17</v>
      </c>
      <c r="J72" s="1" t="s">
        <v>25</v>
      </c>
      <c r="K72" s="1" t="s">
        <v>57</v>
      </c>
      <c r="L72" s="1" t="s">
        <v>59</v>
      </c>
      <c r="M72" s="1" t="s">
        <v>47</v>
      </c>
      <c r="N72" s="1">
        <v>6</v>
      </c>
      <c r="O72" s="1">
        <v>1477.55</v>
      </c>
      <c r="P72" s="1">
        <v>10</v>
      </c>
      <c r="Q72" s="1">
        <v>7978.77</v>
      </c>
    </row>
    <row r="73" spans="3:17" x14ac:dyDescent="0.3">
      <c r="C73" s="1">
        <v>10136</v>
      </c>
      <c r="D73" s="1">
        <v>1520</v>
      </c>
      <c r="E73" s="2">
        <v>45180</v>
      </c>
      <c r="F73" s="2">
        <v>45181</v>
      </c>
      <c r="G73" s="1" t="s">
        <v>46</v>
      </c>
      <c r="H73" s="1" t="s">
        <v>23</v>
      </c>
      <c r="I73" s="1" t="s">
        <v>17</v>
      </c>
      <c r="J73" s="1" t="s">
        <v>25</v>
      </c>
      <c r="K73" s="1" t="s">
        <v>31</v>
      </c>
      <c r="L73" s="1" t="s">
        <v>39</v>
      </c>
      <c r="M73" s="1" t="s">
        <v>33</v>
      </c>
      <c r="N73" s="1">
        <v>6</v>
      </c>
      <c r="O73" s="1">
        <v>1809.29</v>
      </c>
      <c r="P73" s="1">
        <v>0</v>
      </c>
      <c r="Q73" s="1">
        <v>10855.74</v>
      </c>
    </row>
    <row r="74" spans="3:17" x14ac:dyDescent="0.3">
      <c r="C74" s="1">
        <v>10430</v>
      </c>
      <c r="D74" s="1">
        <v>1032</v>
      </c>
      <c r="E74" s="2">
        <v>45290</v>
      </c>
      <c r="F74" s="2">
        <v>45298</v>
      </c>
      <c r="G74" s="1" t="s">
        <v>46</v>
      </c>
      <c r="H74" s="1" t="s">
        <v>16</v>
      </c>
      <c r="I74" s="1" t="s">
        <v>24</v>
      </c>
      <c r="J74" s="1" t="s">
        <v>25</v>
      </c>
      <c r="K74" s="1" t="s">
        <v>26</v>
      </c>
      <c r="L74" s="1" t="s">
        <v>69</v>
      </c>
      <c r="M74" s="1" t="s">
        <v>33</v>
      </c>
      <c r="N74" s="1">
        <v>8</v>
      </c>
      <c r="O74" s="1">
        <v>3911.57</v>
      </c>
      <c r="P74" s="1">
        <v>10</v>
      </c>
      <c r="Q74" s="1">
        <v>28163.3</v>
      </c>
    </row>
    <row r="75" spans="3:17" x14ac:dyDescent="0.3">
      <c r="C75" s="1">
        <v>10337</v>
      </c>
      <c r="D75" s="1">
        <v>1510</v>
      </c>
      <c r="E75" s="2">
        <v>45158</v>
      </c>
      <c r="F75" s="2">
        <v>45162</v>
      </c>
      <c r="G75" s="1" t="s">
        <v>46</v>
      </c>
      <c r="H75" s="1" t="s">
        <v>38</v>
      </c>
      <c r="I75" s="1" t="s">
        <v>17</v>
      </c>
      <c r="J75" s="1" t="s">
        <v>25</v>
      </c>
      <c r="K75" s="1" t="s">
        <v>57</v>
      </c>
      <c r="L75" s="1" t="s">
        <v>62</v>
      </c>
      <c r="M75" s="1" t="s">
        <v>33</v>
      </c>
      <c r="N75" s="1">
        <v>8</v>
      </c>
      <c r="O75" s="1">
        <v>3061.89</v>
      </c>
      <c r="P75" s="1">
        <v>5</v>
      </c>
      <c r="Q75" s="1">
        <v>23270.36</v>
      </c>
    </row>
    <row r="76" spans="3:17" x14ac:dyDescent="0.3">
      <c r="C76" s="1">
        <v>10434</v>
      </c>
      <c r="D76" s="1">
        <v>1882</v>
      </c>
      <c r="E76" s="2">
        <v>45057</v>
      </c>
      <c r="F76" s="2">
        <v>45062</v>
      </c>
      <c r="G76" s="1" t="s">
        <v>46</v>
      </c>
      <c r="H76" s="1" t="s">
        <v>54</v>
      </c>
      <c r="I76" s="1" t="s">
        <v>24</v>
      </c>
      <c r="J76" s="1" t="s">
        <v>25</v>
      </c>
      <c r="K76" s="1" t="s">
        <v>19</v>
      </c>
      <c r="L76" s="1" t="s">
        <v>20</v>
      </c>
      <c r="M76" s="1" t="s">
        <v>45</v>
      </c>
      <c r="N76" s="1">
        <v>8</v>
      </c>
      <c r="O76" s="1">
        <v>437.36</v>
      </c>
      <c r="P76" s="1">
        <v>20</v>
      </c>
      <c r="Q76" s="1">
        <v>2799.1</v>
      </c>
    </row>
    <row r="77" spans="3:17" x14ac:dyDescent="0.3">
      <c r="C77" s="1">
        <v>10177</v>
      </c>
      <c r="D77" s="1">
        <v>1461</v>
      </c>
      <c r="E77" s="2">
        <v>44973</v>
      </c>
      <c r="F77" s="2">
        <v>44982</v>
      </c>
      <c r="G77" s="1" t="s">
        <v>22</v>
      </c>
      <c r="H77" s="1" t="s">
        <v>41</v>
      </c>
      <c r="I77" s="1" t="s">
        <v>24</v>
      </c>
      <c r="J77" s="1" t="s">
        <v>25</v>
      </c>
      <c r="K77" s="1" t="s">
        <v>31</v>
      </c>
      <c r="L77" s="1" t="s">
        <v>32</v>
      </c>
      <c r="M77" s="1" t="s">
        <v>28</v>
      </c>
      <c r="N77" s="1">
        <v>1</v>
      </c>
      <c r="O77" s="1">
        <v>2329.9299999999998</v>
      </c>
      <c r="P77" s="1">
        <v>0</v>
      </c>
      <c r="Q77" s="1">
        <v>2329.9299999999998</v>
      </c>
    </row>
    <row r="78" spans="3:17" x14ac:dyDescent="0.3">
      <c r="C78" s="1">
        <v>10460</v>
      </c>
      <c r="D78" s="1">
        <v>1515</v>
      </c>
      <c r="E78" s="2">
        <v>45215</v>
      </c>
      <c r="F78" s="2">
        <v>45221</v>
      </c>
      <c r="G78" s="1" t="s">
        <v>22</v>
      </c>
      <c r="H78" s="1" t="s">
        <v>29</v>
      </c>
      <c r="I78" s="1" t="s">
        <v>24</v>
      </c>
      <c r="J78" s="1" t="s">
        <v>25</v>
      </c>
      <c r="K78" s="1" t="s">
        <v>49</v>
      </c>
      <c r="L78" s="1" t="s">
        <v>50</v>
      </c>
      <c r="M78" s="1" t="s">
        <v>21</v>
      </c>
      <c r="N78" s="1">
        <v>1</v>
      </c>
      <c r="O78" s="1">
        <v>445.38</v>
      </c>
      <c r="P78" s="1">
        <v>10</v>
      </c>
      <c r="Q78" s="1">
        <v>400.84</v>
      </c>
    </row>
    <row r="79" spans="3:17" x14ac:dyDescent="0.3">
      <c r="C79" s="1">
        <v>10328</v>
      </c>
      <c r="D79" s="1">
        <v>1348</v>
      </c>
      <c r="E79" s="2">
        <v>45245</v>
      </c>
      <c r="F79" s="2">
        <v>45250</v>
      </c>
      <c r="G79" s="1" t="s">
        <v>22</v>
      </c>
      <c r="H79" s="1" t="s">
        <v>54</v>
      </c>
      <c r="I79" s="1" t="s">
        <v>24</v>
      </c>
      <c r="J79" s="1" t="s">
        <v>25</v>
      </c>
      <c r="K79" s="1" t="s">
        <v>52</v>
      </c>
      <c r="L79" s="1" t="s">
        <v>53</v>
      </c>
      <c r="M79" s="1" t="s">
        <v>45</v>
      </c>
      <c r="N79" s="1">
        <v>2</v>
      </c>
      <c r="O79" s="1">
        <v>2948.33</v>
      </c>
      <c r="P79" s="1">
        <v>15</v>
      </c>
      <c r="Q79" s="1">
        <v>5012.16</v>
      </c>
    </row>
    <row r="80" spans="3:17" x14ac:dyDescent="0.3">
      <c r="C80" s="1">
        <v>10392</v>
      </c>
      <c r="D80" s="1">
        <v>1967</v>
      </c>
      <c r="E80" s="2">
        <v>45027</v>
      </c>
      <c r="F80" s="2">
        <v>45036</v>
      </c>
      <c r="G80" s="1" t="s">
        <v>22</v>
      </c>
      <c r="H80" s="1" t="s">
        <v>38</v>
      </c>
      <c r="I80" s="1" t="s">
        <v>24</v>
      </c>
      <c r="J80" s="1" t="s">
        <v>25</v>
      </c>
      <c r="K80" s="1" t="s">
        <v>52</v>
      </c>
      <c r="L80" s="1" t="s">
        <v>60</v>
      </c>
      <c r="M80" s="1" t="s">
        <v>33</v>
      </c>
      <c r="N80" s="1">
        <v>3</v>
      </c>
      <c r="O80" s="1">
        <v>1553.98</v>
      </c>
      <c r="P80" s="1">
        <v>15</v>
      </c>
      <c r="Q80" s="1">
        <v>3962.65</v>
      </c>
    </row>
    <row r="81" spans="3:17" x14ac:dyDescent="0.3">
      <c r="C81" s="1">
        <v>10077</v>
      </c>
      <c r="D81" s="1">
        <v>1366</v>
      </c>
      <c r="E81" s="2">
        <v>45030</v>
      </c>
      <c r="F81" s="2">
        <v>45034</v>
      </c>
      <c r="G81" s="1" t="s">
        <v>22</v>
      </c>
      <c r="H81" s="1" t="s">
        <v>54</v>
      </c>
      <c r="I81" s="1" t="s">
        <v>30</v>
      </c>
      <c r="J81" s="1" t="s">
        <v>25</v>
      </c>
      <c r="K81" s="1" t="s">
        <v>31</v>
      </c>
      <c r="L81" s="1" t="s">
        <v>32</v>
      </c>
      <c r="M81" s="1" t="s">
        <v>45</v>
      </c>
      <c r="N81" s="1">
        <v>3</v>
      </c>
      <c r="O81" s="1">
        <v>985.28</v>
      </c>
      <c r="P81" s="1">
        <v>10</v>
      </c>
      <c r="Q81" s="1">
        <v>2660.26</v>
      </c>
    </row>
    <row r="82" spans="3:17" x14ac:dyDescent="0.3">
      <c r="C82" s="1">
        <v>10094</v>
      </c>
      <c r="D82" s="1">
        <v>1105</v>
      </c>
      <c r="E82" s="2">
        <v>44938</v>
      </c>
      <c r="F82" s="2">
        <v>44946</v>
      </c>
      <c r="G82" s="1" t="s">
        <v>22</v>
      </c>
      <c r="H82" s="1" t="s">
        <v>16</v>
      </c>
      <c r="I82" s="1" t="s">
        <v>30</v>
      </c>
      <c r="J82" s="1" t="s">
        <v>25</v>
      </c>
      <c r="K82" s="1" t="s">
        <v>52</v>
      </c>
      <c r="L82" s="1" t="s">
        <v>60</v>
      </c>
      <c r="M82" s="1" t="s">
        <v>21</v>
      </c>
      <c r="N82" s="1">
        <v>4</v>
      </c>
      <c r="O82" s="1">
        <v>1611.52</v>
      </c>
      <c r="P82" s="1">
        <v>10</v>
      </c>
      <c r="Q82" s="1">
        <v>5801.47</v>
      </c>
    </row>
    <row r="83" spans="3:17" x14ac:dyDescent="0.3">
      <c r="C83" s="1">
        <v>10147</v>
      </c>
      <c r="D83" s="1">
        <v>1418</v>
      </c>
      <c r="E83" s="2">
        <v>45078</v>
      </c>
      <c r="F83" s="2">
        <v>45081</v>
      </c>
      <c r="G83" s="1" t="s">
        <v>22</v>
      </c>
      <c r="H83" s="1" t="s">
        <v>54</v>
      </c>
      <c r="I83" s="1" t="s">
        <v>24</v>
      </c>
      <c r="J83" s="1" t="s">
        <v>25</v>
      </c>
      <c r="K83" s="1" t="s">
        <v>31</v>
      </c>
      <c r="L83" s="1" t="s">
        <v>48</v>
      </c>
      <c r="M83" s="1" t="s">
        <v>21</v>
      </c>
      <c r="N83" s="1">
        <v>6</v>
      </c>
      <c r="O83" s="1">
        <v>1852.67</v>
      </c>
      <c r="P83" s="1">
        <v>5</v>
      </c>
      <c r="Q83" s="1">
        <v>10560.22</v>
      </c>
    </row>
    <row r="84" spans="3:17" x14ac:dyDescent="0.3">
      <c r="C84" s="1">
        <v>10236</v>
      </c>
      <c r="D84" s="1">
        <v>1230</v>
      </c>
      <c r="E84" s="2">
        <v>45268</v>
      </c>
      <c r="F84" s="2">
        <v>45269</v>
      </c>
      <c r="G84" s="1" t="s">
        <v>22</v>
      </c>
      <c r="H84" s="1" t="s">
        <v>16</v>
      </c>
      <c r="I84" s="1" t="s">
        <v>30</v>
      </c>
      <c r="J84" s="1" t="s">
        <v>25</v>
      </c>
      <c r="K84" s="1" t="s">
        <v>52</v>
      </c>
      <c r="L84" s="1" t="s">
        <v>60</v>
      </c>
      <c r="M84" s="1" t="s">
        <v>33</v>
      </c>
      <c r="N84" s="1">
        <v>7</v>
      </c>
      <c r="O84" s="1">
        <v>2210.34</v>
      </c>
      <c r="P84" s="1">
        <v>5</v>
      </c>
      <c r="Q84" s="1">
        <v>14698.76</v>
      </c>
    </row>
    <row r="85" spans="3:17" x14ac:dyDescent="0.3">
      <c r="C85" s="1">
        <v>10377</v>
      </c>
      <c r="D85" s="1">
        <v>1232</v>
      </c>
      <c r="E85" s="2">
        <v>45194</v>
      </c>
      <c r="F85" s="2">
        <v>45202</v>
      </c>
      <c r="G85" s="1" t="s">
        <v>22</v>
      </c>
      <c r="H85" s="1" t="s">
        <v>23</v>
      </c>
      <c r="I85" s="1" t="s">
        <v>24</v>
      </c>
      <c r="J85" s="1" t="s">
        <v>25</v>
      </c>
      <c r="K85" s="1" t="s">
        <v>52</v>
      </c>
      <c r="L85" s="1" t="s">
        <v>56</v>
      </c>
      <c r="M85" s="1" t="s">
        <v>47</v>
      </c>
      <c r="N85" s="1">
        <v>8</v>
      </c>
      <c r="O85" s="1">
        <v>462</v>
      </c>
      <c r="P85" s="1">
        <v>5</v>
      </c>
      <c r="Q85" s="1">
        <v>3511.2</v>
      </c>
    </row>
    <row r="86" spans="3:17" x14ac:dyDescent="0.3">
      <c r="C86" s="1">
        <v>10206</v>
      </c>
      <c r="D86" s="1">
        <v>1748</v>
      </c>
      <c r="E86" s="2">
        <v>44975</v>
      </c>
      <c r="F86" s="2">
        <v>44984</v>
      </c>
      <c r="G86" s="1" t="s">
        <v>22</v>
      </c>
      <c r="H86" s="1" t="s">
        <v>29</v>
      </c>
      <c r="I86" s="1" t="s">
        <v>24</v>
      </c>
      <c r="J86" s="1" t="s">
        <v>25</v>
      </c>
      <c r="K86" s="1" t="s">
        <v>57</v>
      </c>
      <c r="L86" s="1" t="s">
        <v>59</v>
      </c>
      <c r="M86" s="1" t="s">
        <v>45</v>
      </c>
      <c r="N86" s="1">
        <v>8</v>
      </c>
      <c r="O86" s="1">
        <v>2278.14</v>
      </c>
      <c r="P86" s="1">
        <v>5</v>
      </c>
      <c r="Q86" s="1">
        <v>17313.86</v>
      </c>
    </row>
    <row r="87" spans="3:17" x14ac:dyDescent="0.3">
      <c r="C87" s="1">
        <v>10002</v>
      </c>
      <c r="D87" s="1">
        <v>1435</v>
      </c>
      <c r="E87" s="2">
        <v>45199</v>
      </c>
      <c r="F87" s="2">
        <v>45203</v>
      </c>
      <c r="G87" s="1" t="s">
        <v>22</v>
      </c>
      <c r="H87" s="1" t="s">
        <v>23</v>
      </c>
      <c r="I87" s="1" t="s">
        <v>24</v>
      </c>
      <c r="J87" s="1" t="s">
        <v>25</v>
      </c>
      <c r="K87" s="1" t="s">
        <v>26</v>
      </c>
      <c r="L87" s="1" t="s">
        <v>27</v>
      </c>
      <c r="M87" s="1" t="s">
        <v>28</v>
      </c>
      <c r="N87" s="1">
        <v>9</v>
      </c>
      <c r="O87" s="1">
        <v>2525.23</v>
      </c>
      <c r="P87" s="1">
        <v>5</v>
      </c>
      <c r="Q87" s="1">
        <v>21590.720000000001</v>
      </c>
    </row>
    <row r="88" spans="3:17" x14ac:dyDescent="0.3">
      <c r="C88" s="1">
        <v>10407</v>
      </c>
      <c r="D88" s="1">
        <v>1877</v>
      </c>
      <c r="E88" s="2">
        <v>45088</v>
      </c>
      <c r="F88" s="2">
        <v>45090</v>
      </c>
      <c r="G88" s="1" t="s">
        <v>22</v>
      </c>
      <c r="H88" s="1" t="s">
        <v>23</v>
      </c>
      <c r="I88" s="1" t="s">
        <v>24</v>
      </c>
      <c r="J88" s="1" t="s">
        <v>25</v>
      </c>
      <c r="K88" s="1" t="s">
        <v>52</v>
      </c>
      <c r="L88" s="1" t="s">
        <v>53</v>
      </c>
      <c r="M88" s="1" t="s">
        <v>33</v>
      </c>
      <c r="N88" s="1">
        <v>9</v>
      </c>
      <c r="O88" s="1">
        <v>3216.56</v>
      </c>
      <c r="P88" s="1">
        <v>20</v>
      </c>
      <c r="Q88" s="1">
        <v>23159.23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2A56-459E-4DB5-9A6F-03B7F35BD3C0}">
  <dimension ref="A1:T501"/>
  <sheetViews>
    <sheetView topLeftCell="C37" workbookViewId="0">
      <selection activeCell="Q16" sqref="Q16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7" max="17" width="12.5546875" bestFit="1" customWidth="1"/>
    <col min="20" max="20" width="12.5546875" bestFit="1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Q1" s="3" t="s">
        <v>6</v>
      </c>
      <c r="T1" s="3" t="s">
        <v>6</v>
      </c>
    </row>
    <row r="2" spans="1:20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Q2" t="s">
        <v>30</v>
      </c>
      <c r="T2" s="1" t="s">
        <v>17</v>
      </c>
    </row>
    <row r="3" spans="1:20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T3" s="1" t="s">
        <v>24</v>
      </c>
    </row>
    <row r="4" spans="1:20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T4" s="1" t="s">
        <v>30</v>
      </c>
    </row>
    <row r="5" spans="1:20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</row>
    <row r="6" spans="1:20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</row>
    <row r="7" spans="1:20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</row>
    <row r="8" spans="1:20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</row>
    <row r="9" spans="1:20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</row>
    <row r="10" spans="1:20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</row>
    <row r="11" spans="1:20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</row>
    <row r="12" spans="1:20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</row>
    <row r="13" spans="1:20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</row>
    <row r="14" spans="1:20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</row>
    <row r="15" spans="1:20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</row>
    <row r="16" spans="1:20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</row>
    <row r="17" spans="1:15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</row>
    <row r="18" spans="1:15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</row>
    <row r="19" spans="1:15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</row>
    <row r="20" spans="1:15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</row>
    <row r="21" spans="1:15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</row>
    <row r="22" spans="1:15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</row>
    <row r="23" spans="1:15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</row>
    <row r="24" spans="1:15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</row>
    <row r="25" spans="1:15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</row>
    <row r="26" spans="1:15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</row>
    <row r="27" spans="1:15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</row>
    <row r="28" spans="1:15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</row>
    <row r="29" spans="1:15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</row>
    <row r="30" spans="1:15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</row>
    <row r="31" spans="1:15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</row>
    <row r="32" spans="1:15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</row>
    <row r="33" spans="1:15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</row>
    <row r="34" spans="1:15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</row>
    <row r="35" spans="1:15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</row>
    <row r="36" spans="1:15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</row>
    <row r="37" spans="1:15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</row>
    <row r="38" spans="1:15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</row>
    <row r="39" spans="1:15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</row>
    <row r="40" spans="1:15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</row>
    <row r="41" spans="1:15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</row>
    <row r="42" spans="1:15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</row>
    <row r="43" spans="1:15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</row>
    <row r="44" spans="1:15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</row>
    <row r="45" spans="1:15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</row>
    <row r="46" spans="1:15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</row>
    <row r="47" spans="1:15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</row>
    <row r="48" spans="1:15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</row>
    <row r="49" spans="1:15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</row>
    <row r="50" spans="1:15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</row>
    <row r="51" spans="1:15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</row>
    <row r="52" spans="1:15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</row>
    <row r="53" spans="1:15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</row>
    <row r="54" spans="1:15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</row>
    <row r="55" spans="1:15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</row>
    <row r="56" spans="1:15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</row>
    <row r="57" spans="1:15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</row>
    <row r="58" spans="1:15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</row>
    <row r="59" spans="1:15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</row>
    <row r="60" spans="1:15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</row>
    <row r="61" spans="1:15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</row>
    <row r="62" spans="1:15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</row>
    <row r="63" spans="1:15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</row>
    <row r="64" spans="1:15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</row>
    <row r="65" spans="1:15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</row>
    <row r="66" spans="1:15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</row>
    <row r="67" spans="1:15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</row>
    <row r="68" spans="1:15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</row>
    <row r="69" spans="1:15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</row>
    <row r="70" spans="1:15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</row>
    <row r="71" spans="1:15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</row>
    <row r="72" spans="1:15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</row>
    <row r="73" spans="1:15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</row>
    <row r="74" spans="1:15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</row>
    <row r="75" spans="1:15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</row>
    <row r="76" spans="1:15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</row>
    <row r="77" spans="1:15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</row>
    <row r="78" spans="1:15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</row>
    <row r="79" spans="1:15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</row>
    <row r="80" spans="1:15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</row>
    <row r="81" spans="1:15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</row>
    <row r="82" spans="1:15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</row>
    <row r="83" spans="1:15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</row>
    <row r="84" spans="1:15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</row>
    <row r="85" spans="1:15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</row>
    <row r="86" spans="1:15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</row>
    <row r="87" spans="1:15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</row>
    <row r="88" spans="1:15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</row>
    <row r="89" spans="1:15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</row>
    <row r="90" spans="1:15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</row>
    <row r="91" spans="1:15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</row>
    <row r="92" spans="1:15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</row>
    <row r="93" spans="1:15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</row>
    <row r="94" spans="1:15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</row>
    <row r="95" spans="1:15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</row>
    <row r="96" spans="1:15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</row>
    <row r="97" spans="1:15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</row>
    <row r="98" spans="1:15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</row>
    <row r="99" spans="1:15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</row>
    <row r="100" spans="1:15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</row>
    <row r="101" spans="1:15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</row>
    <row r="102" spans="1:15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</row>
    <row r="103" spans="1:15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</row>
    <row r="104" spans="1:15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</row>
    <row r="105" spans="1:15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</row>
    <row r="106" spans="1:15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</row>
    <row r="107" spans="1:15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</row>
    <row r="108" spans="1:15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</row>
    <row r="109" spans="1:15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</row>
    <row r="110" spans="1:15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</row>
    <row r="111" spans="1:15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</row>
    <row r="112" spans="1:15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</row>
    <row r="113" spans="1:15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</row>
    <row r="114" spans="1:15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</row>
    <row r="115" spans="1:15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</row>
    <row r="116" spans="1:15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</row>
    <row r="117" spans="1:15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</row>
    <row r="118" spans="1:15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</row>
    <row r="119" spans="1:15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</row>
    <row r="120" spans="1:15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</row>
    <row r="121" spans="1:15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</row>
    <row r="122" spans="1:15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</row>
    <row r="123" spans="1:15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</row>
    <row r="124" spans="1:15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</row>
    <row r="125" spans="1:15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</row>
    <row r="126" spans="1:15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</row>
    <row r="127" spans="1:15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</row>
    <row r="128" spans="1:15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</row>
    <row r="129" spans="1:15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</row>
    <row r="130" spans="1:15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</row>
    <row r="131" spans="1:15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</row>
    <row r="132" spans="1:15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</row>
    <row r="133" spans="1:15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</row>
    <row r="134" spans="1:15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</row>
    <row r="135" spans="1:15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</row>
    <row r="136" spans="1:15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</row>
    <row r="137" spans="1:15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</row>
    <row r="138" spans="1:15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</row>
    <row r="139" spans="1:15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</row>
    <row r="140" spans="1:15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</row>
    <row r="141" spans="1:15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</row>
    <row r="142" spans="1:15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</row>
    <row r="143" spans="1:15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</row>
    <row r="144" spans="1:15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</row>
    <row r="145" spans="1:15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</row>
    <row r="146" spans="1:15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</row>
    <row r="147" spans="1:15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</row>
    <row r="148" spans="1:15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</row>
    <row r="149" spans="1:15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</row>
    <row r="150" spans="1:15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</row>
    <row r="151" spans="1:15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</row>
    <row r="152" spans="1:15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</row>
    <row r="153" spans="1:15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</row>
    <row r="154" spans="1:15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</row>
    <row r="155" spans="1:15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</row>
    <row r="156" spans="1:15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</row>
    <row r="157" spans="1:15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</row>
    <row r="158" spans="1:15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</row>
    <row r="159" spans="1:15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</row>
    <row r="160" spans="1:15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</row>
    <row r="161" spans="1:15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</row>
    <row r="162" spans="1:15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</row>
    <row r="163" spans="1:15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</row>
    <row r="164" spans="1:15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</row>
    <row r="165" spans="1:15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</row>
    <row r="166" spans="1:15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</row>
    <row r="167" spans="1:15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</row>
    <row r="168" spans="1:15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</row>
    <row r="169" spans="1:15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</row>
    <row r="170" spans="1:15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</row>
    <row r="171" spans="1:15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</row>
    <row r="172" spans="1:15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</row>
    <row r="173" spans="1:15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</row>
    <row r="174" spans="1:15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</row>
    <row r="175" spans="1:15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</row>
    <row r="176" spans="1:15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</row>
    <row r="177" spans="1:15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</row>
    <row r="178" spans="1:15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</row>
    <row r="179" spans="1:15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</row>
    <row r="180" spans="1:15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</row>
    <row r="181" spans="1:15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</row>
    <row r="182" spans="1:15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</row>
    <row r="183" spans="1:15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</row>
    <row r="184" spans="1:15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</row>
    <row r="185" spans="1:15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</row>
    <row r="186" spans="1:15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</row>
    <row r="187" spans="1:15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</row>
    <row r="188" spans="1:15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</row>
    <row r="189" spans="1:15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</row>
    <row r="190" spans="1:15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</row>
    <row r="191" spans="1:15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</row>
    <row r="192" spans="1:15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</row>
    <row r="193" spans="1:15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</row>
    <row r="194" spans="1:15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</row>
    <row r="195" spans="1:15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</row>
    <row r="196" spans="1:15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</row>
    <row r="197" spans="1:15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</row>
    <row r="198" spans="1:15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</row>
    <row r="199" spans="1:15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</row>
    <row r="200" spans="1:15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</row>
    <row r="201" spans="1:15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</row>
    <row r="202" spans="1:15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</row>
    <row r="203" spans="1:15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</row>
    <row r="204" spans="1:15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</row>
    <row r="205" spans="1:15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</row>
    <row r="206" spans="1:15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</row>
    <row r="207" spans="1:15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</row>
    <row r="208" spans="1:15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</row>
    <row r="209" spans="1:15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</row>
    <row r="210" spans="1:15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</row>
    <row r="211" spans="1:15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</row>
    <row r="212" spans="1:15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</row>
    <row r="213" spans="1:15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</row>
    <row r="214" spans="1:15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</row>
    <row r="215" spans="1:15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</row>
    <row r="216" spans="1:15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</row>
    <row r="217" spans="1:15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</row>
    <row r="218" spans="1:15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</row>
    <row r="219" spans="1:15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</row>
    <row r="220" spans="1:15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</row>
    <row r="221" spans="1:15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</row>
    <row r="222" spans="1:15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</row>
    <row r="223" spans="1:15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</row>
    <row r="224" spans="1:15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</row>
    <row r="225" spans="1:15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</row>
    <row r="226" spans="1:15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</row>
    <row r="227" spans="1:15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</row>
    <row r="228" spans="1:15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</row>
    <row r="229" spans="1:15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</row>
    <row r="230" spans="1:15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</row>
    <row r="231" spans="1:15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</row>
    <row r="232" spans="1:15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</row>
    <row r="233" spans="1:15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</row>
    <row r="234" spans="1:15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</row>
    <row r="235" spans="1:15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</row>
    <row r="236" spans="1:15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</row>
    <row r="237" spans="1:15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</row>
    <row r="238" spans="1:15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</row>
    <row r="239" spans="1:15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</row>
    <row r="240" spans="1:15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</row>
    <row r="241" spans="1:15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</row>
    <row r="242" spans="1:15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</row>
    <row r="243" spans="1:15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</row>
    <row r="244" spans="1:15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</row>
    <row r="245" spans="1:15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</row>
    <row r="246" spans="1:15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</row>
    <row r="247" spans="1:15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</row>
    <row r="248" spans="1:15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</row>
    <row r="249" spans="1:15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</row>
    <row r="250" spans="1:15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</row>
    <row r="251" spans="1:15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</row>
    <row r="252" spans="1:15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</row>
    <row r="253" spans="1:15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</row>
    <row r="254" spans="1:15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</row>
    <row r="255" spans="1:15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</row>
    <row r="256" spans="1:15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</row>
    <row r="257" spans="1:15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</row>
    <row r="258" spans="1:15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</row>
    <row r="259" spans="1:15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</row>
    <row r="260" spans="1:15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</row>
    <row r="261" spans="1:15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</row>
    <row r="262" spans="1:15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</row>
    <row r="263" spans="1:15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</row>
    <row r="264" spans="1:15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</row>
    <row r="265" spans="1:15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</row>
    <row r="266" spans="1:15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</row>
    <row r="267" spans="1:15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</row>
    <row r="268" spans="1:15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</row>
    <row r="269" spans="1:15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</row>
    <row r="270" spans="1:15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</row>
    <row r="271" spans="1:15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</row>
    <row r="272" spans="1:15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</row>
    <row r="273" spans="1:15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</row>
    <row r="274" spans="1:15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</row>
    <row r="275" spans="1:15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</row>
    <row r="276" spans="1:15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</row>
    <row r="277" spans="1:15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</row>
    <row r="278" spans="1:15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</row>
    <row r="279" spans="1:15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</row>
    <row r="280" spans="1:15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</row>
    <row r="281" spans="1:15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</row>
    <row r="282" spans="1:15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</row>
    <row r="283" spans="1:15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</row>
    <row r="284" spans="1:15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</row>
    <row r="285" spans="1:15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</row>
    <row r="286" spans="1:15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</row>
    <row r="287" spans="1:15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</row>
    <row r="288" spans="1:15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</row>
    <row r="289" spans="1:15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</row>
    <row r="290" spans="1:15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</row>
    <row r="291" spans="1:15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</row>
    <row r="292" spans="1:15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</row>
    <row r="293" spans="1:15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</row>
    <row r="294" spans="1:15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</row>
    <row r="295" spans="1:15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</row>
    <row r="296" spans="1:15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</row>
    <row r="297" spans="1:15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</row>
    <row r="298" spans="1:15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</row>
    <row r="299" spans="1:15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</row>
    <row r="300" spans="1:15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</row>
    <row r="301" spans="1:15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</row>
    <row r="302" spans="1:15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</row>
    <row r="303" spans="1:15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</row>
    <row r="304" spans="1:15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</row>
    <row r="305" spans="1:15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</row>
    <row r="306" spans="1:15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</row>
    <row r="307" spans="1:15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</row>
    <row r="308" spans="1:15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</row>
    <row r="309" spans="1:15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</row>
    <row r="310" spans="1:15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</row>
    <row r="311" spans="1:15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</row>
    <row r="312" spans="1:15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</row>
    <row r="313" spans="1:15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</row>
    <row r="314" spans="1:15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</row>
    <row r="315" spans="1:15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</row>
    <row r="316" spans="1:15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</row>
    <row r="317" spans="1:15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</row>
    <row r="318" spans="1:15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</row>
    <row r="319" spans="1:15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</row>
    <row r="320" spans="1:15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</row>
    <row r="321" spans="1:15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</row>
    <row r="322" spans="1:15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</row>
    <row r="323" spans="1:15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</row>
    <row r="324" spans="1:15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</row>
    <row r="325" spans="1:15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</row>
    <row r="326" spans="1:15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</row>
    <row r="327" spans="1:15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</row>
    <row r="328" spans="1:15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</row>
    <row r="329" spans="1:15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</row>
    <row r="330" spans="1:15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</row>
    <row r="331" spans="1:15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</row>
    <row r="332" spans="1:15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</row>
    <row r="333" spans="1:15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</row>
    <row r="334" spans="1:15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</row>
    <row r="335" spans="1:15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</row>
    <row r="336" spans="1:15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</row>
    <row r="337" spans="1:15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</row>
    <row r="338" spans="1:15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</row>
    <row r="339" spans="1:15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</row>
    <row r="340" spans="1:15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</row>
    <row r="341" spans="1:15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</row>
    <row r="342" spans="1:15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</row>
    <row r="343" spans="1:15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</row>
    <row r="344" spans="1:15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</row>
    <row r="345" spans="1:15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</row>
    <row r="346" spans="1:15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</row>
    <row r="347" spans="1:15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</row>
    <row r="348" spans="1:15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</row>
    <row r="349" spans="1:15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</row>
    <row r="350" spans="1:15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</row>
    <row r="351" spans="1:15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</row>
    <row r="352" spans="1:15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</row>
    <row r="353" spans="1:15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</row>
    <row r="354" spans="1:15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</row>
    <row r="355" spans="1:15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</row>
    <row r="356" spans="1:15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</row>
    <row r="357" spans="1:15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</row>
    <row r="358" spans="1:15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</row>
    <row r="359" spans="1:15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</row>
    <row r="360" spans="1:15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</row>
    <row r="361" spans="1:15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</row>
    <row r="362" spans="1:15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</row>
    <row r="363" spans="1:15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</row>
    <row r="364" spans="1:15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</row>
    <row r="365" spans="1:15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</row>
    <row r="366" spans="1:15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</row>
    <row r="367" spans="1:15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</row>
    <row r="368" spans="1:15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</row>
    <row r="369" spans="1:15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</row>
    <row r="370" spans="1:15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</row>
    <row r="371" spans="1:15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</row>
    <row r="372" spans="1:15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</row>
    <row r="373" spans="1:15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</row>
    <row r="374" spans="1:15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</row>
    <row r="375" spans="1:15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</row>
    <row r="376" spans="1:15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</row>
    <row r="377" spans="1:15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</row>
    <row r="378" spans="1:15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</row>
    <row r="379" spans="1:15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</row>
    <row r="380" spans="1:15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</row>
    <row r="381" spans="1:15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</row>
    <row r="382" spans="1:15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</row>
    <row r="383" spans="1:15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</row>
    <row r="384" spans="1:15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</row>
    <row r="385" spans="1:15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</row>
    <row r="386" spans="1:15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</row>
    <row r="387" spans="1:15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</row>
    <row r="388" spans="1:15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</row>
    <row r="389" spans="1:15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</row>
    <row r="390" spans="1:15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</row>
    <row r="391" spans="1:15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</row>
    <row r="392" spans="1:15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</row>
    <row r="393" spans="1:15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</row>
    <row r="394" spans="1:15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</row>
    <row r="395" spans="1:15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</row>
    <row r="396" spans="1:15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</row>
    <row r="397" spans="1:15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</row>
    <row r="398" spans="1:15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</row>
    <row r="399" spans="1:15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</row>
    <row r="400" spans="1:15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</row>
    <row r="401" spans="1:15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</row>
    <row r="402" spans="1:15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</row>
    <row r="403" spans="1:15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</row>
    <row r="404" spans="1:15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</row>
    <row r="405" spans="1:15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</row>
    <row r="406" spans="1:15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</row>
    <row r="407" spans="1:15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</row>
    <row r="408" spans="1:15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</row>
    <row r="409" spans="1:15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</row>
    <row r="410" spans="1:15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</row>
    <row r="411" spans="1:15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</row>
    <row r="412" spans="1:15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</row>
    <row r="413" spans="1:15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</row>
    <row r="414" spans="1:15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</row>
    <row r="415" spans="1:15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</row>
    <row r="416" spans="1:15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</row>
    <row r="417" spans="1:15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</row>
    <row r="418" spans="1:15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</row>
    <row r="419" spans="1:15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</row>
    <row r="420" spans="1:15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</row>
    <row r="421" spans="1:15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</row>
    <row r="422" spans="1:15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</row>
    <row r="423" spans="1:15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</row>
    <row r="424" spans="1:15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</row>
    <row r="425" spans="1:15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</row>
    <row r="426" spans="1:15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</row>
    <row r="427" spans="1:15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</row>
    <row r="428" spans="1:15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</row>
    <row r="429" spans="1:15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</row>
    <row r="430" spans="1:15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</row>
    <row r="431" spans="1:15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</row>
    <row r="432" spans="1:15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</row>
    <row r="433" spans="1:15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</row>
    <row r="434" spans="1:15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</row>
    <row r="435" spans="1:15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</row>
    <row r="436" spans="1:15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</row>
    <row r="437" spans="1:15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</row>
    <row r="438" spans="1:15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</row>
    <row r="439" spans="1:15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</row>
    <row r="440" spans="1:15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</row>
    <row r="441" spans="1:15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</row>
    <row r="442" spans="1:15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</row>
    <row r="443" spans="1:15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</row>
    <row r="444" spans="1:15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</row>
    <row r="445" spans="1:15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</row>
    <row r="446" spans="1:15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</row>
    <row r="447" spans="1:15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</row>
    <row r="448" spans="1:15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</row>
    <row r="449" spans="1:15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</row>
    <row r="450" spans="1:15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</row>
    <row r="451" spans="1:15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</row>
    <row r="452" spans="1:15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</row>
    <row r="453" spans="1:15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</row>
    <row r="454" spans="1:15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</row>
    <row r="455" spans="1:15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</row>
    <row r="456" spans="1:15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</row>
    <row r="457" spans="1:15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</row>
    <row r="458" spans="1:15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</row>
    <row r="459" spans="1:15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</row>
    <row r="460" spans="1:15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</row>
    <row r="461" spans="1:15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</row>
    <row r="462" spans="1:15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</row>
    <row r="463" spans="1:15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</row>
    <row r="464" spans="1:15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</row>
    <row r="465" spans="1:15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</row>
    <row r="466" spans="1:15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</row>
    <row r="467" spans="1:15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</row>
    <row r="468" spans="1:15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</row>
    <row r="469" spans="1:15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</row>
    <row r="470" spans="1:15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</row>
    <row r="471" spans="1:15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</row>
    <row r="472" spans="1:15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</row>
    <row r="473" spans="1:15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</row>
    <row r="474" spans="1:15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</row>
    <row r="475" spans="1:15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</row>
    <row r="476" spans="1:15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</row>
    <row r="477" spans="1:15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</row>
    <row r="478" spans="1:15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</row>
    <row r="479" spans="1:15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</row>
    <row r="480" spans="1:15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</row>
    <row r="481" spans="1:15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</row>
    <row r="482" spans="1:15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</row>
    <row r="483" spans="1:15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</row>
    <row r="484" spans="1:15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</row>
    <row r="485" spans="1:15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</row>
    <row r="486" spans="1:15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</row>
    <row r="487" spans="1:15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</row>
    <row r="488" spans="1:15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</row>
    <row r="489" spans="1:15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</row>
    <row r="490" spans="1:15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</row>
    <row r="491" spans="1:15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</row>
    <row r="492" spans="1:15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</row>
    <row r="493" spans="1:15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</row>
    <row r="494" spans="1:15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</row>
    <row r="495" spans="1:15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</row>
    <row r="496" spans="1:15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</row>
    <row r="497" spans="1:15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</row>
    <row r="498" spans="1:15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</row>
    <row r="499" spans="1:15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</row>
    <row r="500" spans="1:15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</row>
    <row r="501" spans="1:15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</row>
  </sheetData>
  <conditionalFormatting sqref="A2:O501">
    <cfRule type="expression" dxfId="3" priority="1">
      <formula>$G2=$Q$2</formula>
    </cfRule>
  </conditionalFormatting>
  <conditionalFormatting sqref="H2:H501">
    <cfRule type="containsText" dxfId="2" priority="6" operator="containsText" text="Debit Card">
      <formula>NOT(ISERROR(SEARCH("Debit Card",H2)))</formula>
    </cfRule>
  </conditionalFormatting>
  <conditionalFormatting sqref="L2:L50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{A01716D7-1D85-43E5-A8EA-B7BF8F3FF49E}</x14:id>
        </ext>
      </extLst>
    </cfRule>
    <cfRule type="cellIs" dxfId="1" priority="4" operator="greaterThan">
      <formula>5</formula>
    </cfRule>
  </conditionalFormatting>
  <conditionalFormatting sqref="O2:O501">
    <cfRule type="top10" dxfId="0" priority="3" rank="5"/>
  </conditionalFormatting>
  <dataValidations count="1">
    <dataValidation type="list" allowBlank="1" showInputMessage="1" showErrorMessage="1" sqref="Q2" xr:uid="{4BEEBB4E-A436-42E0-95DD-906105C5BC3F}">
      <formula1>$T$2:$T$4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1716D7-1D85-43E5-A8EA-B7BF8F3FF4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L2:L501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7317-F1FB-47CC-8C3D-F57BB32188EB}">
  <dimension ref="A1:AH501"/>
  <sheetViews>
    <sheetView topLeftCell="Z1" zoomScale="74" workbookViewId="0">
      <selection activeCell="AG1" sqref="AG1"/>
    </sheetView>
  </sheetViews>
  <sheetFormatPr defaultRowHeight="14.4" x14ac:dyDescent="0.3"/>
  <cols>
    <col min="16" max="16" width="28.77734375" bestFit="1" customWidth="1"/>
    <col min="17" max="17" width="11.33203125" bestFit="1" customWidth="1"/>
    <col min="18" max="18" width="12.88671875" bestFit="1" customWidth="1"/>
    <col min="19" max="19" width="18.33203125" bestFit="1" customWidth="1"/>
    <col min="20" max="20" width="12.109375" bestFit="1" customWidth="1"/>
    <col min="22" max="22" width="14.44140625" bestFit="1" customWidth="1"/>
    <col min="23" max="23" width="12" bestFit="1" customWidth="1"/>
    <col min="24" max="24" width="12.109375" bestFit="1" customWidth="1"/>
    <col min="25" max="25" width="12.88671875" bestFit="1" customWidth="1"/>
    <col min="26" max="26" width="16.88671875" bestFit="1" customWidth="1"/>
    <col min="27" max="27" width="11.44140625" bestFit="1" customWidth="1"/>
    <col min="28" max="28" width="22.44140625" bestFit="1" customWidth="1"/>
    <col min="29" max="29" width="14.88671875" bestFit="1" customWidth="1"/>
    <col min="30" max="30" width="8.109375" bestFit="1" customWidth="1"/>
    <col min="31" max="31" width="20.6640625" bestFit="1" customWidth="1"/>
    <col min="32" max="32" width="11.33203125" bestFit="1" customWidth="1"/>
    <col min="33" max="34" width="11.109375" bestFit="1" customWidth="1"/>
  </cols>
  <sheetData>
    <row r="1" spans="1:3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106</v>
      </c>
      <c r="Q1" s="4" t="s">
        <v>105</v>
      </c>
      <c r="R1" s="4" t="s">
        <v>107</v>
      </c>
      <c r="S1" s="4" t="s">
        <v>108</v>
      </c>
      <c r="T1" s="4" t="s">
        <v>109</v>
      </c>
      <c r="U1" s="4" t="s">
        <v>113</v>
      </c>
      <c r="V1" s="4" t="s">
        <v>114</v>
      </c>
      <c r="W1" s="4" t="s">
        <v>115</v>
      </c>
      <c r="X1" s="4" t="s">
        <v>116</v>
      </c>
      <c r="Y1" s="4" t="s">
        <v>117</v>
      </c>
      <c r="Z1" s="4" t="s">
        <v>118</v>
      </c>
      <c r="AA1" s="4" t="s">
        <v>119</v>
      </c>
      <c r="AB1" s="4" t="s">
        <v>120</v>
      </c>
      <c r="AC1" s="4" t="s">
        <v>121</v>
      </c>
      <c r="AD1" s="4" t="s">
        <v>122</v>
      </c>
      <c r="AE1" s="4" t="s">
        <v>123</v>
      </c>
      <c r="AF1" s="4" t="s">
        <v>124</v>
      </c>
    </row>
    <row r="2" spans="1:34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110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t="s">
        <v>21</v>
      </c>
      <c r="Q2" t="str">
        <f>RIGHT(H2,3)</f>
        <v>ard</v>
      </c>
      <c r="R2" t="str">
        <f>MID(J2,2,4)</f>
        <v>ixer</v>
      </c>
      <c r="S2">
        <f>LEN(J2)</f>
        <v>16</v>
      </c>
      <c r="T2" t="str">
        <f>TRIM(J2)</f>
        <v>Mixer Grinder</v>
      </c>
      <c r="U2">
        <f>LEN(T2)</f>
        <v>13</v>
      </c>
      <c r="V2" t="str">
        <f>UPPER(T2)</f>
        <v>MIXER GRINDER</v>
      </c>
      <c r="W2" t="str">
        <f>LOWER(V2)</f>
        <v>mixer grinder</v>
      </c>
      <c r="X2" t="str">
        <f>PROPER(W2)</f>
        <v>Mixer Grinder</v>
      </c>
      <c r="Y2" t="str">
        <f>_xlfn.CONCAT(F2," ",L2)</f>
        <v>Delhi 7</v>
      </c>
      <c r="Z2" t="str">
        <f>_xlfn.CONCAT(K2:L2)</f>
        <v>BrandA7</v>
      </c>
      <c r="AA2" t="str">
        <f>CONCATENATE(K2," ",L2)</f>
        <v>BrandA 7</v>
      </c>
      <c r="AB2" t="str">
        <f>_xlfn.TEXTJOIN(" ",TRUE,F2:G2)</f>
        <v>Delhi Mobile App</v>
      </c>
      <c r="AC2">
        <f>FIND("e",G2)</f>
        <v>6</v>
      </c>
      <c r="AD2">
        <f>SEARCH("M",AB2)</f>
        <v>7</v>
      </c>
      <c r="AE2" t="str">
        <f>REPLACE(AB2,5,3,"p")</f>
        <v>Delhpobile App</v>
      </c>
      <c r="AF2" t="s">
        <v>125</v>
      </c>
      <c r="AG2" t="s">
        <v>131</v>
      </c>
      <c r="AH2" t="s">
        <v>134</v>
      </c>
    </row>
    <row r="3" spans="1:34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111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t="s">
        <v>28</v>
      </c>
      <c r="Q3" t="str">
        <f t="shared" ref="Q3:Q66" si="0">RIGHT(H3,3)</f>
        <v>ard</v>
      </c>
      <c r="R3" t="str">
        <f t="shared" ref="R3:R66" si="1">MID(J3,2,4)</f>
        <v>ootb</v>
      </c>
      <c r="S3">
        <f t="shared" ref="S3:S66" si="2">LEN(J3)</f>
        <v>12</v>
      </c>
      <c r="T3" t="str">
        <f t="shared" ref="T3:T66" si="3">TRIM(J3)</f>
        <v>Football</v>
      </c>
      <c r="U3">
        <f t="shared" ref="U3:U66" si="4">LEN(T3)</f>
        <v>8</v>
      </c>
      <c r="V3" t="str">
        <f t="shared" ref="V3:V66" si="5">UPPER(T3)</f>
        <v>FOOTBALL</v>
      </c>
      <c r="W3" t="str">
        <f t="shared" ref="W3:W66" si="6">LOWER(V3)</f>
        <v>football</v>
      </c>
      <c r="X3" t="str">
        <f t="shared" ref="X3:X66" si="7">PROPER(W3)</f>
        <v>Football</v>
      </c>
      <c r="Y3" t="str">
        <f t="shared" ref="Y3:Y66" si="8">_xlfn.CONCAT(F3," ",L3)</f>
        <v>Tamil Nadu 9</v>
      </c>
      <c r="Z3" t="str">
        <f t="shared" ref="Z3:Z66" si="9">_xlfn.CONCAT(K3:L3)</f>
        <v>BrandD9</v>
      </c>
      <c r="AA3" t="str">
        <f t="shared" ref="AA3:AA66" si="10">CONCATENATE(K3," ",L3)</f>
        <v>BrandD 9</v>
      </c>
      <c r="AB3" t="str">
        <f t="shared" ref="AB3:AB66" si="11">_xlfn.TEXTJOIN(" ",TRUE,F3:G3)</f>
        <v>Tamil Nadu Website</v>
      </c>
      <c r="AC3">
        <f t="shared" ref="AC3:AC66" si="12">FIND("e",G3)</f>
        <v>2</v>
      </c>
      <c r="AD3">
        <f t="shared" ref="AD3:AD66" si="13">SEARCH("M",AB3)</f>
        <v>3</v>
      </c>
      <c r="AE3" t="str">
        <f t="shared" ref="AE3:AE66" si="14">REPLACE(AB3,5,3,"p")</f>
        <v>Tamipadu Website</v>
      </c>
      <c r="AF3" t="s">
        <v>126</v>
      </c>
      <c r="AG3" t="s">
        <v>132</v>
      </c>
      <c r="AH3" t="s">
        <v>132</v>
      </c>
    </row>
    <row r="4" spans="1:34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112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t="s">
        <v>33</v>
      </c>
      <c r="Q4" t="str">
        <f t="shared" si="0"/>
        <v>ard</v>
      </c>
      <c r="R4" t="str">
        <f t="shared" si="1"/>
        <v xml:space="preserve">   S</v>
      </c>
      <c r="S4">
        <f t="shared" si="2"/>
        <v>12</v>
      </c>
      <c r="T4" t="str">
        <f t="shared" si="3"/>
        <v>Sneakers</v>
      </c>
      <c r="U4">
        <f t="shared" si="4"/>
        <v>8</v>
      </c>
      <c r="V4" t="str">
        <f t="shared" si="5"/>
        <v>SNEAKERS</v>
      </c>
      <c r="W4" t="str">
        <f t="shared" si="6"/>
        <v>sneakers</v>
      </c>
      <c r="X4" t="str">
        <f t="shared" si="7"/>
        <v>Sneakers</v>
      </c>
      <c r="Y4" t="str">
        <f t="shared" si="8"/>
        <v>West Bengal 6</v>
      </c>
      <c r="Z4" t="str">
        <f t="shared" si="9"/>
        <v>BrandE6</v>
      </c>
      <c r="AA4" t="str">
        <f t="shared" si="10"/>
        <v>BrandE 6</v>
      </c>
      <c r="AB4" t="str">
        <f t="shared" si="11"/>
        <v>West Bengal Marketplace</v>
      </c>
      <c r="AC4">
        <f t="shared" si="12"/>
        <v>5</v>
      </c>
      <c r="AD4">
        <f t="shared" si="13"/>
        <v>13</v>
      </c>
      <c r="AE4" t="str">
        <f t="shared" si="14"/>
        <v>Westpngal Marketplace</v>
      </c>
      <c r="AF4" t="s">
        <v>127</v>
      </c>
      <c r="AG4" t="s">
        <v>133</v>
      </c>
      <c r="AH4" t="s">
        <v>133</v>
      </c>
    </row>
    <row r="5" spans="1:34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t="s">
        <v>21</v>
      </c>
      <c r="Q5" t="str">
        <f t="shared" si="0"/>
        <v>ery</v>
      </c>
      <c r="R5" t="str">
        <f t="shared" si="1"/>
        <v xml:space="preserve">oga </v>
      </c>
      <c r="S5">
        <f t="shared" si="2"/>
        <v>8</v>
      </c>
      <c r="T5" t="str">
        <f t="shared" si="3"/>
        <v>Yoga Mat</v>
      </c>
      <c r="U5">
        <f t="shared" si="4"/>
        <v>8</v>
      </c>
      <c r="V5" t="str">
        <f t="shared" si="5"/>
        <v>YOGA MAT</v>
      </c>
      <c r="W5" t="str">
        <f t="shared" si="6"/>
        <v>yoga mat</v>
      </c>
      <c r="X5" t="str">
        <f t="shared" si="7"/>
        <v>Yoga Mat</v>
      </c>
      <c r="Y5" t="str">
        <f t="shared" si="8"/>
        <v>West Bengal 1</v>
      </c>
      <c r="Z5" t="str">
        <f t="shared" si="9"/>
        <v>BrandA1</v>
      </c>
      <c r="AA5" t="str">
        <f t="shared" si="10"/>
        <v>BrandA 1</v>
      </c>
      <c r="AB5" t="str">
        <f t="shared" si="11"/>
        <v>West Bengal Website</v>
      </c>
      <c r="AC5">
        <f t="shared" si="12"/>
        <v>2</v>
      </c>
      <c r="AD5" t="e">
        <f t="shared" si="13"/>
        <v>#VALUE!</v>
      </c>
      <c r="AE5" t="str">
        <f t="shared" si="14"/>
        <v>Westpngal Website</v>
      </c>
      <c r="AF5" t="s">
        <v>127</v>
      </c>
      <c r="AG5" t="s">
        <v>132</v>
      </c>
      <c r="AH5" t="s">
        <v>132</v>
      </c>
    </row>
    <row r="6" spans="1:34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t="s">
        <v>21</v>
      </c>
      <c r="Q6" t="str">
        <f t="shared" si="0"/>
        <v>ard</v>
      </c>
      <c r="R6" t="str">
        <f t="shared" si="1"/>
        <v>acke</v>
      </c>
      <c r="S6">
        <f t="shared" si="2"/>
        <v>6</v>
      </c>
      <c r="T6" t="str">
        <f t="shared" si="3"/>
        <v>Jacket</v>
      </c>
      <c r="U6">
        <f t="shared" si="4"/>
        <v>6</v>
      </c>
      <c r="V6" t="str">
        <f t="shared" si="5"/>
        <v>JACKET</v>
      </c>
      <c r="W6" t="str">
        <f t="shared" si="6"/>
        <v>jacket</v>
      </c>
      <c r="X6" t="str">
        <f t="shared" si="7"/>
        <v>Jacket</v>
      </c>
      <c r="Y6" t="str">
        <f t="shared" si="8"/>
        <v>Karnataka 7</v>
      </c>
      <c r="Z6" t="str">
        <f t="shared" si="9"/>
        <v>BrandA7</v>
      </c>
      <c r="AA6" t="str">
        <f t="shared" si="10"/>
        <v>BrandA 7</v>
      </c>
      <c r="AB6" t="str">
        <f t="shared" si="11"/>
        <v>Karnataka Marketplace</v>
      </c>
      <c r="AC6">
        <f t="shared" si="12"/>
        <v>5</v>
      </c>
      <c r="AD6">
        <f t="shared" si="13"/>
        <v>11</v>
      </c>
      <c r="AE6" t="str">
        <f t="shared" si="14"/>
        <v>Karnpka Marketplace</v>
      </c>
      <c r="AF6" t="s">
        <v>128</v>
      </c>
      <c r="AG6" t="s">
        <v>133</v>
      </c>
      <c r="AH6" t="s">
        <v>133</v>
      </c>
    </row>
    <row r="7" spans="1:34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t="s">
        <v>33</v>
      </c>
      <c r="Q7" t="str">
        <f t="shared" si="0"/>
        <v>ing</v>
      </c>
      <c r="R7" t="str">
        <f t="shared" si="1"/>
        <v>edsh</v>
      </c>
      <c r="S7">
        <f t="shared" si="2"/>
        <v>8</v>
      </c>
      <c r="T7" t="str">
        <f t="shared" si="3"/>
        <v>Bedsheet</v>
      </c>
      <c r="U7">
        <f t="shared" si="4"/>
        <v>8</v>
      </c>
      <c r="V7" t="str">
        <f t="shared" si="5"/>
        <v>BEDSHEET</v>
      </c>
      <c r="W7" t="str">
        <f t="shared" si="6"/>
        <v>bedsheet</v>
      </c>
      <c r="X7" t="str">
        <f t="shared" si="7"/>
        <v>Bedsheet</v>
      </c>
      <c r="Y7" t="str">
        <f t="shared" si="8"/>
        <v>Telangana 3</v>
      </c>
      <c r="Z7" t="str">
        <f t="shared" si="9"/>
        <v>BrandE3</v>
      </c>
      <c r="AA7" t="str">
        <f t="shared" si="10"/>
        <v>BrandE 3</v>
      </c>
      <c r="AB7" t="str">
        <f t="shared" si="11"/>
        <v>Telangana Website</v>
      </c>
      <c r="AC7">
        <f t="shared" si="12"/>
        <v>2</v>
      </c>
      <c r="AD7" t="e">
        <f t="shared" si="13"/>
        <v>#VALUE!</v>
      </c>
      <c r="AE7" t="str">
        <f t="shared" si="14"/>
        <v>Telapna Website</v>
      </c>
      <c r="AF7" t="s">
        <v>129</v>
      </c>
      <c r="AG7" t="s">
        <v>132</v>
      </c>
      <c r="AH7" t="s">
        <v>132</v>
      </c>
    </row>
    <row r="8" spans="1:34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t="s">
        <v>45</v>
      </c>
      <c r="Q8" t="str">
        <f t="shared" si="0"/>
        <v>UPI</v>
      </c>
      <c r="R8" t="str">
        <f t="shared" si="1"/>
        <v>neak</v>
      </c>
      <c r="S8">
        <f t="shared" si="2"/>
        <v>8</v>
      </c>
      <c r="T8" t="str">
        <f t="shared" si="3"/>
        <v>Sneakers</v>
      </c>
      <c r="U8">
        <f t="shared" si="4"/>
        <v>8</v>
      </c>
      <c r="V8" t="str">
        <f t="shared" si="5"/>
        <v>SNEAKERS</v>
      </c>
      <c r="W8" t="str">
        <f t="shared" si="6"/>
        <v>sneakers</v>
      </c>
      <c r="X8" t="str">
        <f t="shared" si="7"/>
        <v>Sneakers</v>
      </c>
      <c r="Y8" t="str">
        <f t="shared" si="8"/>
        <v>Telangana 5</v>
      </c>
      <c r="Z8" t="str">
        <f t="shared" si="9"/>
        <v>BrandC5</v>
      </c>
      <c r="AA8" t="str">
        <f t="shared" si="10"/>
        <v>BrandC 5</v>
      </c>
      <c r="AB8" t="str">
        <f t="shared" si="11"/>
        <v>Telangana Mobile App</v>
      </c>
      <c r="AC8">
        <f t="shared" si="12"/>
        <v>6</v>
      </c>
      <c r="AD8">
        <f t="shared" si="13"/>
        <v>11</v>
      </c>
      <c r="AE8" t="str">
        <f t="shared" si="14"/>
        <v>Telapna Mobile App</v>
      </c>
      <c r="AF8" t="s">
        <v>129</v>
      </c>
      <c r="AG8" t="s">
        <v>131</v>
      </c>
      <c r="AH8" t="s">
        <v>134</v>
      </c>
    </row>
    <row r="9" spans="1:34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t="s">
        <v>47</v>
      </c>
      <c r="Q9" t="str">
        <f t="shared" si="0"/>
        <v>ard</v>
      </c>
      <c r="R9" t="str">
        <f t="shared" si="1"/>
        <v>neak</v>
      </c>
      <c r="S9">
        <f t="shared" si="2"/>
        <v>8</v>
      </c>
      <c r="T9" t="str">
        <f t="shared" si="3"/>
        <v>Sneakers</v>
      </c>
      <c r="U9">
        <f t="shared" si="4"/>
        <v>8</v>
      </c>
      <c r="V9" t="str">
        <f t="shared" si="5"/>
        <v>SNEAKERS</v>
      </c>
      <c r="W9" t="str">
        <f t="shared" si="6"/>
        <v>sneakers</v>
      </c>
      <c r="X9" t="str">
        <f t="shared" si="7"/>
        <v>Sneakers</v>
      </c>
      <c r="Y9" t="str">
        <f t="shared" si="8"/>
        <v>Delhi 4</v>
      </c>
      <c r="Z9" t="str">
        <f t="shared" si="9"/>
        <v>BrandB4</v>
      </c>
      <c r="AA9" t="str">
        <f t="shared" si="10"/>
        <v>BrandB 4</v>
      </c>
      <c r="AB9" t="str">
        <f t="shared" si="11"/>
        <v>Delhi Website</v>
      </c>
      <c r="AC9">
        <f t="shared" si="12"/>
        <v>2</v>
      </c>
      <c r="AD9" t="e">
        <f t="shared" si="13"/>
        <v>#VALUE!</v>
      </c>
      <c r="AE9" t="str">
        <f t="shared" si="14"/>
        <v>Delhpebsite</v>
      </c>
      <c r="AF9" t="s">
        <v>125</v>
      </c>
      <c r="AG9" t="s">
        <v>132</v>
      </c>
      <c r="AH9" t="s">
        <v>132</v>
      </c>
    </row>
    <row r="10" spans="1:34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t="s">
        <v>28</v>
      </c>
      <c r="Q10" t="str">
        <f t="shared" si="0"/>
        <v>ard</v>
      </c>
      <c r="R10" t="str">
        <f t="shared" si="1"/>
        <v>-Shi</v>
      </c>
      <c r="S10">
        <f t="shared" si="2"/>
        <v>7</v>
      </c>
      <c r="T10" t="str">
        <f t="shared" si="3"/>
        <v>T-Shirt</v>
      </c>
      <c r="U10">
        <f t="shared" si="4"/>
        <v>7</v>
      </c>
      <c r="V10" t="str">
        <f t="shared" si="5"/>
        <v>T-SHIRT</v>
      </c>
      <c r="W10" t="str">
        <f t="shared" si="6"/>
        <v>t-shirt</v>
      </c>
      <c r="X10" t="str">
        <f t="shared" si="7"/>
        <v>T-Shirt</v>
      </c>
      <c r="Y10" t="str">
        <f t="shared" si="8"/>
        <v>West Bengal 5</v>
      </c>
      <c r="Z10" t="str">
        <f t="shared" si="9"/>
        <v>BrandD5</v>
      </c>
      <c r="AA10" t="str">
        <f t="shared" si="10"/>
        <v>BrandD 5</v>
      </c>
      <c r="AB10" t="str">
        <f t="shared" si="11"/>
        <v>West Bengal Website</v>
      </c>
      <c r="AC10">
        <f t="shared" si="12"/>
        <v>2</v>
      </c>
      <c r="AD10" t="e">
        <f t="shared" si="13"/>
        <v>#VALUE!</v>
      </c>
      <c r="AE10" t="str">
        <f t="shared" si="14"/>
        <v>Westpngal Website</v>
      </c>
      <c r="AF10" t="s">
        <v>127</v>
      </c>
      <c r="AG10" t="s">
        <v>132</v>
      </c>
      <c r="AH10" t="s">
        <v>132</v>
      </c>
    </row>
    <row r="11" spans="1:34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t="s">
        <v>47</v>
      </c>
      <c r="Q11" t="str">
        <f t="shared" si="0"/>
        <v>ery</v>
      </c>
      <c r="R11" t="str">
        <f t="shared" si="1"/>
        <v>eadp</v>
      </c>
      <c r="S11">
        <f t="shared" si="2"/>
        <v>10</v>
      </c>
      <c r="T11" t="str">
        <f t="shared" si="3"/>
        <v>Headphones</v>
      </c>
      <c r="U11">
        <f t="shared" si="4"/>
        <v>10</v>
      </c>
      <c r="V11" t="str">
        <f t="shared" si="5"/>
        <v>HEADPHONES</v>
      </c>
      <c r="W11" t="str">
        <f t="shared" si="6"/>
        <v>headphones</v>
      </c>
      <c r="X11" t="str">
        <f t="shared" si="7"/>
        <v>Headphones</v>
      </c>
      <c r="Y11" t="str">
        <f t="shared" si="8"/>
        <v>Karnataka 5</v>
      </c>
      <c r="Z11" t="str">
        <f t="shared" si="9"/>
        <v>BrandB5</v>
      </c>
      <c r="AA11" t="str">
        <f t="shared" si="10"/>
        <v>BrandB 5</v>
      </c>
      <c r="AB11" t="str">
        <f t="shared" si="11"/>
        <v>Karnataka Website</v>
      </c>
      <c r="AC11">
        <f t="shared" si="12"/>
        <v>2</v>
      </c>
      <c r="AD11" t="e">
        <f t="shared" si="13"/>
        <v>#VALUE!</v>
      </c>
      <c r="AE11" t="str">
        <f t="shared" si="14"/>
        <v>Karnpka Website</v>
      </c>
      <c r="AF11" t="s">
        <v>128</v>
      </c>
      <c r="AG11" t="s">
        <v>132</v>
      </c>
      <c r="AH11" t="s">
        <v>132</v>
      </c>
    </row>
    <row r="12" spans="1:34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t="s">
        <v>33</v>
      </c>
      <c r="Q12" t="str">
        <f t="shared" si="0"/>
        <v>ery</v>
      </c>
      <c r="R12" t="str">
        <f t="shared" si="1"/>
        <v>eadp</v>
      </c>
      <c r="S12">
        <f t="shared" si="2"/>
        <v>10</v>
      </c>
      <c r="T12" t="str">
        <f t="shared" si="3"/>
        <v>Headphones</v>
      </c>
      <c r="U12">
        <f t="shared" si="4"/>
        <v>10</v>
      </c>
      <c r="V12" t="str">
        <f t="shared" si="5"/>
        <v>HEADPHONES</v>
      </c>
      <c r="W12" t="str">
        <f t="shared" si="6"/>
        <v>headphones</v>
      </c>
      <c r="X12" t="str">
        <f t="shared" si="7"/>
        <v>Headphones</v>
      </c>
      <c r="Y12" t="str">
        <f t="shared" si="8"/>
        <v>Karnataka 6</v>
      </c>
      <c r="Z12" t="str">
        <f t="shared" si="9"/>
        <v>BrandE6</v>
      </c>
      <c r="AA12" t="str">
        <f t="shared" si="10"/>
        <v>BrandE 6</v>
      </c>
      <c r="AB12" t="str">
        <f t="shared" si="11"/>
        <v>Karnataka Mobile App</v>
      </c>
      <c r="AC12">
        <f t="shared" si="12"/>
        <v>6</v>
      </c>
      <c r="AD12">
        <f t="shared" si="13"/>
        <v>11</v>
      </c>
      <c r="AE12" t="str">
        <f t="shared" si="14"/>
        <v>Karnpka Mobile App</v>
      </c>
      <c r="AF12" t="s">
        <v>128</v>
      </c>
      <c r="AG12" t="s">
        <v>131</v>
      </c>
      <c r="AH12" t="s">
        <v>134</v>
      </c>
    </row>
    <row r="13" spans="1:34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t="s">
        <v>21</v>
      </c>
      <c r="Q13" t="str">
        <f t="shared" si="0"/>
        <v>UPI</v>
      </c>
      <c r="R13" t="str">
        <f t="shared" si="1"/>
        <v>mart</v>
      </c>
      <c r="S13">
        <f t="shared" si="2"/>
        <v>10</v>
      </c>
      <c r="T13" t="str">
        <f t="shared" si="3"/>
        <v>Smartwatch</v>
      </c>
      <c r="U13">
        <f t="shared" si="4"/>
        <v>10</v>
      </c>
      <c r="V13" t="str">
        <f t="shared" si="5"/>
        <v>SMARTWATCH</v>
      </c>
      <c r="W13" t="str">
        <f t="shared" si="6"/>
        <v>smartwatch</v>
      </c>
      <c r="X13" t="str">
        <f t="shared" si="7"/>
        <v>Smartwatch</v>
      </c>
      <c r="Y13" t="str">
        <f t="shared" si="8"/>
        <v>Tamil Nadu 6</v>
      </c>
      <c r="Z13" t="str">
        <f t="shared" si="9"/>
        <v>BrandA6</v>
      </c>
      <c r="AA13" t="str">
        <f t="shared" si="10"/>
        <v>BrandA 6</v>
      </c>
      <c r="AB13" t="str">
        <f t="shared" si="11"/>
        <v>Tamil Nadu Website</v>
      </c>
      <c r="AC13">
        <f t="shared" si="12"/>
        <v>2</v>
      </c>
      <c r="AD13">
        <f t="shared" si="13"/>
        <v>3</v>
      </c>
      <c r="AE13" t="str">
        <f t="shared" si="14"/>
        <v>Tamipadu Website</v>
      </c>
      <c r="AF13" t="s">
        <v>126</v>
      </c>
      <c r="AG13" t="s">
        <v>132</v>
      </c>
      <c r="AH13" t="s">
        <v>132</v>
      </c>
    </row>
    <row r="14" spans="1:34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t="s">
        <v>21</v>
      </c>
      <c r="Q14" t="str">
        <f t="shared" si="0"/>
        <v>ery</v>
      </c>
      <c r="R14" t="str">
        <f t="shared" si="1"/>
        <v>edsh</v>
      </c>
      <c r="S14">
        <f t="shared" si="2"/>
        <v>8</v>
      </c>
      <c r="T14" t="str">
        <f t="shared" si="3"/>
        <v>Bedsheet</v>
      </c>
      <c r="U14">
        <f t="shared" si="4"/>
        <v>8</v>
      </c>
      <c r="V14" t="str">
        <f t="shared" si="5"/>
        <v>BEDSHEET</v>
      </c>
      <c r="W14" t="str">
        <f t="shared" si="6"/>
        <v>bedsheet</v>
      </c>
      <c r="X14" t="str">
        <f t="shared" si="7"/>
        <v>Bedsheet</v>
      </c>
      <c r="Y14" t="str">
        <f t="shared" si="8"/>
        <v>Tamil Nadu 8</v>
      </c>
      <c r="Z14" t="str">
        <f t="shared" si="9"/>
        <v>BrandA8</v>
      </c>
      <c r="AA14" t="str">
        <f t="shared" si="10"/>
        <v>BrandA 8</v>
      </c>
      <c r="AB14" t="str">
        <f t="shared" si="11"/>
        <v>Tamil Nadu Mobile App</v>
      </c>
      <c r="AC14">
        <f t="shared" si="12"/>
        <v>6</v>
      </c>
      <c r="AD14">
        <f t="shared" si="13"/>
        <v>3</v>
      </c>
      <c r="AE14" t="str">
        <f t="shared" si="14"/>
        <v>Tamipadu Mobile App</v>
      </c>
      <c r="AF14" t="s">
        <v>126</v>
      </c>
      <c r="AG14" t="s">
        <v>131</v>
      </c>
      <c r="AH14" t="s">
        <v>134</v>
      </c>
    </row>
    <row r="15" spans="1:34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t="s">
        <v>28</v>
      </c>
      <c r="Q15" t="str">
        <f t="shared" si="0"/>
        <v>ery</v>
      </c>
      <c r="R15" t="str">
        <f t="shared" si="1"/>
        <v xml:space="preserve">oga </v>
      </c>
      <c r="S15">
        <f t="shared" si="2"/>
        <v>8</v>
      </c>
      <c r="T15" t="str">
        <f t="shared" si="3"/>
        <v>Yoga Mat</v>
      </c>
      <c r="U15">
        <f t="shared" si="4"/>
        <v>8</v>
      </c>
      <c r="V15" t="str">
        <f t="shared" si="5"/>
        <v>YOGA MAT</v>
      </c>
      <c r="W15" t="str">
        <f t="shared" si="6"/>
        <v>yoga mat</v>
      </c>
      <c r="X15" t="str">
        <f t="shared" si="7"/>
        <v>Yoga Mat</v>
      </c>
      <c r="Y15" t="str">
        <f t="shared" si="8"/>
        <v>Karnataka 8</v>
      </c>
      <c r="Z15" t="str">
        <f t="shared" si="9"/>
        <v>BrandD8</v>
      </c>
      <c r="AA15" t="str">
        <f t="shared" si="10"/>
        <v>BrandD 8</v>
      </c>
      <c r="AB15" t="str">
        <f t="shared" si="11"/>
        <v>Karnataka Marketplace</v>
      </c>
      <c r="AC15">
        <f t="shared" si="12"/>
        <v>5</v>
      </c>
      <c r="AD15">
        <f t="shared" si="13"/>
        <v>11</v>
      </c>
      <c r="AE15" t="str">
        <f t="shared" si="14"/>
        <v>Karnpka Marketplace</v>
      </c>
      <c r="AF15" t="s">
        <v>128</v>
      </c>
      <c r="AG15" t="s">
        <v>133</v>
      </c>
      <c r="AH15" t="s">
        <v>133</v>
      </c>
    </row>
    <row r="16" spans="1:34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t="s">
        <v>21</v>
      </c>
      <c r="Q16" t="str">
        <f t="shared" si="0"/>
        <v>ard</v>
      </c>
      <c r="R16" t="str">
        <f t="shared" si="1"/>
        <v>hamp</v>
      </c>
      <c r="S16">
        <f t="shared" si="2"/>
        <v>7</v>
      </c>
      <c r="T16" t="str">
        <f t="shared" si="3"/>
        <v>Shampoo</v>
      </c>
      <c r="U16">
        <f t="shared" si="4"/>
        <v>7</v>
      </c>
      <c r="V16" t="str">
        <f t="shared" si="5"/>
        <v>SHAMPOO</v>
      </c>
      <c r="W16" t="str">
        <f t="shared" si="6"/>
        <v>shampoo</v>
      </c>
      <c r="X16" t="str">
        <f t="shared" si="7"/>
        <v>Shampoo</v>
      </c>
      <c r="Y16" t="str">
        <f t="shared" si="8"/>
        <v>Tamil Nadu 9</v>
      </c>
      <c r="Z16" t="str">
        <f t="shared" si="9"/>
        <v>BrandA9</v>
      </c>
      <c r="AA16" t="str">
        <f t="shared" si="10"/>
        <v>BrandA 9</v>
      </c>
      <c r="AB16" t="str">
        <f t="shared" si="11"/>
        <v>Tamil Nadu Website</v>
      </c>
      <c r="AC16">
        <f t="shared" si="12"/>
        <v>2</v>
      </c>
      <c r="AD16">
        <f t="shared" si="13"/>
        <v>3</v>
      </c>
      <c r="AE16" t="str">
        <f t="shared" si="14"/>
        <v>Tamipadu Website</v>
      </c>
      <c r="AF16" t="s">
        <v>126</v>
      </c>
      <c r="AG16" t="s">
        <v>132</v>
      </c>
      <c r="AH16" t="s">
        <v>132</v>
      </c>
    </row>
    <row r="17" spans="1:34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t="s">
        <v>21</v>
      </c>
      <c r="Q17" t="str">
        <f t="shared" si="0"/>
        <v>ing</v>
      </c>
      <c r="R17" t="str">
        <f t="shared" si="1"/>
        <v>acke</v>
      </c>
      <c r="S17">
        <f t="shared" si="2"/>
        <v>6</v>
      </c>
      <c r="T17" t="str">
        <f t="shared" si="3"/>
        <v>Jacket</v>
      </c>
      <c r="U17">
        <f t="shared" si="4"/>
        <v>6</v>
      </c>
      <c r="V17" t="str">
        <f t="shared" si="5"/>
        <v>JACKET</v>
      </c>
      <c r="W17" t="str">
        <f t="shared" si="6"/>
        <v>jacket</v>
      </c>
      <c r="X17" t="str">
        <f t="shared" si="7"/>
        <v>Jacket</v>
      </c>
      <c r="Y17" t="str">
        <f t="shared" si="8"/>
        <v>West Bengal 8</v>
      </c>
      <c r="Z17" t="str">
        <f t="shared" si="9"/>
        <v>BrandA8</v>
      </c>
      <c r="AA17" t="str">
        <f t="shared" si="10"/>
        <v>BrandA 8</v>
      </c>
      <c r="AB17" t="str">
        <f t="shared" si="11"/>
        <v>West Bengal Mobile App</v>
      </c>
      <c r="AC17">
        <f t="shared" si="12"/>
        <v>6</v>
      </c>
      <c r="AD17">
        <f t="shared" si="13"/>
        <v>13</v>
      </c>
      <c r="AE17" t="str">
        <f t="shared" si="14"/>
        <v>Westpngal Mobile App</v>
      </c>
      <c r="AF17" t="s">
        <v>127</v>
      </c>
      <c r="AG17" t="s">
        <v>131</v>
      </c>
      <c r="AH17" t="s">
        <v>134</v>
      </c>
    </row>
    <row r="18" spans="1:34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t="s">
        <v>28</v>
      </c>
      <c r="Q18" t="str">
        <f t="shared" si="0"/>
        <v>UPI</v>
      </c>
      <c r="R18" t="str">
        <f t="shared" si="1"/>
        <v>acke</v>
      </c>
      <c r="S18">
        <f t="shared" si="2"/>
        <v>6</v>
      </c>
      <c r="T18" t="str">
        <f t="shared" si="3"/>
        <v>Jacket</v>
      </c>
      <c r="U18">
        <f t="shared" si="4"/>
        <v>6</v>
      </c>
      <c r="V18" t="str">
        <f t="shared" si="5"/>
        <v>JACKET</v>
      </c>
      <c r="W18" t="str">
        <f t="shared" si="6"/>
        <v>jacket</v>
      </c>
      <c r="X18" t="str">
        <f t="shared" si="7"/>
        <v>Jacket</v>
      </c>
      <c r="Y18" t="str">
        <f t="shared" si="8"/>
        <v>Maharashtra 2</v>
      </c>
      <c r="Z18" t="str">
        <f t="shared" si="9"/>
        <v>BrandD2</v>
      </c>
      <c r="AA18" t="str">
        <f t="shared" si="10"/>
        <v>BrandD 2</v>
      </c>
      <c r="AB18" t="str">
        <f t="shared" si="11"/>
        <v>Maharashtra Mobile App</v>
      </c>
      <c r="AC18">
        <f t="shared" si="12"/>
        <v>6</v>
      </c>
      <c r="AD18">
        <f t="shared" si="13"/>
        <v>1</v>
      </c>
      <c r="AE18" t="str">
        <f t="shared" si="14"/>
        <v>Mahaphtra Mobile App</v>
      </c>
      <c r="AF18" t="s">
        <v>130</v>
      </c>
      <c r="AG18" t="s">
        <v>131</v>
      </c>
      <c r="AH18" t="s">
        <v>134</v>
      </c>
    </row>
    <row r="19" spans="1:34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t="s">
        <v>28</v>
      </c>
      <c r="Q19" t="str">
        <f t="shared" si="0"/>
        <v>ard</v>
      </c>
      <c r="R19" t="str">
        <f t="shared" si="1"/>
        <v>urta</v>
      </c>
      <c r="S19">
        <f t="shared" si="2"/>
        <v>8</v>
      </c>
      <c r="T19" t="str">
        <f t="shared" si="3"/>
        <v>Curtains</v>
      </c>
      <c r="U19">
        <f t="shared" si="4"/>
        <v>8</v>
      </c>
      <c r="V19" t="str">
        <f t="shared" si="5"/>
        <v>CURTAINS</v>
      </c>
      <c r="W19" t="str">
        <f t="shared" si="6"/>
        <v>curtains</v>
      </c>
      <c r="X19" t="str">
        <f t="shared" si="7"/>
        <v>Curtains</v>
      </c>
      <c r="Y19" t="str">
        <f t="shared" si="8"/>
        <v>West Bengal 1</v>
      </c>
      <c r="Z19" t="str">
        <f t="shared" si="9"/>
        <v>BrandD1</v>
      </c>
      <c r="AA19" t="str">
        <f t="shared" si="10"/>
        <v>BrandD 1</v>
      </c>
      <c r="AB19" t="str">
        <f t="shared" si="11"/>
        <v>West Bengal Website</v>
      </c>
      <c r="AC19">
        <f t="shared" si="12"/>
        <v>2</v>
      </c>
      <c r="AD19" t="e">
        <f t="shared" si="13"/>
        <v>#VALUE!</v>
      </c>
      <c r="AE19" t="str">
        <f t="shared" si="14"/>
        <v>Westpngal Website</v>
      </c>
      <c r="AF19" t="s">
        <v>127</v>
      </c>
      <c r="AG19" t="s">
        <v>132</v>
      </c>
      <c r="AH19" t="s">
        <v>132</v>
      </c>
    </row>
    <row r="20" spans="1:34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t="s">
        <v>33</v>
      </c>
      <c r="Q20" t="str">
        <f t="shared" si="0"/>
        <v>ing</v>
      </c>
      <c r="R20" t="str">
        <f t="shared" si="1"/>
        <v>acke</v>
      </c>
      <c r="S20">
        <f t="shared" si="2"/>
        <v>6</v>
      </c>
      <c r="T20" t="str">
        <f t="shared" si="3"/>
        <v>Jacket</v>
      </c>
      <c r="U20">
        <f t="shared" si="4"/>
        <v>6</v>
      </c>
      <c r="V20" t="str">
        <f t="shared" si="5"/>
        <v>JACKET</v>
      </c>
      <c r="W20" t="str">
        <f t="shared" si="6"/>
        <v>jacket</v>
      </c>
      <c r="X20" t="str">
        <f t="shared" si="7"/>
        <v>Jacket</v>
      </c>
      <c r="Y20" t="str">
        <f t="shared" si="8"/>
        <v>Karnataka 2</v>
      </c>
      <c r="Z20" t="str">
        <f t="shared" si="9"/>
        <v>BrandE2</v>
      </c>
      <c r="AA20" t="str">
        <f t="shared" si="10"/>
        <v>BrandE 2</v>
      </c>
      <c r="AB20" t="str">
        <f t="shared" si="11"/>
        <v>Karnataka Marketplace</v>
      </c>
      <c r="AC20">
        <f t="shared" si="12"/>
        <v>5</v>
      </c>
      <c r="AD20">
        <f t="shared" si="13"/>
        <v>11</v>
      </c>
      <c r="AE20" t="str">
        <f t="shared" si="14"/>
        <v>Karnpka Marketplace</v>
      </c>
      <c r="AF20" t="s">
        <v>128</v>
      </c>
      <c r="AG20" t="s">
        <v>133</v>
      </c>
      <c r="AH20" t="s">
        <v>133</v>
      </c>
    </row>
    <row r="21" spans="1:34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t="s">
        <v>21</v>
      </c>
      <c r="Q21" t="str">
        <f t="shared" si="0"/>
        <v>ard</v>
      </c>
      <c r="R21" t="str">
        <f t="shared" si="1"/>
        <v>mart</v>
      </c>
      <c r="S21">
        <f t="shared" si="2"/>
        <v>10</v>
      </c>
      <c r="T21" t="str">
        <f t="shared" si="3"/>
        <v>Smartwatch</v>
      </c>
      <c r="U21">
        <f t="shared" si="4"/>
        <v>10</v>
      </c>
      <c r="V21" t="str">
        <f t="shared" si="5"/>
        <v>SMARTWATCH</v>
      </c>
      <c r="W21" t="str">
        <f t="shared" si="6"/>
        <v>smartwatch</v>
      </c>
      <c r="X21" t="str">
        <f t="shared" si="7"/>
        <v>Smartwatch</v>
      </c>
      <c r="Y21" t="str">
        <f t="shared" si="8"/>
        <v>Karnataka 2</v>
      </c>
      <c r="Z21" t="str">
        <f t="shared" si="9"/>
        <v>BrandA2</v>
      </c>
      <c r="AA21" t="str">
        <f t="shared" si="10"/>
        <v>BrandA 2</v>
      </c>
      <c r="AB21" t="str">
        <f t="shared" si="11"/>
        <v>Karnataka Mobile App</v>
      </c>
      <c r="AC21">
        <f t="shared" si="12"/>
        <v>6</v>
      </c>
      <c r="AD21">
        <f t="shared" si="13"/>
        <v>11</v>
      </c>
      <c r="AE21" t="str">
        <f t="shared" si="14"/>
        <v>Karnpka Mobile App</v>
      </c>
      <c r="AF21" t="s">
        <v>128</v>
      </c>
      <c r="AG21" t="s">
        <v>131</v>
      </c>
      <c r="AH21" t="s">
        <v>134</v>
      </c>
    </row>
    <row r="22" spans="1:34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t="s">
        <v>21</v>
      </c>
      <c r="Q22" t="str">
        <f t="shared" si="0"/>
        <v>ard</v>
      </c>
      <c r="R22" t="str">
        <f t="shared" si="1"/>
        <v>ipst</v>
      </c>
      <c r="S22">
        <f t="shared" si="2"/>
        <v>8</v>
      </c>
      <c r="T22" t="str">
        <f t="shared" si="3"/>
        <v>Lipstick</v>
      </c>
      <c r="U22">
        <f t="shared" si="4"/>
        <v>8</v>
      </c>
      <c r="V22" t="str">
        <f t="shared" si="5"/>
        <v>LIPSTICK</v>
      </c>
      <c r="W22" t="str">
        <f t="shared" si="6"/>
        <v>lipstick</v>
      </c>
      <c r="X22" t="str">
        <f t="shared" si="7"/>
        <v>Lipstick</v>
      </c>
      <c r="Y22" t="str">
        <f t="shared" si="8"/>
        <v>West Bengal 3</v>
      </c>
      <c r="Z22" t="str">
        <f t="shared" si="9"/>
        <v>BrandA3</v>
      </c>
      <c r="AA22" t="str">
        <f t="shared" si="10"/>
        <v>BrandA 3</v>
      </c>
      <c r="AB22" t="str">
        <f t="shared" si="11"/>
        <v>West Bengal Website</v>
      </c>
      <c r="AC22">
        <f t="shared" si="12"/>
        <v>2</v>
      </c>
      <c r="AD22" t="e">
        <f t="shared" si="13"/>
        <v>#VALUE!</v>
      </c>
      <c r="AE22" t="str">
        <f t="shared" si="14"/>
        <v>Westpngal Website</v>
      </c>
      <c r="AF22" t="s">
        <v>127</v>
      </c>
      <c r="AG22" t="s">
        <v>132</v>
      </c>
      <c r="AH22" t="s">
        <v>132</v>
      </c>
    </row>
    <row r="23" spans="1:34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t="s">
        <v>33</v>
      </c>
      <c r="Q23" t="str">
        <f t="shared" si="0"/>
        <v>ery</v>
      </c>
      <c r="R23" t="str">
        <f t="shared" si="1"/>
        <v>icti</v>
      </c>
      <c r="S23">
        <f t="shared" si="2"/>
        <v>13</v>
      </c>
      <c r="T23" t="str">
        <f t="shared" si="3"/>
        <v>Fiction Novel</v>
      </c>
      <c r="U23">
        <f t="shared" si="4"/>
        <v>13</v>
      </c>
      <c r="V23" t="str">
        <f t="shared" si="5"/>
        <v>FICTION NOVEL</v>
      </c>
      <c r="W23" t="str">
        <f t="shared" si="6"/>
        <v>fiction novel</v>
      </c>
      <c r="X23" t="str">
        <f t="shared" si="7"/>
        <v>Fiction Novel</v>
      </c>
      <c r="Y23" t="str">
        <f t="shared" si="8"/>
        <v>Tamil Nadu 7</v>
      </c>
      <c r="Z23" t="str">
        <f t="shared" si="9"/>
        <v>BrandE7</v>
      </c>
      <c r="AA23" t="str">
        <f t="shared" si="10"/>
        <v>BrandE 7</v>
      </c>
      <c r="AB23" t="str">
        <f t="shared" si="11"/>
        <v>Tamil Nadu Marketplace</v>
      </c>
      <c r="AC23">
        <f t="shared" si="12"/>
        <v>5</v>
      </c>
      <c r="AD23">
        <f t="shared" si="13"/>
        <v>3</v>
      </c>
      <c r="AE23" t="str">
        <f t="shared" si="14"/>
        <v>Tamipadu Marketplace</v>
      </c>
      <c r="AF23" t="s">
        <v>126</v>
      </c>
      <c r="AG23" t="s">
        <v>133</v>
      </c>
      <c r="AH23" t="s">
        <v>133</v>
      </c>
    </row>
    <row r="24" spans="1:34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t="s">
        <v>45</v>
      </c>
      <c r="Q24" t="str">
        <f t="shared" si="0"/>
        <v>ing</v>
      </c>
      <c r="R24" t="str">
        <f t="shared" si="1"/>
        <v>neak</v>
      </c>
      <c r="S24">
        <f t="shared" si="2"/>
        <v>8</v>
      </c>
      <c r="T24" t="str">
        <f t="shared" si="3"/>
        <v>Sneakers</v>
      </c>
      <c r="U24">
        <f t="shared" si="4"/>
        <v>8</v>
      </c>
      <c r="V24" t="str">
        <f t="shared" si="5"/>
        <v>SNEAKERS</v>
      </c>
      <c r="W24" t="str">
        <f t="shared" si="6"/>
        <v>sneakers</v>
      </c>
      <c r="X24" t="str">
        <f t="shared" si="7"/>
        <v>Sneakers</v>
      </c>
      <c r="Y24" t="str">
        <f t="shared" si="8"/>
        <v>Tamil Nadu 2</v>
      </c>
      <c r="Z24" t="str">
        <f t="shared" si="9"/>
        <v>BrandC2</v>
      </c>
      <c r="AA24" t="str">
        <f t="shared" si="10"/>
        <v>BrandC 2</v>
      </c>
      <c r="AB24" t="str">
        <f t="shared" si="11"/>
        <v>Tamil Nadu Mobile App</v>
      </c>
      <c r="AC24">
        <f t="shared" si="12"/>
        <v>6</v>
      </c>
      <c r="AD24">
        <f t="shared" si="13"/>
        <v>3</v>
      </c>
      <c r="AE24" t="str">
        <f t="shared" si="14"/>
        <v>Tamipadu Mobile App</v>
      </c>
      <c r="AF24" t="s">
        <v>126</v>
      </c>
      <c r="AG24" t="s">
        <v>131</v>
      </c>
      <c r="AH24" t="s">
        <v>134</v>
      </c>
    </row>
    <row r="25" spans="1:34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t="s">
        <v>45</v>
      </c>
      <c r="Q25" t="str">
        <f t="shared" si="0"/>
        <v>UPI</v>
      </c>
      <c r="R25" t="str">
        <f t="shared" si="1"/>
        <v>mart</v>
      </c>
      <c r="S25">
        <f t="shared" si="2"/>
        <v>10</v>
      </c>
      <c r="T25" t="str">
        <f t="shared" si="3"/>
        <v>Smartwatch</v>
      </c>
      <c r="U25">
        <f t="shared" si="4"/>
        <v>10</v>
      </c>
      <c r="V25" t="str">
        <f t="shared" si="5"/>
        <v>SMARTWATCH</v>
      </c>
      <c r="W25" t="str">
        <f t="shared" si="6"/>
        <v>smartwatch</v>
      </c>
      <c r="X25" t="str">
        <f t="shared" si="7"/>
        <v>Smartwatch</v>
      </c>
      <c r="Y25" t="str">
        <f t="shared" si="8"/>
        <v>Telangana 1</v>
      </c>
      <c r="Z25" t="str">
        <f t="shared" si="9"/>
        <v>BrandC1</v>
      </c>
      <c r="AA25" t="str">
        <f t="shared" si="10"/>
        <v>BrandC 1</v>
      </c>
      <c r="AB25" t="str">
        <f t="shared" si="11"/>
        <v>Telangana Mobile App</v>
      </c>
      <c r="AC25">
        <f t="shared" si="12"/>
        <v>6</v>
      </c>
      <c r="AD25">
        <f t="shared" si="13"/>
        <v>11</v>
      </c>
      <c r="AE25" t="str">
        <f t="shared" si="14"/>
        <v>Telapna Mobile App</v>
      </c>
      <c r="AF25" t="s">
        <v>129</v>
      </c>
      <c r="AG25" t="s">
        <v>131</v>
      </c>
      <c r="AH25" t="s">
        <v>134</v>
      </c>
    </row>
    <row r="26" spans="1:34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t="s">
        <v>45</v>
      </c>
      <c r="Q26" t="str">
        <f t="shared" si="0"/>
        <v>UPI</v>
      </c>
      <c r="R26" t="str">
        <f t="shared" si="1"/>
        <v>omic</v>
      </c>
      <c r="S26">
        <f t="shared" si="2"/>
        <v>6</v>
      </c>
      <c r="T26" t="str">
        <f t="shared" si="3"/>
        <v>Comics</v>
      </c>
      <c r="U26">
        <f t="shared" si="4"/>
        <v>6</v>
      </c>
      <c r="V26" t="str">
        <f t="shared" si="5"/>
        <v>COMICS</v>
      </c>
      <c r="W26" t="str">
        <f t="shared" si="6"/>
        <v>comics</v>
      </c>
      <c r="X26" t="str">
        <f t="shared" si="7"/>
        <v>Comics</v>
      </c>
      <c r="Y26" t="str">
        <f t="shared" si="8"/>
        <v>Karnataka 6</v>
      </c>
      <c r="Z26" t="str">
        <f t="shared" si="9"/>
        <v>BrandC6</v>
      </c>
      <c r="AA26" t="str">
        <f t="shared" si="10"/>
        <v>BrandC 6</v>
      </c>
      <c r="AB26" t="str">
        <f t="shared" si="11"/>
        <v>Karnataka Marketplace</v>
      </c>
      <c r="AC26">
        <f t="shared" si="12"/>
        <v>5</v>
      </c>
      <c r="AD26">
        <f t="shared" si="13"/>
        <v>11</v>
      </c>
      <c r="AE26" t="str">
        <f t="shared" si="14"/>
        <v>Karnpka Marketplace</v>
      </c>
      <c r="AF26" t="s">
        <v>128</v>
      </c>
      <c r="AG26" t="s">
        <v>133</v>
      </c>
      <c r="AH26" t="s">
        <v>133</v>
      </c>
    </row>
    <row r="27" spans="1:34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t="s">
        <v>33</v>
      </c>
      <c r="Q27" t="str">
        <f t="shared" si="0"/>
        <v>ing</v>
      </c>
      <c r="R27" t="str">
        <f t="shared" si="1"/>
        <v>erfu</v>
      </c>
      <c r="S27">
        <f t="shared" si="2"/>
        <v>7</v>
      </c>
      <c r="T27" t="str">
        <f t="shared" si="3"/>
        <v>Perfume</v>
      </c>
      <c r="U27">
        <f t="shared" si="4"/>
        <v>7</v>
      </c>
      <c r="V27" t="str">
        <f t="shared" si="5"/>
        <v>PERFUME</v>
      </c>
      <c r="W27" t="str">
        <f t="shared" si="6"/>
        <v>perfume</v>
      </c>
      <c r="X27" t="str">
        <f t="shared" si="7"/>
        <v>Perfume</v>
      </c>
      <c r="Y27" t="str">
        <f t="shared" si="8"/>
        <v>Delhi 9</v>
      </c>
      <c r="Z27" t="str">
        <f t="shared" si="9"/>
        <v>BrandE9</v>
      </c>
      <c r="AA27" t="str">
        <f t="shared" si="10"/>
        <v>BrandE 9</v>
      </c>
      <c r="AB27" t="str">
        <f t="shared" si="11"/>
        <v>Delhi Marketplace</v>
      </c>
      <c r="AC27">
        <f t="shared" si="12"/>
        <v>5</v>
      </c>
      <c r="AD27">
        <f t="shared" si="13"/>
        <v>7</v>
      </c>
      <c r="AE27" t="str">
        <f t="shared" si="14"/>
        <v>Delhparketplace</v>
      </c>
      <c r="AF27" t="s">
        <v>125</v>
      </c>
      <c r="AG27" t="s">
        <v>133</v>
      </c>
      <c r="AH27" t="s">
        <v>133</v>
      </c>
    </row>
    <row r="28" spans="1:34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t="s">
        <v>21</v>
      </c>
      <c r="Q28" t="str">
        <f t="shared" si="0"/>
        <v>ery</v>
      </c>
      <c r="R28" t="str">
        <f t="shared" si="1"/>
        <v>icti</v>
      </c>
      <c r="S28">
        <f t="shared" si="2"/>
        <v>13</v>
      </c>
      <c r="T28" t="str">
        <f t="shared" si="3"/>
        <v>Fiction Novel</v>
      </c>
      <c r="U28">
        <f t="shared" si="4"/>
        <v>13</v>
      </c>
      <c r="V28" t="str">
        <f t="shared" si="5"/>
        <v>FICTION NOVEL</v>
      </c>
      <c r="W28" t="str">
        <f t="shared" si="6"/>
        <v>fiction novel</v>
      </c>
      <c r="X28" t="str">
        <f t="shared" si="7"/>
        <v>Fiction Novel</v>
      </c>
      <c r="Y28" t="str">
        <f t="shared" si="8"/>
        <v>Telangana 3</v>
      </c>
      <c r="Z28" t="str">
        <f t="shared" si="9"/>
        <v>BrandA3</v>
      </c>
      <c r="AA28" t="str">
        <f t="shared" si="10"/>
        <v>BrandA 3</v>
      </c>
      <c r="AB28" t="str">
        <f t="shared" si="11"/>
        <v>Telangana Website</v>
      </c>
      <c r="AC28">
        <f t="shared" si="12"/>
        <v>2</v>
      </c>
      <c r="AD28" t="e">
        <f t="shared" si="13"/>
        <v>#VALUE!</v>
      </c>
      <c r="AE28" t="str">
        <f t="shared" si="14"/>
        <v>Telapna Website</v>
      </c>
      <c r="AF28" t="s">
        <v>129</v>
      </c>
      <c r="AG28" t="s">
        <v>132</v>
      </c>
      <c r="AH28" t="s">
        <v>132</v>
      </c>
    </row>
    <row r="29" spans="1:34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t="s">
        <v>33</v>
      </c>
      <c r="Q29" t="str">
        <f t="shared" si="0"/>
        <v>ard</v>
      </c>
      <c r="R29" t="str">
        <f t="shared" si="1"/>
        <v>mart</v>
      </c>
      <c r="S29">
        <f t="shared" si="2"/>
        <v>10</v>
      </c>
      <c r="T29" t="str">
        <f t="shared" si="3"/>
        <v>Smartwatch</v>
      </c>
      <c r="U29">
        <f t="shared" si="4"/>
        <v>10</v>
      </c>
      <c r="V29" t="str">
        <f t="shared" si="5"/>
        <v>SMARTWATCH</v>
      </c>
      <c r="W29" t="str">
        <f t="shared" si="6"/>
        <v>smartwatch</v>
      </c>
      <c r="X29" t="str">
        <f t="shared" si="7"/>
        <v>Smartwatch</v>
      </c>
      <c r="Y29" t="str">
        <f t="shared" si="8"/>
        <v>Tamil Nadu 6</v>
      </c>
      <c r="Z29" t="str">
        <f t="shared" si="9"/>
        <v>BrandE6</v>
      </c>
      <c r="AA29" t="str">
        <f t="shared" si="10"/>
        <v>BrandE 6</v>
      </c>
      <c r="AB29" t="str">
        <f t="shared" si="11"/>
        <v>Tamil Nadu Website</v>
      </c>
      <c r="AC29">
        <f t="shared" si="12"/>
        <v>2</v>
      </c>
      <c r="AD29">
        <f t="shared" si="13"/>
        <v>3</v>
      </c>
      <c r="AE29" t="str">
        <f t="shared" si="14"/>
        <v>Tamipadu Website</v>
      </c>
      <c r="AF29" t="s">
        <v>126</v>
      </c>
      <c r="AG29" t="s">
        <v>132</v>
      </c>
      <c r="AH29" t="s">
        <v>132</v>
      </c>
    </row>
    <row r="30" spans="1:34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t="s">
        <v>33</v>
      </c>
      <c r="Q30" t="str">
        <f t="shared" si="0"/>
        <v>ard</v>
      </c>
      <c r="R30" t="str">
        <f t="shared" si="1"/>
        <v>ootb</v>
      </c>
      <c r="S30">
        <f t="shared" si="2"/>
        <v>8</v>
      </c>
      <c r="T30" t="str">
        <f t="shared" si="3"/>
        <v>Football</v>
      </c>
      <c r="U30">
        <f t="shared" si="4"/>
        <v>8</v>
      </c>
      <c r="V30" t="str">
        <f t="shared" si="5"/>
        <v>FOOTBALL</v>
      </c>
      <c r="W30" t="str">
        <f t="shared" si="6"/>
        <v>football</v>
      </c>
      <c r="X30" t="str">
        <f t="shared" si="7"/>
        <v>Football</v>
      </c>
      <c r="Y30" t="str">
        <f t="shared" si="8"/>
        <v>West Bengal 3</v>
      </c>
      <c r="Z30" t="str">
        <f t="shared" si="9"/>
        <v>BrandE3</v>
      </c>
      <c r="AA30" t="str">
        <f t="shared" si="10"/>
        <v>BrandE 3</v>
      </c>
      <c r="AB30" t="str">
        <f t="shared" si="11"/>
        <v>West Bengal Mobile App</v>
      </c>
      <c r="AC30">
        <f t="shared" si="12"/>
        <v>6</v>
      </c>
      <c r="AD30">
        <f t="shared" si="13"/>
        <v>13</v>
      </c>
      <c r="AE30" t="str">
        <f t="shared" si="14"/>
        <v>Westpngal Mobile App</v>
      </c>
      <c r="AF30" t="s">
        <v>127</v>
      </c>
      <c r="AG30" t="s">
        <v>131</v>
      </c>
      <c r="AH30" t="s">
        <v>134</v>
      </c>
    </row>
    <row r="31" spans="1:34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t="s">
        <v>45</v>
      </c>
      <c r="Q31" t="str">
        <f t="shared" si="0"/>
        <v>ery</v>
      </c>
      <c r="R31" t="str">
        <f t="shared" si="1"/>
        <v>rick</v>
      </c>
      <c r="S31">
        <f t="shared" si="2"/>
        <v>11</v>
      </c>
      <c r="T31" t="str">
        <f t="shared" si="3"/>
        <v>Cricket Bat</v>
      </c>
      <c r="U31">
        <f t="shared" si="4"/>
        <v>11</v>
      </c>
      <c r="V31" t="str">
        <f t="shared" si="5"/>
        <v>CRICKET BAT</v>
      </c>
      <c r="W31" t="str">
        <f t="shared" si="6"/>
        <v>cricket bat</v>
      </c>
      <c r="X31" t="str">
        <f t="shared" si="7"/>
        <v>Cricket Bat</v>
      </c>
      <c r="Y31" t="str">
        <f t="shared" si="8"/>
        <v>Tamil Nadu 1</v>
      </c>
      <c r="Z31" t="str">
        <f t="shared" si="9"/>
        <v>BrandC1</v>
      </c>
      <c r="AA31" t="str">
        <f t="shared" si="10"/>
        <v>BrandC 1</v>
      </c>
      <c r="AB31" t="str">
        <f t="shared" si="11"/>
        <v>Tamil Nadu Marketplace</v>
      </c>
      <c r="AC31">
        <f t="shared" si="12"/>
        <v>5</v>
      </c>
      <c r="AD31">
        <f t="shared" si="13"/>
        <v>3</v>
      </c>
      <c r="AE31" t="str">
        <f t="shared" si="14"/>
        <v>Tamipadu Marketplace</v>
      </c>
      <c r="AF31" t="s">
        <v>126</v>
      </c>
      <c r="AG31" t="s">
        <v>133</v>
      </c>
      <c r="AH31" t="s">
        <v>133</v>
      </c>
    </row>
    <row r="32" spans="1:34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t="s">
        <v>47</v>
      </c>
      <c r="Q32" t="str">
        <f t="shared" si="0"/>
        <v>ing</v>
      </c>
      <c r="R32" t="str">
        <f t="shared" si="1"/>
        <v>extb</v>
      </c>
      <c r="S32">
        <f t="shared" si="2"/>
        <v>8</v>
      </c>
      <c r="T32" t="str">
        <f t="shared" si="3"/>
        <v>Textbook</v>
      </c>
      <c r="U32">
        <f t="shared" si="4"/>
        <v>8</v>
      </c>
      <c r="V32" t="str">
        <f t="shared" si="5"/>
        <v>TEXTBOOK</v>
      </c>
      <c r="W32" t="str">
        <f t="shared" si="6"/>
        <v>textbook</v>
      </c>
      <c r="X32" t="str">
        <f t="shared" si="7"/>
        <v>Textbook</v>
      </c>
      <c r="Y32" t="str">
        <f t="shared" si="8"/>
        <v>West Bengal 5</v>
      </c>
      <c r="Z32" t="str">
        <f t="shared" si="9"/>
        <v>BrandB5</v>
      </c>
      <c r="AA32" t="str">
        <f t="shared" si="10"/>
        <v>BrandB 5</v>
      </c>
      <c r="AB32" t="str">
        <f t="shared" si="11"/>
        <v>West Bengal Marketplace</v>
      </c>
      <c r="AC32">
        <f t="shared" si="12"/>
        <v>5</v>
      </c>
      <c r="AD32">
        <f t="shared" si="13"/>
        <v>13</v>
      </c>
      <c r="AE32" t="str">
        <f t="shared" si="14"/>
        <v>Westpngal Marketplace</v>
      </c>
      <c r="AF32" t="s">
        <v>127</v>
      </c>
      <c r="AG32" t="s">
        <v>133</v>
      </c>
      <c r="AH32" t="s">
        <v>133</v>
      </c>
    </row>
    <row r="33" spans="1:34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t="s">
        <v>21</v>
      </c>
      <c r="Q33" t="str">
        <f t="shared" si="0"/>
        <v>ard</v>
      </c>
      <c r="R33" t="str">
        <f t="shared" si="1"/>
        <v>edsh</v>
      </c>
      <c r="S33">
        <f t="shared" si="2"/>
        <v>8</v>
      </c>
      <c r="T33" t="str">
        <f t="shared" si="3"/>
        <v>Bedsheet</v>
      </c>
      <c r="U33">
        <f t="shared" si="4"/>
        <v>8</v>
      </c>
      <c r="V33" t="str">
        <f t="shared" si="5"/>
        <v>BEDSHEET</v>
      </c>
      <c r="W33" t="str">
        <f t="shared" si="6"/>
        <v>bedsheet</v>
      </c>
      <c r="X33" t="str">
        <f t="shared" si="7"/>
        <v>Bedsheet</v>
      </c>
      <c r="Y33" t="str">
        <f t="shared" si="8"/>
        <v>Telangana 4</v>
      </c>
      <c r="Z33" t="str">
        <f t="shared" si="9"/>
        <v>BrandA4</v>
      </c>
      <c r="AA33" t="str">
        <f t="shared" si="10"/>
        <v>BrandA 4</v>
      </c>
      <c r="AB33" t="str">
        <f t="shared" si="11"/>
        <v>Telangana Marketplace</v>
      </c>
      <c r="AC33">
        <f t="shared" si="12"/>
        <v>5</v>
      </c>
      <c r="AD33">
        <f t="shared" si="13"/>
        <v>11</v>
      </c>
      <c r="AE33" t="str">
        <f t="shared" si="14"/>
        <v>Telapna Marketplace</v>
      </c>
      <c r="AF33" t="s">
        <v>129</v>
      </c>
      <c r="AG33" t="s">
        <v>133</v>
      </c>
      <c r="AH33" t="s">
        <v>133</v>
      </c>
    </row>
    <row r="34" spans="1:34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t="s">
        <v>45</v>
      </c>
      <c r="Q34" t="str">
        <f t="shared" si="0"/>
        <v>UPI</v>
      </c>
      <c r="R34" t="str">
        <f t="shared" si="1"/>
        <v>omic</v>
      </c>
      <c r="S34">
        <f t="shared" si="2"/>
        <v>6</v>
      </c>
      <c r="T34" t="str">
        <f t="shared" si="3"/>
        <v>Comics</v>
      </c>
      <c r="U34">
        <f t="shared" si="4"/>
        <v>6</v>
      </c>
      <c r="V34" t="str">
        <f t="shared" si="5"/>
        <v>COMICS</v>
      </c>
      <c r="W34" t="str">
        <f t="shared" si="6"/>
        <v>comics</v>
      </c>
      <c r="X34" t="str">
        <f t="shared" si="7"/>
        <v>Comics</v>
      </c>
      <c r="Y34" t="str">
        <f t="shared" si="8"/>
        <v>Karnataka 7</v>
      </c>
      <c r="Z34" t="str">
        <f t="shared" si="9"/>
        <v>BrandC7</v>
      </c>
      <c r="AA34" t="str">
        <f t="shared" si="10"/>
        <v>BrandC 7</v>
      </c>
      <c r="AB34" t="str">
        <f t="shared" si="11"/>
        <v>Karnataka Mobile App</v>
      </c>
      <c r="AC34">
        <f t="shared" si="12"/>
        <v>6</v>
      </c>
      <c r="AD34">
        <f t="shared" si="13"/>
        <v>11</v>
      </c>
      <c r="AE34" t="str">
        <f t="shared" si="14"/>
        <v>Karnpka Mobile App</v>
      </c>
      <c r="AF34" t="s">
        <v>128</v>
      </c>
      <c r="AG34" t="s">
        <v>131</v>
      </c>
      <c r="AH34" t="s">
        <v>134</v>
      </c>
    </row>
    <row r="35" spans="1:34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t="s">
        <v>47</v>
      </c>
      <c r="Q35" t="str">
        <f t="shared" si="0"/>
        <v>ard</v>
      </c>
      <c r="R35" t="str">
        <f t="shared" si="1"/>
        <v>-Shi</v>
      </c>
      <c r="S35">
        <f t="shared" si="2"/>
        <v>7</v>
      </c>
      <c r="T35" t="str">
        <f t="shared" si="3"/>
        <v>T-Shirt</v>
      </c>
      <c r="U35">
        <f t="shared" si="4"/>
        <v>7</v>
      </c>
      <c r="V35" t="str">
        <f t="shared" si="5"/>
        <v>T-SHIRT</v>
      </c>
      <c r="W35" t="str">
        <f t="shared" si="6"/>
        <v>t-shirt</v>
      </c>
      <c r="X35" t="str">
        <f t="shared" si="7"/>
        <v>T-Shirt</v>
      </c>
      <c r="Y35" t="str">
        <f t="shared" si="8"/>
        <v>Tamil Nadu 6</v>
      </c>
      <c r="Z35" t="str">
        <f t="shared" si="9"/>
        <v>BrandB6</v>
      </c>
      <c r="AA35" t="str">
        <f t="shared" si="10"/>
        <v>BrandB 6</v>
      </c>
      <c r="AB35" t="str">
        <f t="shared" si="11"/>
        <v>Tamil Nadu Marketplace</v>
      </c>
      <c r="AC35">
        <f t="shared" si="12"/>
        <v>5</v>
      </c>
      <c r="AD35">
        <f t="shared" si="13"/>
        <v>3</v>
      </c>
      <c r="AE35" t="str">
        <f t="shared" si="14"/>
        <v>Tamipadu Marketplace</v>
      </c>
      <c r="AF35" t="s">
        <v>126</v>
      </c>
      <c r="AG35" t="s">
        <v>133</v>
      </c>
      <c r="AH35" t="s">
        <v>133</v>
      </c>
    </row>
    <row r="36" spans="1:34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t="s">
        <v>47</v>
      </c>
      <c r="Q36" t="str">
        <f t="shared" si="0"/>
        <v>UPI</v>
      </c>
      <c r="R36" t="str">
        <f t="shared" si="1"/>
        <v>-Shi</v>
      </c>
      <c r="S36">
        <f t="shared" si="2"/>
        <v>7</v>
      </c>
      <c r="T36" t="str">
        <f t="shared" si="3"/>
        <v>T-Shirt</v>
      </c>
      <c r="U36">
        <f t="shared" si="4"/>
        <v>7</v>
      </c>
      <c r="V36" t="str">
        <f t="shared" si="5"/>
        <v>T-SHIRT</v>
      </c>
      <c r="W36" t="str">
        <f t="shared" si="6"/>
        <v>t-shirt</v>
      </c>
      <c r="X36" t="str">
        <f t="shared" si="7"/>
        <v>T-Shirt</v>
      </c>
      <c r="Y36" t="str">
        <f t="shared" si="8"/>
        <v>West Bengal 7</v>
      </c>
      <c r="Z36" t="str">
        <f t="shared" si="9"/>
        <v>BrandB7</v>
      </c>
      <c r="AA36" t="str">
        <f t="shared" si="10"/>
        <v>BrandB 7</v>
      </c>
      <c r="AB36" t="str">
        <f t="shared" si="11"/>
        <v>West Bengal Marketplace</v>
      </c>
      <c r="AC36">
        <f t="shared" si="12"/>
        <v>5</v>
      </c>
      <c r="AD36">
        <f t="shared" si="13"/>
        <v>13</v>
      </c>
      <c r="AE36" t="str">
        <f t="shared" si="14"/>
        <v>Westpngal Marketplace</v>
      </c>
      <c r="AF36" t="s">
        <v>127</v>
      </c>
      <c r="AG36" t="s">
        <v>133</v>
      </c>
      <c r="AH36" t="s">
        <v>133</v>
      </c>
    </row>
    <row r="37" spans="1:34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t="s">
        <v>28</v>
      </c>
      <c r="Q37" t="str">
        <f t="shared" si="0"/>
        <v>ing</v>
      </c>
      <c r="R37" t="str">
        <f t="shared" si="1"/>
        <v>ootb</v>
      </c>
      <c r="S37">
        <f t="shared" si="2"/>
        <v>8</v>
      </c>
      <c r="T37" t="str">
        <f t="shared" si="3"/>
        <v>Football</v>
      </c>
      <c r="U37">
        <f t="shared" si="4"/>
        <v>8</v>
      </c>
      <c r="V37" t="str">
        <f t="shared" si="5"/>
        <v>FOOTBALL</v>
      </c>
      <c r="W37" t="str">
        <f t="shared" si="6"/>
        <v>football</v>
      </c>
      <c r="X37" t="str">
        <f t="shared" si="7"/>
        <v>Football</v>
      </c>
      <c r="Y37" t="str">
        <f t="shared" si="8"/>
        <v>Karnataka 5</v>
      </c>
      <c r="Z37" t="str">
        <f t="shared" si="9"/>
        <v>BrandD5</v>
      </c>
      <c r="AA37" t="str">
        <f t="shared" si="10"/>
        <v>BrandD 5</v>
      </c>
      <c r="AB37" t="str">
        <f t="shared" si="11"/>
        <v>Karnataka Mobile App</v>
      </c>
      <c r="AC37">
        <f t="shared" si="12"/>
        <v>6</v>
      </c>
      <c r="AD37">
        <f t="shared" si="13"/>
        <v>11</v>
      </c>
      <c r="AE37" t="str">
        <f t="shared" si="14"/>
        <v>Karnpka Mobile App</v>
      </c>
      <c r="AF37" t="s">
        <v>128</v>
      </c>
      <c r="AG37" t="s">
        <v>131</v>
      </c>
      <c r="AH37" t="s">
        <v>134</v>
      </c>
    </row>
    <row r="38" spans="1:34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t="s">
        <v>21</v>
      </c>
      <c r="Q38" t="str">
        <f t="shared" si="0"/>
        <v>ard</v>
      </c>
      <c r="R38" t="str">
        <f t="shared" si="1"/>
        <v>urta</v>
      </c>
      <c r="S38">
        <f t="shared" si="2"/>
        <v>8</v>
      </c>
      <c r="T38" t="str">
        <f t="shared" si="3"/>
        <v>Curtains</v>
      </c>
      <c r="U38">
        <f t="shared" si="4"/>
        <v>8</v>
      </c>
      <c r="V38" t="str">
        <f t="shared" si="5"/>
        <v>CURTAINS</v>
      </c>
      <c r="W38" t="str">
        <f t="shared" si="6"/>
        <v>curtains</v>
      </c>
      <c r="X38" t="str">
        <f t="shared" si="7"/>
        <v>Curtains</v>
      </c>
      <c r="Y38" t="str">
        <f t="shared" si="8"/>
        <v>Delhi 4</v>
      </c>
      <c r="Z38" t="str">
        <f t="shared" si="9"/>
        <v>BrandA4</v>
      </c>
      <c r="AA38" t="str">
        <f t="shared" si="10"/>
        <v>BrandA 4</v>
      </c>
      <c r="AB38" t="str">
        <f t="shared" si="11"/>
        <v>Delhi Website</v>
      </c>
      <c r="AC38">
        <f t="shared" si="12"/>
        <v>2</v>
      </c>
      <c r="AD38" t="e">
        <f t="shared" si="13"/>
        <v>#VALUE!</v>
      </c>
      <c r="AE38" t="str">
        <f t="shared" si="14"/>
        <v>Delhpebsite</v>
      </c>
      <c r="AF38" t="s">
        <v>125</v>
      </c>
      <c r="AG38" t="s">
        <v>132</v>
      </c>
      <c r="AH38" t="s">
        <v>132</v>
      </c>
    </row>
    <row r="39" spans="1:34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t="s">
        <v>47</v>
      </c>
      <c r="Q39" t="str">
        <f t="shared" si="0"/>
        <v>ing</v>
      </c>
      <c r="R39" t="str">
        <f t="shared" si="1"/>
        <v>apto</v>
      </c>
      <c r="S39">
        <f t="shared" si="2"/>
        <v>6</v>
      </c>
      <c r="T39" t="str">
        <f t="shared" si="3"/>
        <v>Laptop</v>
      </c>
      <c r="U39">
        <f t="shared" si="4"/>
        <v>6</v>
      </c>
      <c r="V39" t="str">
        <f t="shared" si="5"/>
        <v>LAPTOP</v>
      </c>
      <c r="W39" t="str">
        <f t="shared" si="6"/>
        <v>laptop</v>
      </c>
      <c r="X39" t="str">
        <f t="shared" si="7"/>
        <v>Laptop</v>
      </c>
      <c r="Y39" t="str">
        <f t="shared" si="8"/>
        <v>West Bengal 7</v>
      </c>
      <c r="Z39" t="str">
        <f t="shared" si="9"/>
        <v>BrandB7</v>
      </c>
      <c r="AA39" t="str">
        <f t="shared" si="10"/>
        <v>BrandB 7</v>
      </c>
      <c r="AB39" t="str">
        <f t="shared" si="11"/>
        <v>West Bengal Website</v>
      </c>
      <c r="AC39">
        <f t="shared" si="12"/>
        <v>2</v>
      </c>
      <c r="AD39" t="e">
        <f t="shared" si="13"/>
        <v>#VALUE!</v>
      </c>
      <c r="AE39" t="str">
        <f t="shared" si="14"/>
        <v>Westpngal Website</v>
      </c>
      <c r="AF39" t="s">
        <v>127</v>
      </c>
      <c r="AG39" t="s">
        <v>132</v>
      </c>
      <c r="AH39" t="s">
        <v>132</v>
      </c>
    </row>
    <row r="40" spans="1:34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t="s">
        <v>45</v>
      </c>
      <c r="Q40" t="str">
        <f t="shared" si="0"/>
        <v>ard</v>
      </c>
      <c r="R40" t="str">
        <f t="shared" si="1"/>
        <v>-Shi</v>
      </c>
      <c r="S40">
        <f t="shared" si="2"/>
        <v>7</v>
      </c>
      <c r="T40" t="str">
        <f t="shared" si="3"/>
        <v>T-Shirt</v>
      </c>
      <c r="U40">
        <f t="shared" si="4"/>
        <v>7</v>
      </c>
      <c r="V40" t="str">
        <f t="shared" si="5"/>
        <v>T-SHIRT</v>
      </c>
      <c r="W40" t="str">
        <f t="shared" si="6"/>
        <v>t-shirt</v>
      </c>
      <c r="X40" t="str">
        <f t="shared" si="7"/>
        <v>T-Shirt</v>
      </c>
      <c r="Y40" t="str">
        <f t="shared" si="8"/>
        <v>Telangana 7</v>
      </c>
      <c r="Z40" t="str">
        <f t="shared" si="9"/>
        <v>BrandC7</v>
      </c>
      <c r="AA40" t="str">
        <f t="shared" si="10"/>
        <v>BrandC 7</v>
      </c>
      <c r="AB40" t="str">
        <f t="shared" si="11"/>
        <v>Telangana Mobile App</v>
      </c>
      <c r="AC40">
        <f t="shared" si="12"/>
        <v>6</v>
      </c>
      <c r="AD40">
        <f t="shared" si="13"/>
        <v>11</v>
      </c>
      <c r="AE40" t="str">
        <f t="shared" si="14"/>
        <v>Telapna Mobile App</v>
      </c>
      <c r="AF40" t="s">
        <v>129</v>
      </c>
      <c r="AG40" t="s">
        <v>131</v>
      </c>
      <c r="AH40" t="s">
        <v>134</v>
      </c>
    </row>
    <row r="41" spans="1:34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t="s">
        <v>28</v>
      </c>
      <c r="Q41" t="str">
        <f t="shared" si="0"/>
        <v>ery</v>
      </c>
      <c r="R41" t="str">
        <f t="shared" si="1"/>
        <v>ootb</v>
      </c>
      <c r="S41">
        <f t="shared" si="2"/>
        <v>8</v>
      </c>
      <c r="T41" t="str">
        <f t="shared" si="3"/>
        <v>Football</v>
      </c>
      <c r="U41">
        <f t="shared" si="4"/>
        <v>8</v>
      </c>
      <c r="V41" t="str">
        <f t="shared" si="5"/>
        <v>FOOTBALL</v>
      </c>
      <c r="W41" t="str">
        <f t="shared" si="6"/>
        <v>football</v>
      </c>
      <c r="X41" t="str">
        <f t="shared" si="7"/>
        <v>Football</v>
      </c>
      <c r="Y41" t="str">
        <f t="shared" si="8"/>
        <v>Delhi 6</v>
      </c>
      <c r="Z41" t="str">
        <f t="shared" si="9"/>
        <v>BrandD6</v>
      </c>
      <c r="AA41" t="str">
        <f t="shared" si="10"/>
        <v>BrandD 6</v>
      </c>
      <c r="AB41" t="str">
        <f t="shared" si="11"/>
        <v>Delhi Marketplace</v>
      </c>
      <c r="AC41">
        <f t="shared" si="12"/>
        <v>5</v>
      </c>
      <c r="AD41">
        <f t="shared" si="13"/>
        <v>7</v>
      </c>
      <c r="AE41" t="str">
        <f t="shared" si="14"/>
        <v>Delhparketplace</v>
      </c>
      <c r="AF41" t="s">
        <v>125</v>
      </c>
      <c r="AG41" t="s">
        <v>133</v>
      </c>
      <c r="AH41" t="s">
        <v>133</v>
      </c>
    </row>
    <row r="42" spans="1:34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t="s">
        <v>21</v>
      </c>
      <c r="Q42" t="str">
        <f t="shared" si="0"/>
        <v>ard</v>
      </c>
      <c r="R42" t="str">
        <f t="shared" si="1"/>
        <v xml:space="preserve">ace </v>
      </c>
      <c r="S42">
        <f t="shared" si="2"/>
        <v>10</v>
      </c>
      <c r="T42" t="str">
        <f t="shared" si="3"/>
        <v>Face Cream</v>
      </c>
      <c r="U42">
        <f t="shared" si="4"/>
        <v>10</v>
      </c>
      <c r="V42" t="str">
        <f t="shared" si="5"/>
        <v>FACE CREAM</v>
      </c>
      <c r="W42" t="str">
        <f t="shared" si="6"/>
        <v>face cream</v>
      </c>
      <c r="X42" t="str">
        <f t="shared" si="7"/>
        <v>Face Cream</v>
      </c>
      <c r="Y42" t="str">
        <f t="shared" si="8"/>
        <v>Delhi 8</v>
      </c>
      <c r="Z42" t="str">
        <f t="shared" si="9"/>
        <v>BrandA8</v>
      </c>
      <c r="AA42" t="str">
        <f t="shared" si="10"/>
        <v>BrandA 8</v>
      </c>
      <c r="AB42" t="str">
        <f t="shared" si="11"/>
        <v>Delhi Mobile App</v>
      </c>
      <c r="AC42">
        <f t="shared" si="12"/>
        <v>6</v>
      </c>
      <c r="AD42">
        <f t="shared" si="13"/>
        <v>7</v>
      </c>
      <c r="AE42" t="str">
        <f t="shared" si="14"/>
        <v>Delhpobile App</v>
      </c>
      <c r="AF42" t="s">
        <v>125</v>
      </c>
      <c r="AG42" t="s">
        <v>131</v>
      </c>
      <c r="AH42" t="s">
        <v>134</v>
      </c>
    </row>
    <row r="43" spans="1:34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t="s">
        <v>33</v>
      </c>
      <c r="Q43" t="str">
        <f t="shared" si="0"/>
        <v>ery</v>
      </c>
      <c r="R43" t="str">
        <f t="shared" si="1"/>
        <v>ootb</v>
      </c>
      <c r="S43">
        <f t="shared" si="2"/>
        <v>8</v>
      </c>
      <c r="T43" t="str">
        <f t="shared" si="3"/>
        <v>Football</v>
      </c>
      <c r="U43">
        <f t="shared" si="4"/>
        <v>8</v>
      </c>
      <c r="V43" t="str">
        <f t="shared" si="5"/>
        <v>FOOTBALL</v>
      </c>
      <c r="W43" t="str">
        <f t="shared" si="6"/>
        <v>football</v>
      </c>
      <c r="X43" t="str">
        <f t="shared" si="7"/>
        <v>Football</v>
      </c>
      <c r="Y43" t="str">
        <f t="shared" si="8"/>
        <v>Maharashtra 4</v>
      </c>
      <c r="Z43" t="str">
        <f t="shared" si="9"/>
        <v>BrandE4</v>
      </c>
      <c r="AA43" t="str">
        <f t="shared" si="10"/>
        <v>BrandE 4</v>
      </c>
      <c r="AB43" t="str">
        <f t="shared" si="11"/>
        <v>Maharashtra Website</v>
      </c>
      <c r="AC43">
        <f t="shared" si="12"/>
        <v>2</v>
      </c>
      <c r="AD43">
        <f t="shared" si="13"/>
        <v>1</v>
      </c>
      <c r="AE43" t="str">
        <f t="shared" si="14"/>
        <v>Mahaphtra Website</v>
      </c>
      <c r="AF43" t="s">
        <v>130</v>
      </c>
      <c r="AG43" t="s">
        <v>132</v>
      </c>
      <c r="AH43" t="s">
        <v>132</v>
      </c>
    </row>
    <row r="44" spans="1:34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t="s">
        <v>45</v>
      </c>
      <c r="Q44" t="str">
        <f t="shared" si="0"/>
        <v>ery</v>
      </c>
      <c r="R44" t="str">
        <f t="shared" si="1"/>
        <v>-Shi</v>
      </c>
      <c r="S44">
        <f t="shared" si="2"/>
        <v>7</v>
      </c>
      <c r="T44" t="str">
        <f t="shared" si="3"/>
        <v>T-Shirt</v>
      </c>
      <c r="U44">
        <f t="shared" si="4"/>
        <v>7</v>
      </c>
      <c r="V44" t="str">
        <f t="shared" si="5"/>
        <v>T-SHIRT</v>
      </c>
      <c r="W44" t="str">
        <f t="shared" si="6"/>
        <v>t-shirt</v>
      </c>
      <c r="X44" t="str">
        <f t="shared" si="7"/>
        <v>T-Shirt</v>
      </c>
      <c r="Y44" t="str">
        <f t="shared" si="8"/>
        <v>Tamil Nadu 5</v>
      </c>
      <c r="Z44" t="str">
        <f t="shared" si="9"/>
        <v>BrandC5</v>
      </c>
      <c r="AA44" t="str">
        <f t="shared" si="10"/>
        <v>BrandC 5</v>
      </c>
      <c r="AB44" t="str">
        <f t="shared" si="11"/>
        <v>Tamil Nadu Website</v>
      </c>
      <c r="AC44">
        <f t="shared" si="12"/>
        <v>2</v>
      </c>
      <c r="AD44">
        <f t="shared" si="13"/>
        <v>3</v>
      </c>
      <c r="AE44" t="str">
        <f t="shared" si="14"/>
        <v>Tamipadu Website</v>
      </c>
      <c r="AF44" t="s">
        <v>126</v>
      </c>
      <c r="AG44" t="s">
        <v>132</v>
      </c>
      <c r="AH44" t="s">
        <v>132</v>
      </c>
    </row>
    <row r="45" spans="1:34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t="s">
        <v>47</v>
      </c>
      <c r="Q45" t="str">
        <f t="shared" si="0"/>
        <v>ing</v>
      </c>
      <c r="R45" t="str">
        <f t="shared" si="1"/>
        <v>-Shi</v>
      </c>
      <c r="S45">
        <f t="shared" si="2"/>
        <v>7</v>
      </c>
      <c r="T45" t="str">
        <f t="shared" si="3"/>
        <v>T-Shirt</v>
      </c>
      <c r="U45">
        <f t="shared" si="4"/>
        <v>7</v>
      </c>
      <c r="V45" t="str">
        <f t="shared" si="5"/>
        <v>T-SHIRT</v>
      </c>
      <c r="W45" t="str">
        <f t="shared" si="6"/>
        <v>t-shirt</v>
      </c>
      <c r="X45" t="str">
        <f t="shared" si="7"/>
        <v>T-Shirt</v>
      </c>
      <c r="Y45" t="str">
        <f t="shared" si="8"/>
        <v>West Bengal 4</v>
      </c>
      <c r="Z45" t="str">
        <f t="shared" si="9"/>
        <v>BrandB4</v>
      </c>
      <c r="AA45" t="str">
        <f t="shared" si="10"/>
        <v>BrandB 4</v>
      </c>
      <c r="AB45" t="str">
        <f t="shared" si="11"/>
        <v>West Bengal Mobile App</v>
      </c>
      <c r="AC45">
        <f t="shared" si="12"/>
        <v>6</v>
      </c>
      <c r="AD45">
        <f t="shared" si="13"/>
        <v>13</v>
      </c>
      <c r="AE45" t="str">
        <f t="shared" si="14"/>
        <v>Westpngal Mobile App</v>
      </c>
      <c r="AF45" t="s">
        <v>127</v>
      </c>
      <c r="AG45" t="s">
        <v>131</v>
      </c>
      <c r="AH45" t="s">
        <v>134</v>
      </c>
    </row>
    <row r="46" spans="1:34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t="s">
        <v>47</v>
      </c>
      <c r="Q46" t="str">
        <f t="shared" si="0"/>
        <v>ard</v>
      </c>
      <c r="R46" t="str">
        <f t="shared" si="1"/>
        <v>rick</v>
      </c>
      <c r="S46">
        <f t="shared" si="2"/>
        <v>11</v>
      </c>
      <c r="T46" t="str">
        <f t="shared" si="3"/>
        <v>Cricket Bat</v>
      </c>
      <c r="U46">
        <f t="shared" si="4"/>
        <v>11</v>
      </c>
      <c r="V46" t="str">
        <f t="shared" si="5"/>
        <v>CRICKET BAT</v>
      </c>
      <c r="W46" t="str">
        <f t="shared" si="6"/>
        <v>cricket bat</v>
      </c>
      <c r="X46" t="str">
        <f t="shared" si="7"/>
        <v>Cricket Bat</v>
      </c>
      <c r="Y46" t="str">
        <f t="shared" si="8"/>
        <v>Delhi 1</v>
      </c>
      <c r="Z46" t="str">
        <f t="shared" si="9"/>
        <v>BrandB1</v>
      </c>
      <c r="AA46" t="str">
        <f t="shared" si="10"/>
        <v>BrandB 1</v>
      </c>
      <c r="AB46" t="str">
        <f t="shared" si="11"/>
        <v>Delhi Mobile App</v>
      </c>
      <c r="AC46">
        <f t="shared" si="12"/>
        <v>6</v>
      </c>
      <c r="AD46">
        <f t="shared" si="13"/>
        <v>7</v>
      </c>
      <c r="AE46" t="str">
        <f t="shared" si="14"/>
        <v>Delhpobile App</v>
      </c>
      <c r="AF46" t="s">
        <v>125</v>
      </c>
      <c r="AG46" t="s">
        <v>131</v>
      </c>
      <c r="AH46" t="s">
        <v>134</v>
      </c>
    </row>
    <row r="47" spans="1:34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t="s">
        <v>45</v>
      </c>
      <c r="Q47" t="str">
        <f t="shared" si="0"/>
        <v>ard</v>
      </c>
      <c r="R47" t="str">
        <f t="shared" si="1"/>
        <v>mart</v>
      </c>
      <c r="S47">
        <f t="shared" si="2"/>
        <v>10</v>
      </c>
      <c r="T47" t="str">
        <f t="shared" si="3"/>
        <v>Smartwatch</v>
      </c>
      <c r="U47">
        <f t="shared" si="4"/>
        <v>10</v>
      </c>
      <c r="V47" t="str">
        <f t="shared" si="5"/>
        <v>SMARTWATCH</v>
      </c>
      <c r="W47" t="str">
        <f t="shared" si="6"/>
        <v>smartwatch</v>
      </c>
      <c r="X47" t="str">
        <f t="shared" si="7"/>
        <v>Smartwatch</v>
      </c>
      <c r="Y47" t="str">
        <f t="shared" si="8"/>
        <v>Maharashtra 8</v>
      </c>
      <c r="Z47" t="str">
        <f t="shared" si="9"/>
        <v>BrandC8</v>
      </c>
      <c r="AA47" t="str">
        <f t="shared" si="10"/>
        <v>BrandC 8</v>
      </c>
      <c r="AB47" t="str">
        <f t="shared" si="11"/>
        <v>Maharashtra Website</v>
      </c>
      <c r="AC47">
        <f t="shared" si="12"/>
        <v>2</v>
      </c>
      <c r="AD47">
        <f t="shared" si="13"/>
        <v>1</v>
      </c>
      <c r="AE47" t="str">
        <f t="shared" si="14"/>
        <v>Mahaphtra Website</v>
      </c>
      <c r="AF47" t="s">
        <v>130</v>
      </c>
      <c r="AG47" t="s">
        <v>132</v>
      </c>
      <c r="AH47" t="s">
        <v>132</v>
      </c>
    </row>
    <row r="48" spans="1:34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t="s">
        <v>47</v>
      </c>
      <c r="Q48" t="str">
        <f t="shared" si="0"/>
        <v>ard</v>
      </c>
      <c r="R48" t="str">
        <f t="shared" si="1"/>
        <v>extb</v>
      </c>
      <c r="S48">
        <f t="shared" si="2"/>
        <v>8</v>
      </c>
      <c r="T48" t="str">
        <f t="shared" si="3"/>
        <v>Textbook</v>
      </c>
      <c r="U48">
        <f t="shared" si="4"/>
        <v>8</v>
      </c>
      <c r="V48" t="str">
        <f t="shared" si="5"/>
        <v>TEXTBOOK</v>
      </c>
      <c r="W48" t="str">
        <f t="shared" si="6"/>
        <v>textbook</v>
      </c>
      <c r="X48" t="str">
        <f t="shared" si="7"/>
        <v>Textbook</v>
      </c>
      <c r="Y48" t="str">
        <f t="shared" si="8"/>
        <v>Telangana 1</v>
      </c>
      <c r="Z48" t="str">
        <f t="shared" si="9"/>
        <v>BrandB1</v>
      </c>
      <c r="AA48" t="str">
        <f t="shared" si="10"/>
        <v>BrandB 1</v>
      </c>
      <c r="AB48" t="str">
        <f t="shared" si="11"/>
        <v>Telangana Mobile App</v>
      </c>
      <c r="AC48">
        <f t="shared" si="12"/>
        <v>6</v>
      </c>
      <c r="AD48">
        <f t="shared" si="13"/>
        <v>11</v>
      </c>
      <c r="AE48" t="str">
        <f t="shared" si="14"/>
        <v>Telapna Mobile App</v>
      </c>
      <c r="AF48" t="s">
        <v>129</v>
      </c>
      <c r="AG48" t="s">
        <v>131</v>
      </c>
      <c r="AH48" t="s">
        <v>134</v>
      </c>
    </row>
    <row r="49" spans="1:34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t="s">
        <v>28</v>
      </c>
      <c r="Q49" t="str">
        <f t="shared" si="0"/>
        <v>UPI</v>
      </c>
      <c r="R49" t="str">
        <f t="shared" si="1"/>
        <v>eans</v>
      </c>
      <c r="S49">
        <f t="shared" si="2"/>
        <v>5</v>
      </c>
      <c r="T49" t="str">
        <f t="shared" si="3"/>
        <v>Jeans</v>
      </c>
      <c r="U49">
        <f t="shared" si="4"/>
        <v>5</v>
      </c>
      <c r="V49" t="str">
        <f t="shared" si="5"/>
        <v>JEANS</v>
      </c>
      <c r="W49" t="str">
        <f t="shared" si="6"/>
        <v>jeans</v>
      </c>
      <c r="X49" t="str">
        <f t="shared" si="7"/>
        <v>Jeans</v>
      </c>
      <c r="Y49" t="str">
        <f t="shared" si="8"/>
        <v>Karnataka 5</v>
      </c>
      <c r="Z49" t="str">
        <f t="shared" si="9"/>
        <v>BrandD5</v>
      </c>
      <c r="AA49" t="str">
        <f t="shared" si="10"/>
        <v>BrandD 5</v>
      </c>
      <c r="AB49" t="str">
        <f t="shared" si="11"/>
        <v>Karnataka Website</v>
      </c>
      <c r="AC49">
        <f t="shared" si="12"/>
        <v>2</v>
      </c>
      <c r="AD49" t="e">
        <f t="shared" si="13"/>
        <v>#VALUE!</v>
      </c>
      <c r="AE49" t="str">
        <f t="shared" si="14"/>
        <v>Karnpka Website</v>
      </c>
      <c r="AF49" t="s">
        <v>128</v>
      </c>
      <c r="AG49" t="s">
        <v>132</v>
      </c>
      <c r="AH49" t="s">
        <v>132</v>
      </c>
    </row>
    <row r="50" spans="1:34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t="s">
        <v>21</v>
      </c>
      <c r="Q50" t="str">
        <f t="shared" si="0"/>
        <v>ard</v>
      </c>
      <c r="R50" t="str">
        <f t="shared" si="1"/>
        <v>ootb</v>
      </c>
      <c r="S50">
        <f t="shared" si="2"/>
        <v>8</v>
      </c>
      <c r="T50" t="str">
        <f t="shared" si="3"/>
        <v>Football</v>
      </c>
      <c r="U50">
        <f t="shared" si="4"/>
        <v>8</v>
      </c>
      <c r="V50" t="str">
        <f t="shared" si="5"/>
        <v>FOOTBALL</v>
      </c>
      <c r="W50" t="str">
        <f t="shared" si="6"/>
        <v>football</v>
      </c>
      <c r="X50" t="str">
        <f t="shared" si="7"/>
        <v>Football</v>
      </c>
      <c r="Y50" t="str">
        <f t="shared" si="8"/>
        <v>West Bengal 6</v>
      </c>
      <c r="Z50" t="str">
        <f t="shared" si="9"/>
        <v>BrandA6</v>
      </c>
      <c r="AA50" t="str">
        <f t="shared" si="10"/>
        <v>BrandA 6</v>
      </c>
      <c r="AB50" t="str">
        <f t="shared" si="11"/>
        <v>West Bengal Mobile App</v>
      </c>
      <c r="AC50">
        <f t="shared" si="12"/>
        <v>6</v>
      </c>
      <c r="AD50">
        <f t="shared" si="13"/>
        <v>13</v>
      </c>
      <c r="AE50" t="str">
        <f t="shared" si="14"/>
        <v>Westpngal Mobile App</v>
      </c>
      <c r="AF50" t="s">
        <v>127</v>
      </c>
      <c r="AG50" t="s">
        <v>131</v>
      </c>
      <c r="AH50" t="s">
        <v>134</v>
      </c>
    </row>
    <row r="51" spans="1:34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t="s">
        <v>28</v>
      </c>
      <c r="Q51" t="str">
        <f t="shared" si="0"/>
        <v>ing</v>
      </c>
      <c r="R51" t="str">
        <f t="shared" si="1"/>
        <v>rick</v>
      </c>
      <c r="S51">
        <f t="shared" si="2"/>
        <v>11</v>
      </c>
      <c r="T51" t="str">
        <f t="shared" si="3"/>
        <v>Cricket Bat</v>
      </c>
      <c r="U51">
        <f t="shared" si="4"/>
        <v>11</v>
      </c>
      <c r="V51" t="str">
        <f t="shared" si="5"/>
        <v>CRICKET BAT</v>
      </c>
      <c r="W51" t="str">
        <f t="shared" si="6"/>
        <v>cricket bat</v>
      </c>
      <c r="X51" t="str">
        <f t="shared" si="7"/>
        <v>Cricket Bat</v>
      </c>
      <c r="Y51" t="str">
        <f t="shared" si="8"/>
        <v>Delhi 6</v>
      </c>
      <c r="Z51" t="str">
        <f t="shared" si="9"/>
        <v>BrandD6</v>
      </c>
      <c r="AA51" t="str">
        <f t="shared" si="10"/>
        <v>BrandD 6</v>
      </c>
      <c r="AB51" t="str">
        <f t="shared" si="11"/>
        <v>Delhi Mobile App</v>
      </c>
      <c r="AC51">
        <f t="shared" si="12"/>
        <v>6</v>
      </c>
      <c r="AD51">
        <f t="shared" si="13"/>
        <v>7</v>
      </c>
      <c r="AE51" t="str">
        <f t="shared" si="14"/>
        <v>Delhpobile App</v>
      </c>
      <c r="AF51" t="s">
        <v>125</v>
      </c>
      <c r="AG51" t="s">
        <v>131</v>
      </c>
      <c r="AH51" t="s">
        <v>134</v>
      </c>
    </row>
    <row r="52" spans="1:34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t="s">
        <v>47</v>
      </c>
      <c r="Q52" t="str">
        <f t="shared" si="0"/>
        <v>ery</v>
      </c>
      <c r="R52" t="str">
        <f t="shared" si="1"/>
        <v>ookw</v>
      </c>
      <c r="S52">
        <f t="shared" si="2"/>
        <v>12</v>
      </c>
      <c r="T52" t="str">
        <f t="shared" si="3"/>
        <v>Cookware Set</v>
      </c>
      <c r="U52">
        <f t="shared" si="4"/>
        <v>12</v>
      </c>
      <c r="V52" t="str">
        <f t="shared" si="5"/>
        <v>COOKWARE SET</v>
      </c>
      <c r="W52" t="str">
        <f t="shared" si="6"/>
        <v>cookware set</v>
      </c>
      <c r="X52" t="str">
        <f t="shared" si="7"/>
        <v>Cookware Set</v>
      </c>
      <c r="Y52" t="str">
        <f t="shared" si="8"/>
        <v>Tamil Nadu 5</v>
      </c>
      <c r="Z52" t="str">
        <f t="shared" si="9"/>
        <v>BrandB5</v>
      </c>
      <c r="AA52" t="str">
        <f t="shared" si="10"/>
        <v>BrandB 5</v>
      </c>
      <c r="AB52" t="str">
        <f t="shared" si="11"/>
        <v>Tamil Nadu Mobile App</v>
      </c>
      <c r="AC52">
        <f t="shared" si="12"/>
        <v>6</v>
      </c>
      <c r="AD52">
        <f t="shared" si="13"/>
        <v>3</v>
      </c>
      <c r="AE52" t="str">
        <f t="shared" si="14"/>
        <v>Tamipadu Mobile App</v>
      </c>
      <c r="AF52" t="s">
        <v>126</v>
      </c>
      <c r="AG52" t="s">
        <v>131</v>
      </c>
      <c r="AH52" t="s">
        <v>134</v>
      </c>
    </row>
    <row r="53" spans="1:34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t="s">
        <v>33</v>
      </c>
      <c r="Q53" t="str">
        <f t="shared" si="0"/>
        <v>ery</v>
      </c>
      <c r="R53" t="str">
        <f t="shared" si="1"/>
        <v>extb</v>
      </c>
      <c r="S53">
        <f t="shared" si="2"/>
        <v>8</v>
      </c>
      <c r="T53" t="str">
        <f t="shared" si="3"/>
        <v>Textbook</v>
      </c>
      <c r="U53">
        <f t="shared" si="4"/>
        <v>8</v>
      </c>
      <c r="V53" t="str">
        <f t="shared" si="5"/>
        <v>TEXTBOOK</v>
      </c>
      <c r="W53" t="str">
        <f t="shared" si="6"/>
        <v>textbook</v>
      </c>
      <c r="X53" t="str">
        <f t="shared" si="7"/>
        <v>Textbook</v>
      </c>
      <c r="Y53" t="str">
        <f t="shared" si="8"/>
        <v>Maharashtra 3</v>
      </c>
      <c r="Z53" t="str">
        <f t="shared" si="9"/>
        <v>BrandE3</v>
      </c>
      <c r="AA53" t="str">
        <f t="shared" si="10"/>
        <v>BrandE 3</v>
      </c>
      <c r="AB53" t="str">
        <f t="shared" si="11"/>
        <v>Maharashtra Website</v>
      </c>
      <c r="AC53">
        <f t="shared" si="12"/>
        <v>2</v>
      </c>
      <c r="AD53">
        <f t="shared" si="13"/>
        <v>1</v>
      </c>
      <c r="AE53" t="str">
        <f t="shared" si="14"/>
        <v>Mahaphtra Website</v>
      </c>
      <c r="AF53" t="s">
        <v>130</v>
      </c>
      <c r="AG53" t="s">
        <v>132</v>
      </c>
      <c r="AH53" t="s">
        <v>132</v>
      </c>
    </row>
    <row r="54" spans="1:34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t="s">
        <v>21</v>
      </c>
      <c r="Q54" t="str">
        <f t="shared" si="0"/>
        <v>ery</v>
      </c>
      <c r="R54" t="str">
        <f t="shared" si="1"/>
        <v xml:space="preserve">ace </v>
      </c>
      <c r="S54">
        <f t="shared" si="2"/>
        <v>10</v>
      </c>
      <c r="T54" t="str">
        <f t="shared" si="3"/>
        <v>Face Cream</v>
      </c>
      <c r="U54">
        <f t="shared" si="4"/>
        <v>10</v>
      </c>
      <c r="V54" t="str">
        <f t="shared" si="5"/>
        <v>FACE CREAM</v>
      </c>
      <c r="W54" t="str">
        <f t="shared" si="6"/>
        <v>face cream</v>
      </c>
      <c r="X54" t="str">
        <f t="shared" si="7"/>
        <v>Face Cream</v>
      </c>
      <c r="Y54" t="str">
        <f t="shared" si="8"/>
        <v>Delhi 5</v>
      </c>
      <c r="Z54" t="str">
        <f t="shared" si="9"/>
        <v>BrandA5</v>
      </c>
      <c r="AA54" t="str">
        <f t="shared" si="10"/>
        <v>BrandA 5</v>
      </c>
      <c r="AB54" t="str">
        <f t="shared" si="11"/>
        <v>Delhi Mobile App</v>
      </c>
      <c r="AC54">
        <f t="shared" si="12"/>
        <v>6</v>
      </c>
      <c r="AD54">
        <f t="shared" si="13"/>
        <v>7</v>
      </c>
      <c r="AE54" t="str">
        <f t="shared" si="14"/>
        <v>Delhpobile App</v>
      </c>
      <c r="AF54" t="s">
        <v>125</v>
      </c>
      <c r="AG54" t="s">
        <v>131</v>
      </c>
      <c r="AH54" t="s">
        <v>134</v>
      </c>
    </row>
    <row r="55" spans="1:34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t="s">
        <v>21</v>
      </c>
      <c r="Q55" t="str">
        <f t="shared" si="0"/>
        <v>ard</v>
      </c>
      <c r="R55" t="str">
        <f t="shared" si="1"/>
        <v>eadp</v>
      </c>
      <c r="S55">
        <f t="shared" si="2"/>
        <v>10</v>
      </c>
      <c r="T55" t="str">
        <f t="shared" si="3"/>
        <v>Headphones</v>
      </c>
      <c r="U55">
        <f t="shared" si="4"/>
        <v>10</v>
      </c>
      <c r="V55" t="str">
        <f t="shared" si="5"/>
        <v>HEADPHONES</v>
      </c>
      <c r="W55" t="str">
        <f t="shared" si="6"/>
        <v>headphones</v>
      </c>
      <c r="X55" t="str">
        <f t="shared" si="7"/>
        <v>Headphones</v>
      </c>
      <c r="Y55" t="str">
        <f t="shared" si="8"/>
        <v>Tamil Nadu 8</v>
      </c>
      <c r="Z55" t="str">
        <f t="shared" si="9"/>
        <v>BrandA8</v>
      </c>
      <c r="AA55" t="str">
        <f t="shared" si="10"/>
        <v>BrandA 8</v>
      </c>
      <c r="AB55" t="str">
        <f t="shared" si="11"/>
        <v>Tamil Nadu Website</v>
      </c>
      <c r="AC55">
        <f t="shared" si="12"/>
        <v>2</v>
      </c>
      <c r="AD55">
        <f t="shared" si="13"/>
        <v>3</v>
      </c>
      <c r="AE55" t="str">
        <f t="shared" si="14"/>
        <v>Tamipadu Website</v>
      </c>
      <c r="AF55" t="s">
        <v>126</v>
      </c>
      <c r="AG55" t="s">
        <v>132</v>
      </c>
      <c r="AH55" t="s">
        <v>132</v>
      </c>
    </row>
    <row r="56" spans="1:34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t="s">
        <v>45</v>
      </c>
      <c r="Q56" t="str">
        <f t="shared" si="0"/>
        <v>ard</v>
      </c>
      <c r="R56" t="str">
        <f t="shared" si="1"/>
        <v xml:space="preserve">ace </v>
      </c>
      <c r="S56">
        <f t="shared" si="2"/>
        <v>10</v>
      </c>
      <c r="T56" t="str">
        <f t="shared" si="3"/>
        <v>Face Cream</v>
      </c>
      <c r="U56">
        <f t="shared" si="4"/>
        <v>10</v>
      </c>
      <c r="V56" t="str">
        <f t="shared" si="5"/>
        <v>FACE CREAM</v>
      </c>
      <c r="W56" t="str">
        <f t="shared" si="6"/>
        <v>face cream</v>
      </c>
      <c r="X56" t="str">
        <f t="shared" si="7"/>
        <v>Face Cream</v>
      </c>
      <c r="Y56" t="str">
        <f t="shared" si="8"/>
        <v>Delhi 2</v>
      </c>
      <c r="Z56" t="str">
        <f t="shared" si="9"/>
        <v>BrandC2</v>
      </c>
      <c r="AA56" t="str">
        <f t="shared" si="10"/>
        <v>BrandC 2</v>
      </c>
      <c r="AB56" t="str">
        <f t="shared" si="11"/>
        <v>Delhi Website</v>
      </c>
      <c r="AC56">
        <f t="shared" si="12"/>
        <v>2</v>
      </c>
      <c r="AD56" t="e">
        <f t="shared" si="13"/>
        <v>#VALUE!</v>
      </c>
      <c r="AE56" t="str">
        <f t="shared" si="14"/>
        <v>Delhpebsite</v>
      </c>
      <c r="AF56" t="s">
        <v>125</v>
      </c>
      <c r="AG56" t="s">
        <v>132</v>
      </c>
      <c r="AH56" t="s">
        <v>132</v>
      </c>
    </row>
    <row r="57" spans="1:34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t="s">
        <v>45</v>
      </c>
      <c r="Q57" t="str">
        <f t="shared" si="0"/>
        <v>ing</v>
      </c>
      <c r="R57" t="str">
        <f t="shared" si="1"/>
        <v>extb</v>
      </c>
      <c r="S57">
        <f t="shared" si="2"/>
        <v>8</v>
      </c>
      <c r="T57" t="str">
        <f t="shared" si="3"/>
        <v>Textbook</v>
      </c>
      <c r="U57">
        <f t="shared" si="4"/>
        <v>8</v>
      </c>
      <c r="V57" t="str">
        <f t="shared" si="5"/>
        <v>TEXTBOOK</v>
      </c>
      <c r="W57" t="str">
        <f t="shared" si="6"/>
        <v>textbook</v>
      </c>
      <c r="X57" t="str">
        <f t="shared" si="7"/>
        <v>Textbook</v>
      </c>
      <c r="Y57" t="str">
        <f t="shared" si="8"/>
        <v>West Bengal 6</v>
      </c>
      <c r="Z57" t="str">
        <f t="shared" si="9"/>
        <v>BrandC6</v>
      </c>
      <c r="AA57" t="str">
        <f t="shared" si="10"/>
        <v>BrandC 6</v>
      </c>
      <c r="AB57" t="str">
        <f t="shared" si="11"/>
        <v>West Bengal Mobile App</v>
      </c>
      <c r="AC57">
        <f t="shared" si="12"/>
        <v>6</v>
      </c>
      <c r="AD57">
        <f t="shared" si="13"/>
        <v>13</v>
      </c>
      <c r="AE57" t="str">
        <f t="shared" si="14"/>
        <v>Westpngal Mobile App</v>
      </c>
      <c r="AF57" t="s">
        <v>127</v>
      </c>
      <c r="AG57" t="s">
        <v>131</v>
      </c>
      <c r="AH57" t="s">
        <v>134</v>
      </c>
    </row>
    <row r="58" spans="1:34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t="s">
        <v>33</v>
      </c>
      <c r="Q58" t="str">
        <f t="shared" si="0"/>
        <v>ard</v>
      </c>
      <c r="R58" t="str">
        <f t="shared" si="1"/>
        <v>icti</v>
      </c>
      <c r="S58">
        <f t="shared" si="2"/>
        <v>13</v>
      </c>
      <c r="T58" t="str">
        <f t="shared" si="3"/>
        <v>Fiction Novel</v>
      </c>
      <c r="U58">
        <f t="shared" si="4"/>
        <v>13</v>
      </c>
      <c r="V58" t="str">
        <f t="shared" si="5"/>
        <v>FICTION NOVEL</v>
      </c>
      <c r="W58" t="str">
        <f t="shared" si="6"/>
        <v>fiction novel</v>
      </c>
      <c r="X58" t="str">
        <f t="shared" si="7"/>
        <v>Fiction Novel</v>
      </c>
      <c r="Y58" t="str">
        <f t="shared" si="8"/>
        <v>West Bengal 9</v>
      </c>
      <c r="Z58" t="str">
        <f t="shared" si="9"/>
        <v>BrandE9</v>
      </c>
      <c r="AA58" t="str">
        <f t="shared" si="10"/>
        <v>BrandE 9</v>
      </c>
      <c r="AB58" t="str">
        <f t="shared" si="11"/>
        <v>West Bengal Mobile App</v>
      </c>
      <c r="AC58">
        <f t="shared" si="12"/>
        <v>6</v>
      </c>
      <c r="AD58">
        <f t="shared" si="13"/>
        <v>13</v>
      </c>
      <c r="AE58" t="str">
        <f t="shared" si="14"/>
        <v>Westpngal Mobile App</v>
      </c>
      <c r="AF58" t="s">
        <v>127</v>
      </c>
      <c r="AG58" t="s">
        <v>131</v>
      </c>
      <c r="AH58" t="s">
        <v>134</v>
      </c>
    </row>
    <row r="59" spans="1:34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t="s">
        <v>21</v>
      </c>
      <c r="Q59" t="str">
        <f t="shared" si="0"/>
        <v>UPI</v>
      </c>
      <c r="R59" t="str">
        <f t="shared" si="1"/>
        <v>omic</v>
      </c>
      <c r="S59">
        <f t="shared" si="2"/>
        <v>6</v>
      </c>
      <c r="T59" t="str">
        <f t="shared" si="3"/>
        <v>Comics</v>
      </c>
      <c r="U59">
        <f t="shared" si="4"/>
        <v>6</v>
      </c>
      <c r="V59" t="str">
        <f t="shared" si="5"/>
        <v>COMICS</v>
      </c>
      <c r="W59" t="str">
        <f t="shared" si="6"/>
        <v>comics</v>
      </c>
      <c r="X59" t="str">
        <f t="shared" si="7"/>
        <v>Comics</v>
      </c>
      <c r="Y59" t="str">
        <f t="shared" si="8"/>
        <v>West Bengal 8</v>
      </c>
      <c r="Z59" t="str">
        <f t="shared" si="9"/>
        <v>BrandA8</v>
      </c>
      <c r="AA59" t="str">
        <f t="shared" si="10"/>
        <v>BrandA 8</v>
      </c>
      <c r="AB59" t="str">
        <f t="shared" si="11"/>
        <v>West Bengal Website</v>
      </c>
      <c r="AC59">
        <f t="shared" si="12"/>
        <v>2</v>
      </c>
      <c r="AD59" t="e">
        <f t="shared" si="13"/>
        <v>#VALUE!</v>
      </c>
      <c r="AE59" t="str">
        <f t="shared" si="14"/>
        <v>Westpngal Website</v>
      </c>
      <c r="AF59" t="s">
        <v>127</v>
      </c>
      <c r="AG59" t="s">
        <v>132</v>
      </c>
      <c r="AH59" t="s">
        <v>132</v>
      </c>
    </row>
    <row r="60" spans="1:34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t="s">
        <v>33</v>
      </c>
      <c r="Q60" t="str">
        <f t="shared" si="0"/>
        <v>ing</v>
      </c>
      <c r="R60" t="str">
        <f t="shared" si="1"/>
        <v xml:space="preserve">ace </v>
      </c>
      <c r="S60">
        <f t="shared" si="2"/>
        <v>10</v>
      </c>
      <c r="T60" t="str">
        <f t="shared" si="3"/>
        <v>Face Cream</v>
      </c>
      <c r="U60">
        <f t="shared" si="4"/>
        <v>10</v>
      </c>
      <c r="V60" t="str">
        <f t="shared" si="5"/>
        <v>FACE CREAM</v>
      </c>
      <c r="W60" t="str">
        <f t="shared" si="6"/>
        <v>face cream</v>
      </c>
      <c r="X60" t="str">
        <f t="shared" si="7"/>
        <v>Face Cream</v>
      </c>
      <c r="Y60" t="str">
        <f t="shared" si="8"/>
        <v>Telangana 8</v>
      </c>
      <c r="Z60" t="str">
        <f t="shared" si="9"/>
        <v>BrandE8</v>
      </c>
      <c r="AA60" t="str">
        <f t="shared" si="10"/>
        <v>BrandE 8</v>
      </c>
      <c r="AB60" t="str">
        <f t="shared" si="11"/>
        <v>Telangana Website</v>
      </c>
      <c r="AC60">
        <f t="shared" si="12"/>
        <v>2</v>
      </c>
      <c r="AD60" t="e">
        <f t="shared" si="13"/>
        <v>#VALUE!</v>
      </c>
      <c r="AE60" t="str">
        <f t="shared" si="14"/>
        <v>Telapna Website</v>
      </c>
      <c r="AF60" t="s">
        <v>129</v>
      </c>
      <c r="AG60" t="s">
        <v>132</v>
      </c>
      <c r="AH60" t="s">
        <v>132</v>
      </c>
    </row>
    <row r="61" spans="1:34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t="s">
        <v>45</v>
      </c>
      <c r="Q61" t="str">
        <f t="shared" si="0"/>
        <v>ing</v>
      </c>
      <c r="R61" t="str">
        <f t="shared" si="1"/>
        <v>extb</v>
      </c>
      <c r="S61">
        <f t="shared" si="2"/>
        <v>8</v>
      </c>
      <c r="T61" t="str">
        <f t="shared" si="3"/>
        <v>Textbook</v>
      </c>
      <c r="U61">
        <f t="shared" si="4"/>
        <v>8</v>
      </c>
      <c r="V61" t="str">
        <f t="shared" si="5"/>
        <v>TEXTBOOK</v>
      </c>
      <c r="W61" t="str">
        <f t="shared" si="6"/>
        <v>textbook</v>
      </c>
      <c r="X61" t="str">
        <f t="shared" si="7"/>
        <v>Textbook</v>
      </c>
      <c r="Y61" t="str">
        <f t="shared" si="8"/>
        <v>Telangana 8</v>
      </c>
      <c r="Z61" t="str">
        <f t="shared" si="9"/>
        <v>BrandC8</v>
      </c>
      <c r="AA61" t="str">
        <f t="shared" si="10"/>
        <v>BrandC 8</v>
      </c>
      <c r="AB61" t="str">
        <f t="shared" si="11"/>
        <v>Telangana Marketplace</v>
      </c>
      <c r="AC61">
        <f t="shared" si="12"/>
        <v>5</v>
      </c>
      <c r="AD61">
        <f t="shared" si="13"/>
        <v>11</v>
      </c>
      <c r="AE61" t="str">
        <f t="shared" si="14"/>
        <v>Telapna Marketplace</v>
      </c>
      <c r="AF61" t="s">
        <v>129</v>
      </c>
      <c r="AG61" t="s">
        <v>133</v>
      </c>
      <c r="AH61" t="s">
        <v>133</v>
      </c>
    </row>
    <row r="62" spans="1:34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t="s">
        <v>45</v>
      </c>
      <c r="Q62" t="str">
        <f t="shared" si="0"/>
        <v>ing</v>
      </c>
      <c r="R62" t="str">
        <f t="shared" si="1"/>
        <v xml:space="preserve">oga </v>
      </c>
      <c r="S62">
        <f t="shared" si="2"/>
        <v>8</v>
      </c>
      <c r="T62" t="str">
        <f t="shared" si="3"/>
        <v>Yoga Mat</v>
      </c>
      <c r="U62">
        <f t="shared" si="4"/>
        <v>8</v>
      </c>
      <c r="V62" t="str">
        <f t="shared" si="5"/>
        <v>YOGA MAT</v>
      </c>
      <c r="W62" t="str">
        <f t="shared" si="6"/>
        <v>yoga mat</v>
      </c>
      <c r="X62" t="str">
        <f t="shared" si="7"/>
        <v>Yoga Mat</v>
      </c>
      <c r="Y62" t="str">
        <f t="shared" si="8"/>
        <v>Maharashtra 7</v>
      </c>
      <c r="Z62" t="str">
        <f t="shared" si="9"/>
        <v>BrandC7</v>
      </c>
      <c r="AA62" t="str">
        <f t="shared" si="10"/>
        <v>BrandC 7</v>
      </c>
      <c r="AB62" t="str">
        <f t="shared" si="11"/>
        <v>Maharashtra Website</v>
      </c>
      <c r="AC62">
        <f t="shared" si="12"/>
        <v>2</v>
      </c>
      <c r="AD62">
        <f t="shared" si="13"/>
        <v>1</v>
      </c>
      <c r="AE62" t="str">
        <f t="shared" si="14"/>
        <v>Mahaphtra Website</v>
      </c>
      <c r="AF62" t="s">
        <v>130</v>
      </c>
      <c r="AG62" t="s">
        <v>132</v>
      </c>
      <c r="AH62" t="s">
        <v>132</v>
      </c>
    </row>
    <row r="63" spans="1:34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t="s">
        <v>21</v>
      </c>
      <c r="Q63" t="str">
        <f t="shared" si="0"/>
        <v>ery</v>
      </c>
      <c r="R63" t="str">
        <f t="shared" si="1"/>
        <v>ipst</v>
      </c>
      <c r="S63">
        <f t="shared" si="2"/>
        <v>8</v>
      </c>
      <c r="T63" t="str">
        <f t="shared" si="3"/>
        <v>Lipstick</v>
      </c>
      <c r="U63">
        <f t="shared" si="4"/>
        <v>8</v>
      </c>
      <c r="V63" t="str">
        <f t="shared" si="5"/>
        <v>LIPSTICK</v>
      </c>
      <c r="W63" t="str">
        <f t="shared" si="6"/>
        <v>lipstick</v>
      </c>
      <c r="X63" t="str">
        <f t="shared" si="7"/>
        <v>Lipstick</v>
      </c>
      <c r="Y63" t="str">
        <f t="shared" si="8"/>
        <v>West Bengal 8</v>
      </c>
      <c r="Z63" t="str">
        <f t="shared" si="9"/>
        <v>BrandA8</v>
      </c>
      <c r="AA63" t="str">
        <f t="shared" si="10"/>
        <v>BrandA 8</v>
      </c>
      <c r="AB63" t="str">
        <f t="shared" si="11"/>
        <v>West Bengal Marketplace</v>
      </c>
      <c r="AC63">
        <f t="shared" si="12"/>
        <v>5</v>
      </c>
      <c r="AD63">
        <f t="shared" si="13"/>
        <v>13</v>
      </c>
      <c r="AE63" t="str">
        <f t="shared" si="14"/>
        <v>Westpngal Marketplace</v>
      </c>
      <c r="AF63" t="s">
        <v>127</v>
      </c>
      <c r="AG63" t="s">
        <v>133</v>
      </c>
      <c r="AH63" t="s">
        <v>133</v>
      </c>
    </row>
    <row r="64" spans="1:34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t="s">
        <v>28</v>
      </c>
      <c r="Q64" t="str">
        <f t="shared" si="0"/>
        <v>ing</v>
      </c>
      <c r="R64" t="str">
        <f t="shared" si="1"/>
        <v>extb</v>
      </c>
      <c r="S64">
        <f t="shared" si="2"/>
        <v>8</v>
      </c>
      <c r="T64" t="str">
        <f t="shared" si="3"/>
        <v>Textbook</v>
      </c>
      <c r="U64">
        <f t="shared" si="4"/>
        <v>8</v>
      </c>
      <c r="V64" t="str">
        <f t="shared" si="5"/>
        <v>TEXTBOOK</v>
      </c>
      <c r="W64" t="str">
        <f t="shared" si="6"/>
        <v>textbook</v>
      </c>
      <c r="X64" t="str">
        <f t="shared" si="7"/>
        <v>Textbook</v>
      </c>
      <c r="Y64" t="str">
        <f t="shared" si="8"/>
        <v>Tamil Nadu 6</v>
      </c>
      <c r="Z64" t="str">
        <f t="shared" si="9"/>
        <v>BrandD6</v>
      </c>
      <c r="AA64" t="str">
        <f t="shared" si="10"/>
        <v>BrandD 6</v>
      </c>
      <c r="AB64" t="str">
        <f t="shared" si="11"/>
        <v>Tamil Nadu Marketplace</v>
      </c>
      <c r="AC64">
        <f t="shared" si="12"/>
        <v>5</v>
      </c>
      <c r="AD64">
        <f t="shared" si="13"/>
        <v>3</v>
      </c>
      <c r="AE64" t="str">
        <f t="shared" si="14"/>
        <v>Tamipadu Marketplace</v>
      </c>
      <c r="AF64" t="s">
        <v>126</v>
      </c>
      <c r="AG64" t="s">
        <v>133</v>
      </c>
      <c r="AH64" t="s">
        <v>133</v>
      </c>
    </row>
    <row r="65" spans="1:34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t="s">
        <v>47</v>
      </c>
      <c r="Q65" t="str">
        <f t="shared" si="0"/>
        <v>ard</v>
      </c>
      <c r="R65" t="str">
        <f t="shared" si="1"/>
        <v xml:space="preserve">oga </v>
      </c>
      <c r="S65">
        <f t="shared" si="2"/>
        <v>8</v>
      </c>
      <c r="T65" t="str">
        <f t="shared" si="3"/>
        <v>Yoga Mat</v>
      </c>
      <c r="U65">
        <f t="shared" si="4"/>
        <v>8</v>
      </c>
      <c r="V65" t="str">
        <f t="shared" si="5"/>
        <v>YOGA MAT</v>
      </c>
      <c r="W65" t="str">
        <f t="shared" si="6"/>
        <v>yoga mat</v>
      </c>
      <c r="X65" t="str">
        <f t="shared" si="7"/>
        <v>Yoga Mat</v>
      </c>
      <c r="Y65" t="str">
        <f t="shared" si="8"/>
        <v>Delhi 2</v>
      </c>
      <c r="Z65" t="str">
        <f t="shared" si="9"/>
        <v>BrandB2</v>
      </c>
      <c r="AA65" t="str">
        <f t="shared" si="10"/>
        <v>BrandB 2</v>
      </c>
      <c r="AB65" t="str">
        <f t="shared" si="11"/>
        <v>Delhi Marketplace</v>
      </c>
      <c r="AC65">
        <f t="shared" si="12"/>
        <v>5</v>
      </c>
      <c r="AD65">
        <f t="shared" si="13"/>
        <v>7</v>
      </c>
      <c r="AE65" t="str">
        <f t="shared" si="14"/>
        <v>Delhparketplace</v>
      </c>
      <c r="AF65" t="s">
        <v>125</v>
      </c>
      <c r="AG65" t="s">
        <v>133</v>
      </c>
      <c r="AH65" t="s">
        <v>133</v>
      </c>
    </row>
    <row r="66" spans="1:34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t="s">
        <v>45</v>
      </c>
      <c r="Q66" t="str">
        <f t="shared" si="0"/>
        <v>ing</v>
      </c>
      <c r="R66" t="str">
        <f t="shared" si="1"/>
        <v>edsh</v>
      </c>
      <c r="S66">
        <f t="shared" si="2"/>
        <v>8</v>
      </c>
      <c r="T66" t="str">
        <f t="shared" si="3"/>
        <v>Bedsheet</v>
      </c>
      <c r="U66">
        <f t="shared" si="4"/>
        <v>8</v>
      </c>
      <c r="V66" t="str">
        <f t="shared" si="5"/>
        <v>BEDSHEET</v>
      </c>
      <c r="W66" t="str">
        <f t="shared" si="6"/>
        <v>bedsheet</v>
      </c>
      <c r="X66" t="str">
        <f t="shared" si="7"/>
        <v>Bedsheet</v>
      </c>
      <c r="Y66" t="str">
        <f t="shared" si="8"/>
        <v>Karnataka 2</v>
      </c>
      <c r="Z66" t="str">
        <f t="shared" si="9"/>
        <v>BrandC2</v>
      </c>
      <c r="AA66" t="str">
        <f t="shared" si="10"/>
        <v>BrandC 2</v>
      </c>
      <c r="AB66" t="str">
        <f t="shared" si="11"/>
        <v>Karnataka Mobile App</v>
      </c>
      <c r="AC66">
        <f t="shared" si="12"/>
        <v>6</v>
      </c>
      <c r="AD66">
        <f t="shared" si="13"/>
        <v>11</v>
      </c>
      <c r="AE66" t="str">
        <f t="shared" si="14"/>
        <v>Karnpka Mobile App</v>
      </c>
      <c r="AF66" t="s">
        <v>128</v>
      </c>
      <c r="AG66" t="s">
        <v>131</v>
      </c>
      <c r="AH66" t="s">
        <v>134</v>
      </c>
    </row>
    <row r="67" spans="1:34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t="s">
        <v>45</v>
      </c>
      <c r="Q67" t="str">
        <f t="shared" ref="Q67:Q130" si="15">RIGHT(H67,3)</f>
        <v>ery</v>
      </c>
      <c r="R67" t="str">
        <f t="shared" ref="R67:R130" si="16">MID(J67,2,4)</f>
        <v>iogr</v>
      </c>
      <c r="S67">
        <f t="shared" ref="S67:S130" si="17">LEN(J67)</f>
        <v>9</v>
      </c>
      <c r="T67" t="str">
        <f t="shared" ref="T67:T130" si="18">TRIM(J67)</f>
        <v>Biography</v>
      </c>
      <c r="U67">
        <f t="shared" ref="U67:U130" si="19">LEN(T67)</f>
        <v>9</v>
      </c>
      <c r="V67" t="str">
        <f t="shared" ref="V67:V130" si="20">UPPER(T67)</f>
        <v>BIOGRAPHY</v>
      </c>
      <c r="W67" t="str">
        <f t="shared" ref="W67:W130" si="21">LOWER(V67)</f>
        <v>biography</v>
      </c>
      <c r="X67" t="str">
        <f t="shared" ref="X67:X130" si="22">PROPER(W67)</f>
        <v>Biography</v>
      </c>
      <c r="Y67" t="str">
        <f t="shared" ref="Y67:Y130" si="23">_xlfn.CONCAT(F67," ",L67)</f>
        <v>Tamil Nadu 8</v>
      </c>
      <c r="Z67" t="str">
        <f t="shared" ref="Z67:Z130" si="24">_xlfn.CONCAT(K67:L67)</f>
        <v>BrandC8</v>
      </c>
      <c r="AA67" t="str">
        <f t="shared" ref="AA67:AA130" si="25">CONCATENATE(K67," ",L67)</f>
        <v>BrandC 8</v>
      </c>
      <c r="AB67" t="str">
        <f t="shared" ref="AB67:AB130" si="26">_xlfn.TEXTJOIN(" ",TRUE,F67:G67)</f>
        <v>Tamil Nadu Mobile App</v>
      </c>
      <c r="AC67">
        <f t="shared" ref="AC67:AC130" si="27">FIND("e",G67)</f>
        <v>6</v>
      </c>
      <c r="AD67">
        <f t="shared" ref="AD67:AD130" si="28">SEARCH("M",AB67)</f>
        <v>3</v>
      </c>
      <c r="AE67" t="str">
        <f t="shared" ref="AE67:AE130" si="29">REPLACE(AB67,5,3,"p")</f>
        <v>Tamipadu Mobile App</v>
      </c>
      <c r="AF67" t="s">
        <v>126</v>
      </c>
      <c r="AG67" t="s">
        <v>131</v>
      </c>
      <c r="AH67" t="s">
        <v>134</v>
      </c>
    </row>
    <row r="68" spans="1:34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t="s">
        <v>28</v>
      </c>
      <c r="Q68" t="str">
        <f t="shared" si="15"/>
        <v>ing</v>
      </c>
      <c r="R68" t="str">
        <f t="shared" si="16"/>
        <v xml:space="preserve">ace </v>
      </c>
      <c r="S68">
        <f t="shared" si="17"/>
        <v>10</v>
      </c>
      <c r="T68" t="str">
        <f t="shared" si="18"/>
        <v>Face Cream</v>
      </c>
      <c r="U68">
        <f t="shared" si="19"/>
        <v>10</v>
      </c>
      <c r="V68" t="str">
        <f t="shared" si="20"/>
        <v>FACE CREAM</v>
      </c>
      <c r="W68" t="str">
        <f t="shared" si="21"/>
        <v>face cream</v>
      </c>
      <c r="X68" t="str">
        <f t="shared" si="22"/>
        <v>Face Cream</v>
      </c>
      <c r="Y68" t="str">
        <f t="shared" si="23"/>
        <v>Telangana 1</v>
      </c>
      <c r="Z68" t="str">
        <f t="shared" si="24"/>
        <v>BrandD1</v>
      </c>
      <c r="AA68" t="str">
        <f t="shared" si="25"/>
        <v>BrandD 1</v>
      </c>
      <c r="AB68" t="str">
        <f t="shared" si="26"/>
        <v>Telangana Website</v>
      </c>
      <c r="AC68">
        <f t="shared" si="27"/>
        <v>2</v>
      </c>
      <c r="AD68" t="e">
        <f t="shared" si="28"/>
        <v>#VALUE!</v>
      </c>
      <c r="AE68" t="str">
        <f t="shared" si="29"/>
        <v>Telapna Website</v>
      </c>
      <c r="AF68" t="s">
        <v>129</v>
      </c>
      <c r="AG68" t="s">
        <v>132</v>
      </c>
      <c r="AH68" t="s">
        <v>132</v>
      </c>
    </row>
    <row r="69" spans="1:34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t="s">
        <v>28</v>
      </c>
      <c r="Q69" t="str">
        <f t="shared" si="15"/>
        <v>UPI</v>
      </c>
      <c r="R69" t="str">
        <f t="shared" si="16"/>
        <v>-Shi</v>
      </c>
      <c r="S69">
        <f t="shared" si="17"/>
        <v>7</v>
      </c>
      <c r="T69" t="str">
        <f t="shared" si="18"/>
        <v>T-Shirt</v>
      </c>
      <c r="U69">
        <f t="shared" si="19"/>
        <v>7</v>
      </c>
      <c r="V69" t="str">
        <f t="shared" si="20"/>
        <v>T-SHIRT</v>
      </c>
      <c r="W69" t="str">
        <f t="shared" si="21"/>
        <v>t-shirt</v>
      </c>
      <c r="X69" t="str">
        <f t="shared" si="22"/>
        <v>T-Shirt</v>
      </c>
      <c r="Y69" t="str">
        <f t="shared" si="23"/>
        <v>Telangana 6</v>
      </c>
      <c r="Z69" t="str">
        <f t="shared" si="24"/>
        <v>BrandD6</v>
      </c>
      <c r="AA69" t="str">
        <f t="shared" si="25"/>
        <v>BrandD 6</v>
      </c>
      <c r="AB69" t="str">
        <f t="shared" si="26"/>
        <v>Telangana Marketplace</v>
      </c>
      <c r="AC69">
        <f t="shared" si="27"/>
        <v>5</v>
      </c>
      <c r="AD69">
        <f t="shared" si="28"/>
        <v>11</v>
      </c>
      <c r="AE69" t="str">
        <f t="shared" si="29"/>
        <v>Telapna Marketplace</v>
      </c>
      <c r="AF69" t="s">
        <v>129</v>
      </c>
      <c r="AG69" t="s">
        <v>133</v>
      </c>
      <c r="AH69" t="s">
        <v>133</v>
      </c>
    </row>
    <row r="70" spans="1:34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t="s">
        <v>33</v>
      </c>
      <c r="Q70" t="str">
        <f t="shared" si="15"/>
        <v>UPI</v>
      </c>
      <c r="R70" t="str">
        <f t="shared" si="16"/>
        <v>extb</v>
      </c>
      <c r="S70">
        <f t="shared" si="17"/>
        <v>8</v>
      </c>
      <c r="T70" t="str">
        <f t="shared" si="18"/>
        <v>Textbook</v>
      </c>
      <c r="U70">
        <f t="shared" si="19"/>
        <v>8</v>
      </c>
      <c r="V70" t="str">
        <f t="shared" si="20"/>
        <v>TEXTBOOK</v>
      </c>
      <c r="W70" t="str">
        <f t="shared" si="21"/>
        <v>textbook</v>
      </c>
      <c r="X70" t="str">
        <f t="shared" si="22"/>
        <v>Textbook</v>
      </c>
      <c r="Y70" t="str">
        <f t="shared" si="23"/>
        <v>Tamil Nadu 6</v>
      </c>
      <c r="Z70" t="str">
        <f t="shared" si="24"/>
        <v>BrandE6</v>
      </c>
      <c r="AA70" t="str">
        <f t="shared" si="25"/>
        <v>BrandE 6</v>
      </c>
      <c r="AB70" t="str">
        <f t="shared" si="26"/>
        <v>Tamil Nadu Mobile App</v>
      </c>
      <c r="AC70">
        <f t="shared" si="27"/>
        <v>6</v>
      </c>
      <c r="AD70">
        <f t="shared" si="28"/>
        <v>3</v>
      </c>
      <c r="AE70" t="str">
        <f t="shared" si="29"/>
        <v>Tamipadu Mobile App</v>
      </c>
      <c r="AF70" t="s">
        <v>126</v>
      </c>
      <c r="AG70" t="s">
        <v>131</v>
      </c>
      <c r="AH70" t="s">
        <v>134</v>
      </c>
    </row>
    <row r="71" spans="1:34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t="s">
        <v>33</v>
      </c>
      <c r="Q71" t="str">
        <f t="shared" si="15"/>
        <v>ery</v>
      </c>
      <c r="R71" t="str">
        <f t="shared" si="16"/>
        <v>acke</v>
      </c>
      <c r="S71">
        <f t="shared" si="17"/>
        <v>6</v>
      </c>
      <c r="T71" t="str">
        <f t="shared" si="18"/>
        <v>Jacket</v>
      </c>
      <c r="U71">
        <f t="shared" si="19"/>
        <v>6</v>
      </c>
      <c r="V71" t="str">
        <f t="shared" si="20"/>
        <v>JACKET</v>
      </c>
      <c r="W71" t="str">
        <f t="shared" si="21"/>
        <v>jacket</v>
      </c>
      <c r="X71" t="str">
        <f t="shared" si="22"/>
        <v>Jacket</v>
      </c>
      <c r="Y71" t="str">
        <f t="shared" si="23"/>
        <v>Telangana 4</v>
      </c>
      <c r="Z71" t="str">
        <f t="shared" si="24"/>
        <v>BrandE4</v>
      </c>
      <c r="AA71" t="str">
        <f t="shared" si="25"/>
        <v>BrandE 4</v>
      </c>
      <c r="AB71" t="str">
        <f t="shared" si="26"/>
        <v>Telangana Mobile App</v>
      </c>
      <c r="AC71">
        <f t="shared" si="27"/>
        <v>6</v>
      </c>
      <c r="AD71">
        <f t="shared" si="28"/>
        <v>11</v>
      </c>
      <c r="AE71" t="str">
        <f t="shared" si="29"/>
        <v>Telapna Mobile App</v>
      </c>
      <c r="AF71" t="s">
        <v>129</v>
      </c>
      <c r="AG71" t="s">
        <v>131</v>
      </c>
      <c r="AH71" t="s">
        <v>134</v>
      </c>
    </row>
    <row r="72" spans="1:34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t="s">
        <v>47</v>
      </c>
      <c r="Q72" t="str">
        <f t="shared" si="15"/>
        <v>ard</v>
      </c>
      <c r="R72" t="str">
        <f t="shared" si="16"/>
        <v>rick</v>
      </c>
      <c r="S72">
        <f t="shared" si="17"/>
        <v>11</v>
      </c>
      <c r="T72" t="str">
        <f t="shared" si="18"/>
        <v>Cricket Bat</v>
      </c>
      <c r="U72">
        <f t="shared" si="19"/>
        <v>11</v>
      </c>
      <c r="V72" t="str">
        <f t="shared" si="20"/>
        <v>CRICKET BAT</v>
      </c>
      <c r="W72" t="str">
        <f t="shared" si="21"/>
        <v>cricket bat</v>
      </c>
      <c r="X72" t="str">
        <f t="shared" si="22"/>
        <v>Cricket Bat</v>
      </c>
      <c r="Y72" t="str">
        <f t="shared" si="23"/>
        <v>West Bengal 3</v>
      </c>
      <c r="Z72" t="str">
        <f t="shared" si="24"/>
        <v>BrandB3</v>
      </c>
      <c r="AA72" t="str">
        <f t="shared" si="25"/>
        <v>BrandB 3</v>
      </c>
      <c r="AB72" t="str">
        <f t="shared" si="26"/>
        <v>West Bengal Mobile App</v>
      </c>
      <c r="AC72">
        <f t="shared" si="27"/>
        <v>6</v>
      </c>
      <c r="AD72">
        <f t="shared" si="28"/>
        <v>13</v>
      </c>
      <c r="AE72" t="str">
        <f t="shared" si="29"/>
        <v>Westpngal Mobile App</v>
      </c>
      <c r="AF72" t="s">
        <v>127</v>
      </c>
      <c r="AG72" t="s">
        <v>131</v>
      </c>
      <c r="AH72" t="s">
        <v>134</v>
      </c>
    </row>
    <row r="73" spans="1:34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t="s">
        <v>47</v>
      </c>
      <c r="Q73" t="str">
        <f t="shared" si="15"/>
        <v>ard</v>
      </c>
      <c r="R73" t="str">
        <f t="shared" si="16"/>
        <v>urta</v>
      </c>
      <c r="S73">
        <f t="shared" si="17"/>
        <v>8</v>
      </c>
      <c r="T73" t="str">
        <f t="shared" si="18"/>
        <v>Curtains</v>
      </c>
      <c r="U73">
        <f t="shared" si="19"/>
        <v>8</v>
      </c>
      <c r="V73" t="str">
        <f t="shared" si="20"/>
        <v>CURTAINS</v>
      </c>
      <c r="W73" t="str">
        <f t="shared" si="21"/>
        <v>curtains</v>
      </c>
      <c r="X73" t="str">
        <f t="shared" si="22"/>
        <v>Curtains</v>
      </c>
      <c r="Y73" t="str">
        <f t="shared" si="23"/>
        <v>Maharashtra 3</v>
      </c>
      <c r="Z73" t="str">
        <f t="shared" si="24"/>
        <v>BrandB3</v>
      </c>
      <c r="AA73" t="str">
        <f t="shared" si="25"/>
        <v>BrandB 3</v>
      </c>
      <c r="AB73" t="str">
        <f t="shared" si="26"/>
        <v>Maharashtra Mobile App</v>
      </c>
      <c r="AC73">
        <f t="shared" si="27"/>
        <v>6</v>
      </c>
      <c r="AD73">
        <f t="shared" si="28"/>
        <v>1</v>
      </c>
      <c r="AE73" t="str">
        <f t="shared" si="29"/>
        <v>Mahaphtra Mobile App</v>
      </c>
      <c r="AF73" t="s">
        <v>130</v>
      </c>
      <c r="AG73" t="s">
        <v>131</v>
      </c>
      <c r="AH73" t="s">
        <v>134</v>
      </c>
    </row>
    <row r="74" spans="1:34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t="s">
        <v>21</v>
      </c>
      <c r="Q74" t="str">
        <f t="shared" si="15"/>
        <v>ard</v>
      </c>
      <c r="R74" t="str">
        <f t="shared" si="16"/>
        <v>mart</v>
      </c>
      <c r="S74">
        <f t="shared" si="17"/>
        <v>10</v>
      </c>
      <c r="T74" t="str">
        <f t="shared" si="18"/>
        <v>Smartphone</v>
      </c>
      <c r="U74">
        <f t="shared" si="19"/>
        <v>10</v>
      </c>
      <c r="V74" t="str">
        <f t="shared" si="20"/>
        <v>SMARTPHONE</v>
      </c>
      <c r="W74" t="str">
        <f t="shared" si="21"/>
        <v>smartphone</v>
      </c>
      <c r="X74" t="str">
        <f t="shared" si="22"/>
        <v>Smartphone</v>
      </c>
      <c r="Y74" t="str">
        <f t="shared" si="23"/>
        <v>Delhi 1</v>
      </c>
      <c r="Z74" t="str">
        <f t="shared" si="24"/>
        <v>BrandA1</v>
      </c>
      <c r="AA74" t="str">
        <f t="shared" si="25"/>
        <v>BrandA 1</v>
      </c>
      <c r="AB74" t="str">
        <f t="shared" si="26"/>
        <v>Delhi Mobile App</v>
      </c>
      <c r="AC74">
        <f t="shared" si="27"/>
        <v>6</v>
      </c>
      <c r="AD74">
        <f t="shared" si="28"/>
        <v>7</v>
      </c>
      <c r="AE74" t="str">
        <f t="shared" si="29"/>
        <v>Delhpobile App</v>
      </c>
      <c r="AF74" t="s">
        <v>125</v>
      </c>
      <c r="AG74" t="s">
        <v>131</v>
      </c>
      <c r="AH74" t="s">
        <v>134</v>
      </c>
    </row>
    <row r="75" spans="1:34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t="s">
        <v>33</v>
      </c>
      <c r="Q75" t="str">
        <f t="shared" si="15"/>
        <v>ery</v>
      </c>
      <c r="R75" t="str">
        <f t="shared" si="16"/>
        <v>edsh</v>
      </c>
      <c r="S75">
        <f t="shared" si="17"/>
        <v>8</v>
      </c>
      <c r="T75" t="str">
        <f t="shared" si="18"/>
        <v>Bedsheet</v>
      </c>
      <c r="U75">
        <f t="shared" si="19"/>
        <v>8</v>
      </c>
      <c r="V75" t="str">
        <f t="shared" si="20"/>
        <v>BEDSHEET</v>
      </c>
      <c r="W75" t="str">
        <f t="shared" si="21"/>
        <v>bedsheet</v>
      </c>
      <c r="X75" t="str">
        <f t="shared" si="22"/>
        <v>Bedsheet</v>
      </c>
      <c r="Y75" t="str">
        <f t="shared" si="23"/>
        <v>Maharashtra 3</v>
      </c>
      <c r="Z75" t="str">
        <f t="shared" si="24"/>
        <v>BrandE3</v>
      </c>
      <c r="AA75" t="str">
        <f t="shared" si="25"/>
        <v>BrandE 3</v>
      </c>
      <c r="AB75" t="str">
        <f t="shared" si="26"/>
        <v>Maharashtra Marketplace</v>
      </c>
      <c r="AC75">
        <f t="shared" si="27"/>
        <v>5</v>
      </c>
      <c r="AD75">
        <f t="shared" si="28"/>
        <v>1</v>
      </c>
      <c r="AE75" t="str">
        <f t="shared" si="29"/>
        <v>Mahaphtra Marketplace</v>
      </c>
      <c r="AF75" t="s">
        <v>130</v>
      </c>
      <c r="AG75" t="s">
        <v>133</v>
      </c>
      <c r="AH75" t="s">
        <v>133</v>
      </c>
    </row>
    <row r="76" spans="1:34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t="s">
        <v>45</v>
      </c>
      <c r="Q76" t="str">
        <f t="shared" si="15"/>
        <v>ing</v>
      </c>
      <c r="R76" t="str">
        <f t="shared" si="16"/>
        <v>icti</v>
      </c>
      <c r="S76">
        <f t="shared" si="17"/>
        <v>13</v>
      </c>
      <c r="T76" t="str">
        <f t="shared" si="18"/>
        <v>Fiction Novel</v>
      </c>
      <c r="U76">
        <f t="shared" si="19"/>
        <v>13</v>
      </c>
      <c r="V76" t="str">
        <f t="shared" si="20"/>
        <v>FICTION NOVEL</v>
      </c>
      <c r="W76" t="str">
        <f t="shared" si="21"/>
        <v>fiction novel</v>
      </c>
      <c r="X76" t="str">
        <f t="shared" si="22"/>
        <v>Fiction Novel</v>
      </c>
      <c r="Y76" t="str">
        <f t="shared" si="23"/>
        <v>Delhi 4</v>
      </c>
      <c r="Z76" t="str">
        <f t="shared" si="24"/>
        <v>BrandC4</v>
      </c>
      <c r="AA76" t="str">
        <f t="shared" si="25"/>
        <v>BrandC 4</v>
      </c>
      <c r="AB76" t="str">
        <f t="shared" si="26"/>
        <v>Delhi Marketplace</v>
      </c>
      <c r="AC76">
        <f t="shared" si="27"/>
        <v>5</v>
      </c>
      <c r="AD76">
        <f t="shared" si="28"/>
        <v>7</v>
      </c>
      <c r="AE76" t="str">
        <f t="shared" si="29"/>
        <v>Delhparketplace</v>
      </c>
      <c r="AF76" t="s">
        <v>125</v>
      </c>
      <c r="AG76" t="s">
        <v>133</v>
      </c>
      <c r="AH76" t="s">
        <v>133</v>
      </c>
    </row>
    <row r="77" spans="1:34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t="s">
        <v>33</v>
      </c>
      <c r="Q77" t="str">
        <f t="shared" si="15"/>
        <v>ery</v>
      </c>
      <c r="R77" t="str">
        <f t="shared" si="16"/>
        <v>acke</v>
      </c>
      <c r="S77">
        <f t="shared" si="17"/>
        <v>6</v>
      </c>
      <c r="T77" t="str">
        <f t="shared" si="18"/>
        <v>Jacket</v>
      </c>
      <c r="U77">
        <f t="shared" si="19"/>
        <v>6</v>
      </c>
      <c r="V77" t="str">
        <f t="shared" si="20"/>
        <v>JACKET</v>
      </c>
      <c r="W77" t="str">
        <f t="shared" si="21"/>
        <v>jacket</v>
      </c>
      <c r="X77" t="str">
        <f t="shared" si="22"/>
        <v>Jacket</v>
      </c>
      <c r="Y77" t="str">
        <f t="shared" si="23"/>
        <v>Delhi 5</v>
      </c>
      <c r="Z77" t="str">
        <f t="shared" si="24"/>
        <v>BrandE5</v>
      </c>
      <c r="AA77" t="str">
        <f t="shared" si="25"/>
        <v>BrandE 5</v>
      </c>
      <c r="AB77" t="str">
        <f t="shared" si="26"/>
        <v>Delhi Marketplace</v>
      </c>
      <c r="AC77">
        <f t="shared" si="27"/>
        <v>5</v>
      </c>
      <c r="AD77">
        <f t="shared" si="28"/>
        <v>7</v>
      </c>
      <c r="AE77" t="str">
        <f t="shared" si="29"/>
        <v>Delhparketplace</v>
      </c>
      <c r="AF77" t="s">
        <v>125</v>
      </c>
      <c r="AG77" t="s">
        <v>133</v>
      </c>
      <c r="AH77" t="s">
        <v>133</v>
      </c>
    </row>
    <row r="78" spans="1:34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t="s">
        <v>45</v>
      </c>
      <c r="Q78" t="str">
        <f t="shared" si="15"/>
        <v>ard</v>
      </c>
      <c r="R78" t="str">
        <f t="shared" si="16"/>
        <v>neak</v>
      </c>
      <c r="S78">
        <f t="shared" si="17"/>
        <v>8</v>
      </c>
      <c r="T78" t="str">
        <f t="shared" si="18"/>
        <v>Sneakers</v>
      </c>
      <c r="U78">
        <f t="shared" si="19"/>
        <v>8</v>
      </c>
      <c r="V78" t="str">
        <f t="shared" si="20"/>
        <v>SNEAKERS</v>
      </c>
      <c r="W78" t="str">
        <f t="shared" si="21"/>
        <v>sneakers</v>
      </c>
      <c r="X78" t="str">
        <f t="shared" si="22"/>
        <v>Sneakers</v>
      </c>
      <c r="Y78" t="str">
        <f t="shared" si="23"/>
        <v>Maharashtra 3</v>
      </c>
      <c r="Z78" t="str">
        <f t="shared" si="24"/>
        <v>BrandC3</v>
      </c>
      <c r="AA78" t="str">
        <f t="shared" si="25"/>
        <v>BrandC 3</v>
      </c>
      <c r="AB78" t="str">
        <f t="shared" si="26"/>
        <v>Maharashtra Marketplace</v>
      </c>
      <c r="AC78">
        <f t="shared" si="27"/>
        <v>5</v>
      </c>
      <c r="AD78">
        <f t="shared" si="28"/>
        <v>1</v>
      </c>
      <c r="AE78" t="str">
        <f t="shared" si="29"/>
        <v>Mahaphtra Marketplace</v>
      </c>
      <c r="AF78" t="s">
        <v>130</v>
      </c>
      <c r="AG78" t="s">
        <v>133</v>
      </c>
      <c r="AH78" t="s">
        <v>133</v>
      </c>
    </row>
    <row r="79" spans="1:34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t="s">
        <v>28</v>
      </c>
      <c r="Q79" t="str">
        <f t="shared" si="15"/>
        <v>ery</v>
      </c>
      <c r="R79" t="str">
        <f t="shared" si="16"/>
        <v>erfu</v>
      </c>
      <c r="S79">
        <f t="shared" si="17"/>
        <v>7</v>
      </c>
      <c r="T79" t="str">
        <f t="shared" si="18"/>
        <v>Perfume</v>
      </c>
      <c r="U79">
        <f t="shared" si="19"/>
        <v>7</v>
      </c>
      <c r="V79" t="str">
        <f t="shared" si="20"/>
        <v>PERFUME</v>
      </c>
      <c r="W79" t="str">
        <f t="shared" si="21"/>
        <v>perfume</v>
      </c>
      <c r="X79" t="str">
        <f t="shared" si="22"/>
        <v>Perfume</v>
      </c>
      <c r="Y79" t="str">
        <f t="shared" si="23"/>
        <v>Tamil Nadu 6</v>
      </c>
      <c r="Z79" t="str">
        <f t="shared" si="24"/>
        <v>BrandD6</v>
      </c>
      <c r="AA79" t="str">
        <f t="shared" si="25"/>
        <v>BrandD 6</v>
      </c>
      <c r="AB79" t="str">
        <f t="shared" si="26"/>
        <v>Tamil Nadu Website</v>
      </c>
      <c r="AC79">
        <f t="shared" si="27"/>
        <v>2</v>
      </c>
      <c r="AD79">
        <f t="shared" si="28"/>
        <v>3</v>
      </c>
      <c r="AE79" t="str">
        <f t="shared" si="29"/>
        <v>Tamipadu Website</v>
      </c>
      <c r="AF79" t="s">
        <v>126</v>
      </c>
      <c r="AG79" t="s">
        <v>132</v>
      </c>
      <c r="AH79" t="s">
        <v>132</v>
      </c>
    </row>
    <row r="80" spans="1:34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t="s">
        <v>33</v>
      </c>
      <c r="Q80" t="str">
        <f t="shared" si="15"/>
        <v>ery</v>
      </c>
      <c r="R80" t="str">
        <f t="shared" si="16"/>
        <v>neak</v>
      </c>
      <c r="S80">
        <f t="shared" si="17"/>
        <v>8</v>
      </c>
      <c r="T80" t="str">
        <f t="shared" si="18"/>
        <v>Sneakers</v>
      </c>
      <c r="U80">
        <f t="shared" si="19"/>
        <v>8</v>
      </c>
      <c r="V80" t="str">
        <f t="shared" si="20"/>
        <v>SNEAKERS</v>
      </c>
      <c r="W80" t="str">
        <f t="shared" si="21"/>
        <v>sneakers</v>
      </c>
      <c r="X80" t="str">
        <f t="shared" si="22"/>
        <v>Sneakers</v>
      </c>
      <c r="Y80" t="str">
        <f t="shared" si="23"/>
        <v>Delhi 5</v>
      </c>
      <c r="Z80" t="str">
        <f t="shared" si="24"/>
        <v>BrandE5</v>
      </c>
      <c r="AA80" t="str">
        <f t="shared" si="25"/>
        <v>BrandE 5</v>
      </c>
      <c r="AB80" t="str">
        <f t="shared" si="26"/>
        <v>Delhi Marketplace</v>
      </c>
      <c r="AC80">
        <f t="shared" si="27"/>
        <v>5</v>
      </c>
      <c r="AD80">
        <f t="shared" si="28"/>
        <v>7</v>
      </c>
      <c r="AE80" t="str">
        <f t="shared" si="29"/>
        <v>Delhparketplace</v>
      </c>
      <c r="AF80" t="s">
        <v>125</v>
      </c>
      <c r="AG80" t="s">
        <v>133</v>
      </c>
      <c r="AH80" t="s">
        <v>133</v>
      </c>
    </row>
    <row r="81" spans="1:34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t="s">
        <v>28</v>
      </c>
      <c r="Q81" t="str">
        <f t="shared" si="15"/>
        <v>ard</v>
      </c>
      <c r="R81" t="str">
        <f t="shared" si="16"/>
        <v>ipst</v>
      </c>
      <c r="S81">
        <f t="shared" si="17"/>
        <v>8</v>
      </c>
      <c r="T81" t="str">
        <f t="shared" si="18"/>
        <v>Lipstick</v>
      </c>
      <c r="U81">
        <f t="shared" si="19"/>
        <v>8</v>
      </c>
      <c r="V81" t="str">
        <f t="shared" si="20"/>
        <v>LIPSTICK</v>
      </c>
      <c r="W81" t="str">
        <f t="shared" si="21"/>
        <v>lipstick</v>
      </c>
      <c r="X81" t="str">
        <f t="shared" si="22"/>
        <v>Lipstick</v>
      </c>
      <c r="Y81" t="str">
        <f t="shared" si="23"/>
        <v>Maharashtra 3</v>
      </c>
      <c r="Z81" t="str">
        <f t="shared" si="24"/>
        <v>BrandD3</v>
      </c>
      <c r="AA81" t="str">
        <f t="shared" si="25"/>
        <v>BrandD 3</v>
      </c>
      <c r="AB81" t="str">
        <f t="shared" si="26"/>
        <v>Maharashtra Mobile App</v>
      </c>
      <c r="AC81">
        <f t="shared" si="27"/>
        <v>6</v>
      </c>
      <c r="AD81">
        <f t="shared" si="28"/>
        <v>1</v>
      </c>
      <c r="AE81" t="str">
        <f t="shared" si="29"/>
        <v>Mahaphtra Mobile App</v>
      </c>
      <c r="AF81" t="s">
        <v>130</v>
      </c>
      <c r="AG81" t="s">
        <v>131</v>
      </c>
      <c r="AH81" t="s">
        <v>134</v>
      </c>
    </row>
    <row r="82" spans="1:34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t="s">
        <v>47</v>
      </c>
      <c r="Q82" t="str">
        <f t="shared" si="15"/>
        <v>ard</v>
      </c>
      <c r="R82" t="str">
        <f t="shared" si="16"/>
        <v>ootb</v>
      </c>
      <c r="S82">
        <f t="shared" si="17"/>
        <v>8</v>
      </c>
      <c r="T82" t="str">
        <f t="shared" si="18"/>
        <v>Football</v>
      </c>
      <c r="U82">
        <f t="shared" si="19"/>
        <v>8</v>
      </c>
      <c r="V82" t="str">
        <f t="shared" si="20"/>
        <v>FOOTBALL</v>
      </c>
      <c r="W82" t="str">
        <f t="shared" si="21"/>
        <v>football</v>
      </c>
      <c r="X82" t="str">
        <f t="shared" si="22"/>
        <v>Football</v>
      </c>
      <c r="Y82" t="str">
        <f t="shared" si="23"/>
        <v>Delhi 6</v>
      </c>
      <c r="Z82" t="str">
        <f t="shared" si="24"/>
        <v>BrandB6</v>
      </c>
      <c r="AA82" t="str">
        <f t="shared" si="25"/>
        <v>BrandB 6</v>
      </c>
      <c r="AB82" t="str">
        <f t="shared" si="26"/>
        <v>Delhi Marketplace</v>
      </c>
      <c r="AC82">
        <f t="shared" si="27"/>
        <v>5</v>
      </c>
      <c r="AD82">
        <f t="shared" si="28"/>
        <v>7</v>
      </c>
      <c r="AE82" t="str">
        <f t="shared" si="29"/>
        <v>Delhparketplace</v>
      </c>
      <c r="AF82" t="s">
        <v>125</v>
      </c>
      <c r="AG82" t="s">
        <v>133</v>
      </c>
      <c r="AH82" t="s">
        <v>133</v>
      </c>
    </row>
    <row r="83" spans="1:34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t="s">
        <v>47</v>
      </c>
      <c r="Q83" t="str">
        <f t="shared" si="15"/>
        <v>ing</v>
      </c>
      <c r="R83" t="str">
        <f t="shared" si="16"/>
        <v>apto</v>
      </c>
      <c r="S83">
        <f t="shared" si="17"/>
        <v>6</v>
      </c>
      <c r="T83" t="str">
        <f t="shared" si="18"/>
        <v>Laptop</v>
      </c>
      <c r="U83">
        <f t="shared" si="19"/>
        <v>6</v>
      </c>
      <c r="V83" t="str">
        <f t="shared" si="20"/>
        <v>LAPTOP</v>
      </c>
      <c r="W83" t="str">
        <f t="shared" si="21"/>
        <v>laptop</v>
      </c>
      <c r="X83" t="str">
        <f t="shared" si="22"/>
        <v>Laptop</v>
      </c>
      <c r="Y83" t="str">
        <f t="shared" si="23"/>
        <v>Karnataka 6</v>
      </c>
      <c r="Z83" t="str">
        <f t="shared" si="24"/>
        <v>BrandB6</v>
      </c>
      <c r="AA83" t="str">
        <f t="shared" si="25"/>
        <v>BrandB 6</v>
      </c>
      <c r="AB83" t="str">
        <f t="shared" si="26"/>
        <v>Karnataka Website</v>
      </c>
      <c r="AC83">
        <f t="shared" si="27"/>
        <v>2</v>
      </c>
      <c r="AD83" t="e">
        <f t="shared" si="28"/>
        <v>#VALUE!</v>
      </c>
      <c r="AE83" t="str">
        <f t="shared" si="29"/>
        <v>Karnpka Website</v>
      </c>
      <c r="AF83" t="s">
        <v>128</v>
      </c>
      <c r="AG83" t="s">
        <v>132</v>
      </c>
      <c r="AH83" t="s">
        <v>132</v>
      </c>
    </row>
    <row r="84" spans="1:34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t="s">
        <v>21</v>
      </c>
      <c r="Q84" t="str">
        <f t="shared" si="15"/>
        <v>ard</v>
      </c>
      <c r="R84" t="str">
        <f t="shared" si="16"/>
        <v>extb</v>
      </c>
      <c r="S84">
        <f t="shared" si="17"/>
        <v>8</v>
      </c>
      <c r="T84" t="str">
        <f t="shared" si="18"/>
        <v>Textbook</v>
      </c>
      <c r="U84">
        <f t="shared" si="19"/>
        <v>8</v>
      </c>
      <c r="V84" t="str">
        <f t="shared" si="20"/>
        <v>TEXTBOOK</v>
      </c>
      <c r="W84" t="str">
        <f t="shared" si="21"/>
        <v>textbook</v>
      </c>
      <c r="X84" t="str">
        <f t="shared" si="22"/>
        <v>Textbook</v>
      </c>
      <c r="Y84" t="str">
        <f t="shared" si="23"/>
        <v>Tamil Nadu 8</v>
      </c>
      <c r="Z84" t="str">
        <f t="shared" si="24"/>
        <v>BrandA8</v>
      </c>
      <c r="AA84" t="str">
        <f t="shared" si="25"/>
        <v>BrandA 8</v>
      </c>
      <c r="AB84" t="str">
        <f t="shared" si="26"/>
        <v>Tamil Nadu Mobile App</v>
      </c>
      <c r="AC84">
        <f t="shared" si="27"/>
        <v>6</v>
      </c>
      <c r="AD84">
        <f t="shared" si="28"/>
        <v>3</v>
      </c>
      <c r="AE84" t="str">
        <f t="shared" si="29"/>
        <v>Tamipadu Mobile App</v>
      </c>
      <c r="AF84" t="s">
        <v>126</v>
      </c>
      <c r="AG84" t="s">
        <v>131</v>
      </c>
      <c r="AH84" t="s">
        <v>134</v>
      </c>
    </row>
    <row r="85" spans="1:34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t="s">
        <v>33</v>
      </c>
      <c r="Q85" t="str">
        <f t="shared" si="15"/>
        <v>UPI</v>
      </c>
      <c r="R85" t="str">
        <f t="shared" si="16"/>
        <v>ipst</v>
      </c>
      <c r="S85">
        <f t="shared" si="17"/>
        <v>8</v>
      </c>
      <c r="T85" t="str">
        <f t="shared" si="18"/>
        <v>Lipstick</v>
      </c>
      <c r="U85">
        <f t="shared" si="19"/>
        <v>8</v>
      </c>
      <c r="V85" t="str">
        <f t="shared" si="20"/>
        <v>LIPSTICK</v>
      </c>
      <c r="W85" t="str">
        <f t="shared" si="21"/>
        <v>lipstick</v>
      </c>
      <c r="X85" t="str">
        <f t="shared" si="22"/>
        <v>Lipstick</v>
      </c>
      <c r="Y85" t="str">
        <f t="shared" si="23"/>
        <v>West Bengal 2</v>
      </c>
      <c r="Z85" t="str">
        <f t="shared" si="24"/>
        <v>BrandE2</v>
      </c>
      <c r="AA85" t="str">
        <f t="shared" si="25"/>
        <v>BrandE 2</v>
      </c>
      <c r="AB85" t="str">
        <f t="shared" si="26"/>
        <v>West Bengal Marketplace</v>
      </c>
      <c r="AC85">
        <f t="shared" si="27"/>
        <v>5</v>
      </c>
      <c r="AD85">
        <f t="shared" si="28"/>
        <v>13</v>
      </c>
      <c r="AE85" t="str">
        <f t="shared" si="29"/>
        <v>Westpngal Marketplace</v>
      </c>
      <c r="AF85" t="s">
        <v>127</v>
      </c>
      <c r="AG85" t="s">
        <v>133</v>
      </c>
      <c r="AH85" t="s">
        <v>133</v>
      </c>
    </row>
    <row r="86" spans="1:34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t="s">
        <v>28</v>
      </c>
      <c r="Q86" t="str">
        <f t="shared" si="15"/>
        <v>ard</v>
      </c>
      <c r="R86" t="str">
        <f t="shared" si="16"/>
        <v>eadp</v>
      </c>
      <c r="S86">
        <f t="shared" si="17"/>
        <v>10</v>
      </c>
      <c r="T86" t="str">
        <f t="shared" si="18"/>
        <v>Headphones</v>
      </c>
      <c r="U86">
        <f t="shared" si="19"/>
        <v>10</v>
      </c>
      <c r="V86" t="str">
        <f t="shared" si="20"/>
        <v>HEADPHONES</v>
      </c>
      <c r="W86" t="str">
        <f t="shared" si="21"/>
        <v>headphones</v>
      </c>
      <c r="X86" t="str">
        <f t="shared" si="22"/>
        <v>Headphones</v>
      </c>
      <c r="Y86" t="str">
        <f t="shared" si="23"/>
        <v>Delhi 1</v>
      </c>
      <c r="Z86" t="str">
        <f t="shared" si="24"/>
        <v>BrandD1</v>
      </c>
      <c r="AA86" t="str">
        <f t="shared" si="25"/>
        <v>BrandD 1</v>
      </c>
      <c r="AB86" t="str">
        <f t="shared" si="26"/>
        <v>Delhi Marketplace</v>
      </c>
      <c r="AC86">
        <f t="shared" si="27"/>
        <v>5</v>
      </c>
      <c r="AD86">
        <f t="shared" si="28"/>
        <v>7</v>
      </c>
      <c r="AE86" t="str">
        <f t="shared" si="29"/>
        <v>Delhparketplace</v>
      </c>
      <c r="AF86" t="s">
        <v>125</v>
      </c>
      <c r="AG86" t="s">
        <v>133</v>
      </c>
      <c r="AH86" t="s">
        <v>133</v>
      </c>
    </row>
    <row r="87" spans="1:34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t="s">
        <v>45</v>
      </c>
      <c r="Q87" t="str">
        <f t="shared" si="15"/>
        <v>UPI</v>
      </c>
      <c r="R87" t="str">
        <f t="shared" si="16"/>
        <v>eans</v>
      </c>
      <c r="S87">
        <f t="shared" si="17"/>
        <v>5</v>
      </c>
      <c r="T87" t="str">
        <f t="shared" si="18"/>
        <v>Jeans</v>
      </c>
      <c r="U87">
        <f t="shared" si="19"/>
        <v>5</v>
      </c>
      <c r="V87" t="str">
        <f t="shared" si="20"/>
        <v>JEANS</v>
      </c>
      <c r="W87" t="str">
        <f t="shared" si="21"/>
        <v>jeans</v>
      </c>
      <c r="X87" t="str">
        <f t="shared" si="22"/>
        <v>Jeans</v>
      </c>
      <c r="Y87" t="str">
        <f t="shared" si="23"/>
        <v>Karnataka 4</v>
      </c>
      <c r="Z87" t="str">
        <f t="shared" si="24"/>
        <v>BrandC4</v>
      </c>
      <c r="AA87" t="str">
        <f t="shared" si="25"/>
        <v>BrandC 4</v>
      </c>
      <c r="AB87" t="str">
        <f t="shared" si="26"/>
        <v>Karnataka Marketplace</v>
      </c>
      <c r="AC87">
        <f t="shared" si="27"/>
        <v>5</v>
      </c>
      <c r="AD87">
        <f t="shared" si="28"/>
        <v>11</v>
      </c>
      <c r="AE87" t="str">
        <f t="shared" si="29"/>
        <v>Karnpka Marketplace</v>
      </c>
      <c r="AF87" t="s">
        <v>128</v>
      </c>
      <c r="AG87" t="s">
        <v>133</v>
      </c>
      <c r="AH87" t="s">
        <v>133</v>
      </c>
    </row>
    <row r="88" spans="1:34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t="s">
        <v>47</v>
      </c>
      <c r="Q88" t="str">
        <f t="shared" si="15"/>
        <v>ard</v>
      </c>
      <c r="R88" t="str">
        <f t="shared" si="16"/>
        <v>acke</v>
      </c>
      <c r="S88">
        <f t="shared" si="17"/>
        <v>6</v>
      </c>
      <c r="T88" t="str">
        <f t="shared" si="18"/>
        <v>Jacket</v>
      </c>
      <c r="U88">
        <f t="shared" si="19"/>
        <v>6</v>
      </c>
      <c r="V88" t="str">
        <f t="shared" si="20"/>
        <v>JACKET</v>
      </c>
      <c r="W88" t="str">
        <f t="shared" si="21"/>
        <v>jacket</v>
      </c>
      <c r="X88" t="str">
        <f t="shared" si="22"/>
        <v>Jacket</v>
      </c>
      <c r="Y88" t="str">
        <f t="shared" si="23"/>
        <v>West Bengal 7</v>
      </c>
      <c r="Z88" t="str">
        <f t="shared" si="24"/>
        <v>BrandB7</v>
      </c>
      <c r="AA88" t="str">
        <f t="shared" si="25"/>
        <v>BrandB 7</v>
      </c>
      <c r="AB88" t="str">
        <f t="shared" si="26"/>
        <v>West Bengal Mobile App</v>
      </c>
      <c r="AC88">
        <f t="shared" si="27"/>
        <v>6</v>
      </c>
      <c r="AD88">
        <f t="shared" si="28"/>
        <v>13</v>
      </c>
      <c r="AE88" t="str">
        <f t="shared" si="29"/>
        <v>Westpngal Mobile App</v>
      </c>
      <c r="AF88" t="s">
        <v>127</v>
      </c>
      <c r="AG88" t="s">
        <v>131</v>
      </c>
      <c r="AH88" t="s">
        <v>134</v>
      </c>
    </row>
    <row r="89" spans="1:34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t="s">
        <v>47</v>
      </c>
      <c r="Q89" t="str">
        <f t="shared" si="15"/>
        <v>ing</v>
      </c>
      <c r="R89" t="str">
        <f t="shared" si="16"/>
        <v>apto</v>
      </c>
      <c r="S89">
        <f t="shared" si="17"/>
        <v>6</v>
      </c>
      <c r="T89" t="str">
        <f t="shared" si="18"/>
        <v>Laptop</v>
      </c>
      <c r="U89">
        <f t="shared" si="19"/>
        <v>6</v>
      </c>
      <c r="V89" t="str">
        <f t="shared" si="20"/>
        <v>LAPTOP</v>
      </c>
      <c r="W89" t="str">
        <f t="shared" si="21"/>
        <v>laptop</v>
      </c>
      <c r="X89" t="str">
        <f t="shared" si="22"/>
        <v>Laptop</v>
      </c>
      <c r="Y89" t="str">
        <f t="shared" si="23"/>
        <v>West Bengal 3</v>
      </c>
      <c r="Z89" t="str">
        <f t="shared" si="24"/>
        <v>BrandB3</v>
      </c>
      <c r="AA89" t="str">
        <f t="shared" si="25"/>
        <v>BrandB 3</v>
      </c>
      <c r="AB89" t="str">
        <f t="shared" si="26"/>
        <v>West Bengal Mobile App</v>
      </c>
      <c r="AC89">
        <f t="shared" si="27"/>
        <v>6</v>
      </c>
      <c r="AD89">
        <f t="shared" si="28"/>
        <v>13</v>
      </c>
      <c r="AE89" t="str">
        <f t="shared" si="29"/>
        <v>Westpngal Mobile App</v>
      </c>
      <c r="AF89" t="s">
        <v>127</v>
      </c>
      <c r="AG89" t="s">
        <v>131</v>
      </c>
      <c r="AH89" t="s">
        <v>134</v>
      </c>
    </row>
    <row r="90" spans="1:34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t="s">
        <v>45</v>
      </c>
      <c r="Q90" t="str">
        <f t="shared" si="15"/>
        <v>ing</v>
      </c>
      <c r="R90" t="str">
        <f t="shared" si="16"/>
        <v>-Shi</v>
      </c>
      <c r="S90">
        <f t="shared" si="17"/>
        <v>7</v>
      </c>
      <c r="T90" t="str">
        <f t="shared" si="18"/>
        <v>T-Shirt</v>
      </c>
      <c r="U90">
        <f t="shared" si="19"/>
        <v>7</v>
      </c>
      <c r="V90" t="str">
        <f t="shared" si="20"/>
        <v>T-SHIRT</v>
      </c>
      <c r="W90" t="str">
        <f t="shared" si="21"/>
        <v>t-shirt</v>
      </c>
      <c r="X90" t="str">
        <f t="shared" si="22"/>
        <v>T-Shirt</v>
      </c>
      <c r="Y90" t="str">
        <f t="shared" si="23"/>
        <v>Delhi 3</v>
      </c>
      <c r="Z90" t="str">
        <f t="shared" si="24"/>
        <v>BrandC3</v>
      </c>
      <c r="AA90" t="str">
        <f t="shared" si="25"/>
        <v>BrandC 3</v>
      </c>
      <c r="AB90" t="str">
        <f t="shared" si="26"/>
        <v>Delhi Website</v>
      </c>
      <c r="AC90">
        <f t="shared" si="27"/>
        <v>2</v>
      </c>
      <c r="AD90" t="e">
        <f t="shared" si="28"/>
        <v>#VALUE!</v>
      </c>
      <c r="AE90" t="str">
        <f t="shared" si="29"/>
        <v>Delhpebsite</v>
      </c>
      <c r="AF90" t="s">
        <v>125</v>
      </c>
      <c r="AG90" t="s">
        <v>132</v>
      </c>
      <c r="AH90" t="s">
        <v>132</v>
      </c>
    </row>
    <row r="91" spans="1:34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t="s">
        <v>28</v>
      </c>
      <c r="Q91" t="str">
        <f t="shared" si="15"/>
        <v>ery</v>
      </c>
      <c r="R91" t="str">
        <f t="shared" si="16"/>
        <v>ootb</v>
      </c>
      <c r="S91">
        <f t="shared" si="17"/>
        <v>8</v>
      </c>
      <c r="T91" t="str">
        <f t="shared" si="18"/>
        <v>Football</v>
      </c>
      <c r="U91">
        <f t="shared" si="19"/>
        <v>8</v>
      </c>
      <c r="V91" t="str">
        <f t="shared" si="20"/>
        <v>FOOTBALL</v>
      </c>
      <c r="W91" t="str">
        <f t="shared" si="21"/>
        <v>football</v>
      </c>
      <c r="X91" t="str">
        <f t="shared" si="22"/>
        <v>Football</v>
      </c>
      <c r="Y91" t="str">
        <f t="shared" si="23"/>
        <v>Maharashtra 5</v>
      </c>
      <c r="Z91" t="str">
        <f t="shared" si="24"/>
        <v>BrandD5</v>
      </c>
      <c r="AA91" t="str">
        <f t="shared" si="25"/>
        <v>BrandD 5</v>
      </c>
      <c r="AB91" t="str">
        <f t="shared" si="26"/>
        <v>Maharashtra Mobile App</v>
      </c>
      <c r="AC91">
        <f t="shared" si="27"/>
        <v>6</v>
      </c>
      <c r="AD91">
        <f t="shared" si="28"/>
        <v>1</v>
      </c>
      <c r="AE91" t="str">
        <f t="shared" si="29"/>
        <v>Mahaphtra Mobile App</v>
      </c>
      <c r="AF91" t="s">
        <v>130</v>
      </c>
      <c r="AG91" t="s">
        <v>131</v>
      </c>
      <c r="AH91" t="s">
        <v>134</v>
      </c>
    </row>
    <row r="92" spans="1:34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t="s">
        <v>28</v>
      </c>
      <c r="Q92" t="str">
        <f t="shared" si="15"/>
        <v>UPI</v>
      </c>
      <c r="R92" t="str">
        <f t="shared" si="16"/>
        <v>ootb</v>
      </c>
      <c r="S92">
        <f t="shared" si="17"/>
        <v>8</v>
      </c>
      <c r="T92" t="str">
        <f t="shared" si="18"/>
        <v>Football</v>
      </c>
      <c r="U92">
        <f t="shared" si="19"/>
        <v>8</v>
      </c>
      <c r="V92" t="str">
        <f t="shared" si="20"/>
        <v>FOOTBALL</v>
      </c>
      <c r="W92" t="str">
        <f t="shared" si="21"/>
        <v>football</v>
      </c>
      <c r="X92" t="str">
        <f t="shared" si="22"/>
        <v>Football</v>
      </c>
      <c r="Y92" t="str">
        <f t="shared" si="23"/>
        <v>Delhi 5</v>
      </c>
      <c r="Z92" t="str">
        <f t="shared" si="24"/>
        <v>BrandD5</v>
      </c>
      <c r="AA92" t="str">
        <f t="shared" si="25"/>
        <v>BrandD 5</v>
      </c>
      <c r="AB92" t="str">
        <f t="shared" si="26"/>
        <v>Delhi Mobile App</v>
      </c>
      <c r="AC92">
        <f t="shared" si="27"/>
        <v>6</v>
      </c>
      <c r="AD92">
        <f t="shared" si="28"/>
        <v>7</v>
      </c>
      <c r="AE92" t="str">
        <f t="shared" si="29"/>
        <v>Delhpobile App</v>
      </c>
      <c r="AF92" t="s">
        <v>125</v>
      </c>
      <c r="AG92" t="s">
        <v>131</v>
      </c>
      <c r="AH92" t="s">
        <v>134</v>
      </c>
    </row>
    <row r="93" spans="1:34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t="s">
        <v>33</v>
      </c>
      <c r="Q93" t="str">
        <f t="shared" si="15"/>
        <v>ard</v>
      </c>
      <c r="R93" t="str">
        <f t="shared" si="16"/>
        <v>eadp</v>
      </c>
      <c r="S93">
        <f t="shared" si="17"/>
        <v>10</v>
      </c>
      <c r="T93" t="str">
        <f t="shared" si="18"/>
        <v>Headphones</v>
      </c>
      <c r="U93">
        <f t="shared" si="19"/>
        <v>10</v>
      </c>
      <c r="V93" t="str">
        <f t="shared" si="20"/>
        <v>HEADPHONES</v>
      </c>
      <c r="W93" t="str">
        <f t="shared" si="21"/>
        <v>headphones</v>
      </c>
      <c r="X93" t="str">
        <f t="shared" si="22"/>
        <v>Headphones</v>
      </c>
      <c r="Y93" t="str">
        <f t="shared" si="23"/>
        <v>Karnataka 3</v>
      </c>
      <c r="Z93" t="str">
        <f t="shared" si="24"/>
        <v>BrandE3</v>
      </c>
      <c r="AA93" t="str">
        <f t="shared" si="25"/>
        <v>BrandE 3</v>
      </c>
      <c r="AB93" t="str">
        <f t="shared" si="26"/>
        <v>Karnataka Marketplace</v>
      </c>
      <c r="AC93">
        <f t="shared" si="27"/>
        <v>5</v>
      </c>
      <c r="AD93">
        <f t="shared" si="28"/>
        <v>11</v>
      </c>
      <c r="AE93" t="str">
        <f t="shared" si="29"/>
        <v>Karnpka Marketplace</v>
      </c>
      <c r="AF93" t="s">
        <v>128</v>
      </c>
      <c r="AG93" t="s">
        <v>133</v>
      </c>
      <c r="AH93" t="s">
        <v>133</v>
      </c>
    </row>
    <row r="94" spans="1:34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t="s">
        <v>33</v>
      </c>
      <c r="Q94" t="str">
        <f t="shared" si="15"/>
        <v>ing</v>
      </c>
      <c r="R94" t="str">
        <f t="shared" si="16"/>
        <v>ipst</v>
      </c>
      <c r="S94">
        <f t="shared" si="17"/>
        <v>8</v>
      </c>
      <c r="T94" t="str">
        <f t="shared" si="18"/>
        <v>Lipstick</v>
      </c>
      <c r="U94">
        <f t="shared" si="19"/>
        <v>8</v>
      </c>
      <c r="V94" t="str">
        <f t="shared" si="20"/>
        <v>LIPSTICK</v>
      </c>
      <c r="W94" t="str">
        <f t="shared" si="21"/>
        <v>lipstick</v>
      </c>
      <c r="X94" t="str">
        <f t="shared" si="22"/>
        <v>Lipstick</v>
      </c>
      <c r="Y94" t="str">
        <f t="shared" si="23"/>
        <v>West Bengal 9</v>
      </c>
      <c r="Z94" t="str">
        <f t="shared" si="24"/>
        <v>BrandE9</v>
      </c>
      <c r="AA94" t="str">
        <f t="shared" si="25"/>
        <v>BrandE 9</v>
      </c>
      <c r="AB94" t="str">
        <f t="shared" si="26"/>
        <v>West Bengal Mobile App</v>
      </c>
      <c r="AC94">
        <f t="shared" si="27"/>
        <v>6</v>
      </c>
      <c r="AD94">
        <f t="shared" si="28"/>
        <v>13</v>
      </c>
      <c r="AE94" t="str">
        <f t="shared" si="29"/>
        <v>Westpngal Mobile App</v>
      </c>
      <c r="AF94" t="s">
        <v>127</v>
      </c>
      <c r="AG94" t="s">
        <v>131</v>
      </c>
      <c r="AH94" t="s">
        <v>134</v>
      </c>
    </row>
    <row r="95" spans="1:34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t="s">
        <v>21</v>
      </c>
      <c r="Q95" t="str">
        <f t="shared" si="15"/>
        <v>ard</v>
      </c>
      <c r="R95" t="str">
        <f t="shared" si="16"/>
        <v>erfu</v>
      </c>
      <c r="S95">
        <f t="shared" si="17"/>
        <v>7</v>
      </c>
      <c r="T95" t="str">
        <f t="shared" si="18"/>
        <v>Perfume</v>
      </c>
      <c r="U95">
        <f t="shared" si="19"/>
        <v>7</v>
      </c>
      <c r="V95" t="str">
        <f t="shared" si="20"/>
        <v>PERFUME</v>
      </c>
      <c r="W95" t="str">
        <f t="shared" si="21"/>
        <v>perfume</v>
      </c>
      <c r="X95" t="str">
        <f t="shared" si="22"/>
        <v>Perfume</v>
      </c>
      <c r="Y95" t="str">
        <f t="shared" si="23"/>
        <v>Delhi 4</v>
      </c>
      <c r="Z95" t="str">
        <f t="shared" si="24"/>
        <v>BrandA4</v>
      </c>
      <c r="AA95" t="str">
        <f t="shared" si="25"/>
        <v>BrandA 4</v>
      </c>
      <c r="AB95" t="str">
        <f t="shared" si="26"/>
        <v>Delhi Marketplace</v>
      </c>
      <c r="AC95">
        <f t="shared" si="27"/>
        <v>5</v>
      </c>
      <c r="AD95">
        <f t="shared" si="28"/>
        <v>7</v>
      </c>
      <c r="AE95" t="str">
        <f t="shared" si="29"/>
        <v>Delhparketplace</v>
      </c>
      <c r="AF95" t="s">
        <v>125</v>
      </c>
      <c r="AG95" t="s">
        <v>133</v>
      </c>
      <c r="AH95" t="s">
        <v>133</v>
      </c>
    </row>
    <row r="96" spans="1:34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t="s">
        <v>47</v>
      </c>
      <c r="Q96" t="str">
        <f t="shared" si="15"/>
        <v>ing</v>
      </c>
      <c r="R96" t="str">
        <f t="shared" si="16"/>
        <v>eadp</v>
      </c>
      <c r="S96">
        <f t="shared" si="17"/>
        <v>10</v>
      </c>
      <c r="T96" t="str">
        <f t="shared" si="18"/>
        <v>Headphones</v>
      </c>
      <c r="U96">
        <f t="shared" si="19"/>
        <v>10</v>
      </c>
      <c r="V96" t="str">
        <f t="shared" si="20"/>
        <v>HEADPHONES</v>
      </c>
      <c r="W96" t="str">
        <f t="shared" si="21"/>
        <v>headphones</v>
      </c>
      <c r="X96" t="str">
        <f t="shared" si="22"/>
        <v>Headphones</v>
      </c>
      <c r="Y96" t="str">
        <f t="shared" si="23"/>
        <v>Maharashtra 3</v>
      </c>
      <c r="Z96" t="str">
        <f t="shared" si="24"/>
        <v>BrandB3</v>
      </c>
      <c r="AA96" t="str">
        <f t="shared" si="25"/>
        <v>BrandB 3</v>
      </c>
      <c r="AB96" t="str">
        <f t="shared" si="26"/>
        <v>Maharashtra Marketplace</v>
      </c>
      <c r="AC96">
        <f t="shared" si="27"/>
        <v>5</v>
      </c>
      <c r="AD96">
        <f t="shared" si="28"/>
        <v>1</v>
      </c>
      <c r="AE96" t="str">
        <f t="shared" si="29"/>
        <v>Mahaphtra Marketplace</v>
      </c>
      <c r="AF96" t="s">
        <v>130</v>
      </c>
      <c r="AG96" t="s">
        <v>133</v>
      </c>
      <c r="AH96" t="s">
        <v>133</v>
      </c>
    </row>
    <row r="97" spans="1:34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t="s">
        <v>33</v>
      </c>
      <c r="Q97" t="str">
        <f t="shared" si="15"/>
        <v>ard</v>
      </c>
      <c r="R97" t="str">
        <f t="shared" si="16"/>
        <v>erfu</v>
      </c>
      <c r="S97">
        <f t="shared" si="17"/>
        <v>7</v>
      </c>
      <c r="T97" t="str">
        <f t="shared" si="18"/>
        <v>Perfume</v>
      </c>
      <c r="U97">
        <f t="shared" si="19"/>
        <v>7</v>
      </c>
      <c r="V97" t="str">
        <f t="shared" si="20"/>
        <v>PERFUME</v>
      </c>
      <c r="W97" t="str">
        <f t="shared" si="21"/>
        <v>perfume</v>
      </c>
      <c r="X97" t="str">
        <f t="shared" si="22"/>
        <v>Perfume</v>
      </c>
      <c r="Y97" t="str">
        <f t="shared" si="23"/>
        <v>Delhi 2</v>
      </c>
      <c r="Z97" t="str">
        <f t="shared" si="24"/>
        <v>BrandE2</v>
      </c>
      <c r="AA97" t="str">
        <f t="shared" si="25"/>
        <v>BrandE 2</v>
      </c>
      <c r="AB97" t="str">
        <f t="shared" si="26"/>
        <v>Delhi Mobile App</v>
      </c>
      <c r="AC97">
        <f t="shared" si="27"/>
        <v>6</v>
      </c>
      <c r="AD97">
        <f t="shared" si="28"/>
        <v>7</v>
      </c>
      <c r="AE97" t="str">
        <f t="shared" si="29"/>
        <v>Delhpobile App</v>
      </c>
      <c r="AF97" t="s">
        <v>125</v>
      </c>
      <c r="AG97" t="s">
        <v>131</v>
      </c>
      <c r="AH97" t="s">
        <v>134</v>
      </c>
    </row>
    <row r="98" spans="1:34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t="s">
        <v>28</v>
      </c>
      <c r="Q98" t="str">
        <f t="shared" si="15"/>
        <v>ard</v>
      </c>
      <c r="R98" t="str">
        <f t="shared" si="16"/>
        <v>erfu</v>
      </c>
      <c r="S98">
        <f t="shared" si="17"/>
        <v>7</v>
      </c>
      <c r="T98" t="str">
        <f t="shared" si="18"/>
        <v>Perfume</v>
      </c>
      <c r="U98">
        <f t="shared" si="19"/>
        <v>7</v>
      </c>
      <c r="V98" t="str">
        <f t="shared" si="20"/>
        <v>PERFUME</v>
      </c>
      <c r="W98" t="str">
        <f t="shared" si="21"/>
        <v>perfume</v>
      </c>
      <c r="X98" t="str">
        <f t="shared" si="22"/>
        <v>Perfume</v>
      </c>
      <c r="Y98" t="str">
        <f t="shared" si="23"/>
        <v>Tamil Nadu 9</v>
      </c>
      <c r="Z98" t="str">
        <f t="shared" si="24"/>
        <v>BrandD9</v>
      </c>
      <c r="AA98" t="str">
        <f t="shared" si="25"/>
        <v>BrandD 9</v>
      </c>
      <c r="AB98" t="str">
        <f t="shared" si="26"/>
        <v>Tamil Nadu Website</v>
      </c>
      <c r="AC98">
        <f t="shared" si="27"/>
        <v>2</v>
      </c>
      <c r="AD98">
        <f t="shared" si="28"/>
        <v>3</v>
      </c>
      <c r="AE98" t="str">
        <f t="shared" si="29"/>
        <v>Tamipadu Website</v>
      </c>
      <c r="AF98" t="s">
        <v>126</v>
      </c>
      <c r="AG98" t="s">
        <v>132</v>
      </c>
      <c r="AH98" t="s">
        <v>132</v>
      </c>
    </row>
    <row r="99" spans="1:34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t="s">
        <v>45</v>
      </c>
      <c r="Q99" t="str">
        <f t="shared" si="15"/>
        <v>ing</v>
      </c>
      <c r="R99" t="str">
        <f t="shared" si="16"/>
        <v xml:space="preserve">oga </v>
      </c>
      <c r="S99">
        <f t="shared" si="17"/>
        <v>8</v>
      </c>
      <c r="T99" t="str">
        <f t="shared" si="18"/>
        <v>Yoga Mat</v>
      </c>
      <c r="U99">
        <f t="shared" si="19"/>
        <v>8</v>
      </c>
      <c r="V99" t="str">
        <f t="shared" si="20"/>
        <v>YOGA MAT</v>
      </c>
      <c r="W99" t="str">
        <f t="shared" si="21"/>
        <v>yoga mat</v>
      </c>
      <c r="X99" t="str">
        <f t="shared" si="22"/>
        <v>Yoga Mat</v>
      </c>
      <c r="Y99" t="str">
        <f t="shared" si="23"/>
        <v>Maharashtra 4</v>
      </c>
      <c r="Z99" t="str">
        <f t="shared" si="24"/>
        <v>BrandC4</v>
      </c>
      <c r="AA99" t="str">
        <f t="shared" si="25"/>
        <v>BrandC 4</v>
      </c>
      <c r="AB99" t="str">
        <f t="shared" si="26"/>
        <v>Maharashtra Website</v>
      </c>
      <c r="AC99">
        <f t="shared" si="27"/>
        <v>2</v>
      </c>
      <c r="AD99">
        <f t="shared" si="28"/>
        <v>1</v>
      </c>
      <c r="AE99" t="str">
        <f t="shared" si="29"/>
        <v>Mahaphtra Website</v>
      </c>
      <c r="AF99" t="s">
        <v>130</v>
      </c>
      <c r="AG99" t="s">
        <v>132</v>
      </c>
      <c r="AH99" t="s">
        <v>132</v>
      </c>
    </row>
    <row r="100" spans="1:34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t="s">
        <v>28</v>
      </c>
      <c r="Q100" t="str">
        <f t="shared" si="15"/>
        <v>ing</v>
      </c>
      <c r="R100" t="str">
        <f t="shared" si="16"/>
        <v>hamp</v>
      </c>
      <c r="S100">
        <f t="shared" si="17"/>
        <v>7</v>
      </c>
      <c r="T100" t="str">
        <f t="shared" si="18"/>
        <v>Shampoo</v>
      </c>
      <c r="U100">
        <f t="shared" si="19"/>
        <v>7</v>
      </c>
      <c r="V100" t="str">
        <f t="shared" si="20"/>
        <v>SHAMPOO</v>
      </c>
      <c r="W100" t="str">
        <f t="shared" si="21"/>
        <v>shampoo</v>
      </c>
      <c r="X100" t="str">
        <f t="shared" si="22"/>
        <v>Shampoo</v>
      </c>
      <c r="Y100" t="str">
        <f t="shared" si="23"/>
        <v>Karnataka 3</v>
      </c>
      <c r="Z100" t="str">
        <f t="shared" si="24"/>
        <v>BrandD3</v>
      </c>
      <c r="AA100" t="str">
        <f t="shared" si="25"/>
        <v>BrandD 3</v>
      </c>
      <c r="AB100" t="str">
        <f t="shared" si="26"/>
        <v>Karnataka Mobile App</v>
      </c>
      <c r="AC100">
        <f t="shared" si="27"/>
        <v>6</v>
      </c>
      <c r="AD100">
        <f t="shared" si="28"/>
        <v>11</v>
      </c>
      <c r="AE100" t="str">
        <f t="shared" si="29"/>
        <v>Karnpka Mobile App</v>
      </c>
      <c r="AF100" t="s">
        <v>128</v>
      </c>
      <c r="AG100" t="s">
        <v>131</v>
      </c>
      <c r="AH100" t="s">
        <v>134</v>
      </c>
    </row>
    <row r="101" spans="1:34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t="s">
        <v>47</v>
      </c>
      <c r="Q101" t="str">
        <f t="shared" si="15"/>
        <v>ard</v>
      </c>
      <c r="R101" t="str">
        <f t="shared" si="16"/>
        <v>edsh</v>
      </c>
      <c r="S101">
        <f t="shared" si="17"/>
        <v>8</v>
      </c>
      <c r="T101" t="str">
        <f t="shared" si="18"/>
        <v>Bedsheet</v>
      </c>
      <c r="U101">
        <f t="shared" si="19"/>
        <v>8</v>
      </c>
      <c r="V101" t="str">
        <f t="shared" si="20"/>
        <v>BEDSHEET</v>
      </c>
      <c r="W101" t="str">
        <f t="shared" si="21"/>
        <v>bedsheet</v>
      </c>
      <c r="X101" t="str">
        <f t="shared" si="22"/>
        <v>Bedsheet</v>
      </c>
      <c r="Y101" t="str">
        <f t="shared" si="23"/>
        <v>West Bengal 7</v>
      </c>
      <c r="Z101" t="str">
        <f t="shared" si="24"/>
        <v>BrandB7</v>
      </c>
      <c r="AA101" t="str">
        <f t="shared" si="25"/>
        <v>BrandB 7</v>
      </c>
      <c r="AB101" t="str">
        <f t="shared" si="26"/>
        <v>West Bengal Website</v>
      </c>
      <c r="AC101">
        <f t="shared" si="27"/>
        <v>2</v>
      </c>
      <c r="AD101" t="e">
        <f t="shared" si="28"/>
        <v>#VALUE!</v>
      </c>
      <c r="AE101" t="str">
        <f t="shared" si="29"/>
        <v>Westpngal Website</v>
      </c>
      <c r="AF101" t="s">
        <v>127</v>
      </c>
      <c r="AG101" t="s">
        <v>132</v>
      </c>
      <c r="AH101" t="s">
        <v>132</v>
      </c>
    </row>
    <row r="102" spans="1:34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t="s">
        <v>28</v>
      </c>
      <c r="Q102" t="str">
        <f t="shared" si="15"/>
        <v>ing</v>
      </c>
      <c r="R102" t="str">
        <f t="shared" si="16"/>
        <v>omic</v>
      </c>
      <c r="S102">
        <f t="shared" si="17"/>
        <v>6</v>
      </c>
      <c r="T102" t="str">
        <f t="shared" si="18"/>
        <v>Comics</v>
      </c>
      <c r="U102">
        <f t="shared" si="19"/>
        <v>6</v>
      </c>
      <c r="V102" t="str">
        <f t="shared" si="20"/>
        <v>COMICS</v>
      </c>
      <c r="W102" t="str">
        <f t="shared" si="21"/>
        <v>comics</v>
      </c>
      <c r="X102" t="str">
        <f t="shared" si="22"/>
        <v>Comics</v>
      </c>
      <c r="Y102" t="str">
        <f t="shared" si="23"/>
        <v>Delhi 8</v>
      </c>
      <c r="Z102" t="str">
        <f t="shared" si="24"/>
        <v>BrandD8</v>
      </c>
      <c r="AA102" t="str">
        <f t="shared" si="25"/>
        <v>BrandD 8</v>
      </c>
      <c r="AB102" t="str">
        <f t="shared" si="26"/>
        <v>Delhi Marketplace</v>
      </c>
      <c r="AC102">
        <f t="shared" si="27"/>
        <v>5</v>
      </c>
      <c r="AD102">
        <f t="shared" si="28"/>
        <v>7</v>
      </c>
      <c r="AE102" t="str">
        <f t="shared" si="29"/>
        <v>Delhparketplace</v>
      </c>
      <c r="AF102" t="s">
        <v>125</v>
      </c>
      <c r="AG102" t="s">
        <v>133</v>
      </c>
      <c r="AH102" t="s">
        <v>133</v>
      </c>
    </row>
    <row r="103" spans="1:34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t="s">
        <v>21</v>
      </c>
      <c r="Q103" t="str">
        <f t="shared" si="15"/>
        <v>ard</v>
      </c>
      <c r="R103" t="str">
        <f t="shared" si="16"/>
        <v>acke</v>
      </c>
      <c r="S103">
        <f t="shared" si="17"/>
        <v>6</v>
      </c>
      <c r="T103" t="str">
        <f t="shared" si="18"/>
        <v>Jacket</v>
      </c>
      <c r="U103">
        <f t="shared" si="19"/>
        <v>6</v>
      </c>
      <c r="V103" t="str">
        <f t="shared" si="20"/>
        <v>JACKET</v>
      </c>
      <c r="W103" t="str">
        <f t="shared" si="21"/>
        <v>jacket</v>
      </c>
      <c r="X103" t="str">
        <f t="shared" si="22"/>
        <v>Jacket</v>
      </c>
      <c r="Y103" t="str">
        <f t="shared" si="23"/>
        <v>Maharashtra 2</v>
      </c>
      <c r="Z103" t="str">
        <f t="shared" si="24"/>
        <v>BrandA2</v>
      </c>
      <c r="AA103" t="str">
        <f t="shared" si="25"/>
        <v>BrandA 2</v>
      </c>
      <c r="AB103" t="str">
        <f t="shared" si="26"/>
        <v>Maharashtra Marketplace</v>
      </c>
      <c r="AC103">
        <f t="shared" si="27"/>
        <v>5</v>
      </c>
      <c r="AD103">
        <f t="shared" si="28"/>
        <v>1</v>
      </c>
      <c r="AE103" t="str">
        <f t="shared" si="29"/>
        <v>Mahaphtra Marketplace</v>
      </c>
      <c r="AF103" t="s">
        <v>130</v>
      </c>
      <c r="AG103" t="s">
        <v>133</v>
      </c>
      <c r="AH103" t="s">
        <v>133</v>
      </c>
    </row>
    <row r="104" spans="1:34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t="s">
        <v>47</v>
      </c>
      <c r="Q104" t="str">
        <f t="shared" si="15"/>
        <v>ing</v>
      </c>
      <c r="R104" t="str">
        <f t="shared" si="16"/>
        <v>ixer</v>
      </c>
      <c r="S104">
        <f t="shared" si="17"/>
        <v>13</v>
      </c>
      <c r="T104" t="str">
        <f t="shared" si="18"/>
        <v>Mixer Grinder</v>
      </c>
      <c r="U104">
        <f t="shared" si="19"/>
        <v>13</v>
      </c>
      <c r="V104" t="str">
        <f t="shared" si="20"/>
        <v>MIXER GRINDER</v>
      </c>
      <c r="W104" t="str">
        <f t="shared" si="21"/>
        <v>mixer grinder</v>
      </c>
      <c r="X104" t="str">
        <f t="shared" si="22"/>
        <v>Mixer Grinder</v>
      </c>
      <c r="Y104" t="str">
        <f t="shared" si="23"/>
        <v>Tamil Nadu 7</v>
      </c>
      <c r="Z104" t="str">
        <f t="shared" si="24"/>
        <v>BrandB7</v>
      </c>
      <c r="AA104" t="str">
        <f t="shared" si="25"/>
        <v>BrandB 7</v>
      </c>
      <c r="AB104" t="str">
        <f t="shared" si="26"/>
        <v>Tamil Nadu Mobile App</v>
      </c>
      <c r="AC104">
        <f t="shared" si="27"/>
        <v>6</v>
      </c>
      <c r="AD104">
        <f t="shared" si="28"/>
        <v>3</v>
      </c>
      <c r="AE104" t="str">
        <f t="shared" si="29"/>
        <v>Tamipadu Mobile App</v>
      </c>
      <c r="AF104" t="s">
        <v>126</v>
      </c>
      <c r="AG104" t="s">
        <v>131</v>
      </c>
      <c r="AH104" t="s">
        <v>134</v>
      </c>
    </row>
    <row r="105" spans="1:34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t="s">
        <v>45</v>
      </c>
      <c r="Q105" t="str">
        <f t="shared" si="15"/>
        <v>UPI</v>
      </c>
      <c r="R105" t="str">
        <f t="shared" si="16"/>
        <v>hamp</v>
      </c>
      <c r="S105">
        <f t="shared" si="17"/>
        <v>7</v>
      </c>
      <c r="T105" t="str">
        <f t="shared" si="18"/>
        <v>Shampoo</v>
      </c>
      <c r="U105">
        <f t="shared" si="19"/>
        <v>7</v>
      </c>
      <c r="V105" t="str">
        <f t="shared" si="20"/>
        <v>SHAMPOO</v>
      </c>
      <c r="W105" t="str">
        <f t="shared" si="21"/>
        <v>shampoo</v>
      </c>
      <c r="X105" t="str">
        <f t="shared" si="22"/>
        <v>Shampoo</v>
      </c>
      <c r="Y105" t="str">
        <f t="shared" si="23"/>
        <v>Maharashtra 5</v>
      </c>
      <c r="Z105" t="str">
        <f t="shared" si="24"/>
        <v>BrandC5</v>
      </c>
      <c r="AA105" t="str">
        <f t="shared" si="25"/>
        <v>BrandC 5</v>
      </c>
      <c r="AB105" t="str">
        <f t="shared" si="26"/>
        <v>Maharashtra Website</v>
      </c>
      <c r="AC105">
        <f t="shared" si="27"/>
        <v>2</v>
      </c>
      <c r="AD105">
        <f t="shared" si="28"/>
        <v>1</v>
      </c>
      <c r="AE105" t="str">
        <f t="shared" si="29"/>
        <v>Mahaphtra Website</v>
      </c>
      <c r="AF105" t="s">
        <v>130</v>
      </c>
      <c r="AG105" t="s">
        <v>132</v>
      </c>
      <c r="AH105" t="s">
        <v>132</v>
      </c>
    </row>
    <row r="106" spans="1:34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t="s">
        <v>21</v>
      </c>
      <c r="Q106" t="str">
        <f t="shared" si="15"/>
        <v>ery</v>
      </c>
      <c r="R106" t="str">
        <f t="shared" si="16"/>
        <v>ootb</v>
      </c>
      <c r="S106">
        <f t="shared" si="17"/>
        <v>8</v>
      </c>
      <c r="T106" t="str">
        <f t="shared" si="18"/>
        <v>Football</v>
      </c>
      <c r="U106">
        <f t="shared" si="19"/>
        <v>8</v>
      </c>
      <c r="V106" t="str">
        <f t="shared" si="20"/>
        <v>FOOTBALL</v>
      </c>
      <c r="W106" t="str">
        <f t="shared" si="21"/>
        <v>football</v>
      </c>
      <c r="X106" t="str">
        <f t="shared" si="22"/>
        <v>Football</v>
      </c>
      <c r="Y106" t="str">
        <f t="shared" si="23"/>
        <v>Telangana 5</v>
      </c>
      <c r="Z106" t="str">
        <f t="shared" si="24"/>
        <v>BrandA5</v>
      </c>
      <c r="AA106" t="str">
        <f t="shared" si="25"/>
        <v>BrandA 5</v>
      </c>
      <c r="AB106" t="str">
        <f t="shared" si="26"/>
        <v>Telangana Website</v>
      </c>
      <c r="AC106">
        <f t="shared" si="27"/>
        <v>2</v>
      </c>
      <c r="AD106" t="e">
        <f t="shared" si="28"/>
        <v>#VALUE!</v>
      </c>
      <c r="AE106" t="str">
        <f t="shared" si="29"/>
        <v>Telapna Website</v>
      </c>
      <c r="AF106" t="s">
        <v>129</v>
      </c>
      <c r="AG106" t="s">
        <v>132</v>
      </c>
      <c r="AH106" t="s">
        <v>132</v>
      </c>
    </row>
    <row r="107" spans="1:34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t="s">
        <v>47</v>
      </c>
      <c r="Q107" t="str">
        <f t="shared" si="15"/>
        <v>ard</v>
      </c>
      <c r="R107" t="str">
        <f t="shared" si="16"/>
        <v>apto</v>
      </c>
      <c r="S107">
        <f t="shared" si="17"/>
        <v>6</v>
      </c>
      <c r="T107" t="str">
        <f t="shared" si="18"/>
        <v>Laptop</v>
      </c>
      <c r="U107">
        <f t="shared" si="19"/>
        <v>6</v>
      </c>
      <c r="V107" t="str">
        <f t="shared" si="20"/>
        <v>LAPTOP</v>
      </c>
      <c r="W107" t="str">
        <f t="shared" si="21"/>
        <v>laptop</v>
      </c>
      <c r="X107" t="str">
        <f t="shared" si="22"/>
        <v>Laptop</v>
      </c>
      <c r="Y107" t="str">
        <f t="shared" si="23"/>
        <v>Tamil Nadu 3</v>
      </c>
      <c r="Z107" t="str">
        <f t="shared" si="24"/>
        <v>BrandB3</v>
      </c>
      <c r="AA107" t="str">
        <f t="shared" si="25"/>
        <v>BrandB 3</v>
      </c>
      <c r="AB107" t="str">
        <f t="shared" si="26"/>
        <v>Tamil Nadu Marketplace</v>
      </c>
      <c r="AC107">
        <f t="shared" si="27"/>
        <v>5</v>
      </c>
      <c r="AD107">
        <f t="shared" si="28"/>
        <v>3</v>
      </c>
      <c r="AE107" t="str">
        <f t="shared" si="29"/>
        <v>Tamipadu Marketplace</v>
      </c>
      <c r="AF107" t="s">
        <v>126</v>
      </c>
      <c r="AG107" t="s">
        <v>133</v>
      </c>
      <c r="AH107" t="s">
        <v>133</v>
      </c>
    </row>
    <row r="108" spans="1:34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t="s">
        <v>45</v>
      </c>
      <c r="Q108" t="str">
        <f t="shared" si="15"/>
        <v>UPI</v>
      </c>
      <c r="R108" t="str">
        <f t="shared" si="16"/>
        <v>erfu</v>
      </c>
      <c r="S108">
        <f t="shared" si="17"/>
        <v>7</v>
      </c>
      <c r="T108" t="str">
        <f t="shared" si="18"/>
        <v>Perfume</v>
      </c>
      <c r="U108">
        <f t="shared" si="19"/>
        <v>7</v>
      </c>
      <c r="V108" t="str">
        <f t="shared" si="20"/>
        <v>PERFUME</v>
      </c>
      <c r="W108" t="str">
        <f t="shared" si="21"/>
        <v>perfume</v>
      </c>
      <c r="X108" t="str">
        <f t="shared" si="22"/>
        <v>Perfume</v>
      </c>
      <c r="Y108" t="str">
        <f t="shared" si="23"/>
        <v>Karnataka 5</v>
      </c>
      <c r="Z108" t="str">
        <f t="shared" si="24"/>
        <v>BrandC5</v>
      </c>
      <c r="AA108" t="str">
        <f t="shared" si="25"/>
        <v>BrandC 5</v>
      </c>
      <c r="AB108" t="str">
        <f t="shared" si="26"/>
        <v>Karnataka Mobile App</v>
      </c>
      <c r="AC108">
        <f t="shared" si="27"/>
        <v>6</v>
      </c>
      <c r="AD108">
        <f t="shared" si="28"/>
        <v>11</v>
      </c>
      <c r="AE108" t="str">
        <f t="shared" si="29"/>
        <v>Karnpka Mobile App</v>
      </c>
      <c r="AF108" t="s">
        <v>128</v>
      </c>
      <c r="AG108" t="s">
        <v>131</v>
      </c>
      <c r="AH108" t="s">
        <v>134</v>
      </c>
    </row>
    <row r="109" spans="1:34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t="s">
        <v>21</v>
      </c>
      <c r="Q109" t="str">
        <f t="shared" si="15"/>
        <v>ard</v>
      </c>
      <c r="R109" t="str">
        <f t="shared" si="16"/>
        <v xml:space="preserve">oga </v>
      </c>
      <c r="S109">
        <f t="shared" si="17"/>
        <v>8</v>
      </c>
      <c r="T109" t="str">
        <f t="shared" si="18"/>
        <v>Yoga Mat</v>
      </c>
      <c r="U109">
        <f t="shared" si="19"/>
        <v>8</v>
      </c>
      <c r="V109" t="str">
        <f t="shared" si="20"/>
        <v>YOGA MAT</v>
      </c>
      <c r="W109" t="str">
        <f t="shared" si="21"/>
        <v>yoga mat</v>
      </c>
      <c r="X109" t="str">
        <f t="shared" si="22"/>
        <v>Yoga Mat</v>
      </c>
      <c r="Y109" t="str">
        <f t="shared" si="23"/>
        <v>West Bengal 2</v>
      </c>
      <c r="Z109" t="str">
        <f t="shared" si="24"/>
        <v>BrandA2</v>
      </c>
      <c r="AA109" t="str">
        <f t="shared" si="25"/>
        <v>BrandA 2</v>
      </c>
      <c r="AB109" t="str">
        <f t="shared" si="26"/>
        <v>West Bengal Website</v>
      </c>
      <c r="AC109">
        <f t="shared" si="27"/>
        <v>2</v>
      </c>
      <c r="AD109" t="e">
        <f t="shared" si="28"/>
        <v>#VALUE!</v>
      </c>
      <c r="AE109" t="str">
        <f t="shared" si="29"/>
        <v>Westpngal Website</v>
      </c>
      <c r="AF109" t="s">
        <v>127</v>
      </c>
      <c r="AG109" t="s">
        <v>132</v>
      </c>
      <c r="AH109" t="s">
        <v>132</v>
      </c>
    </row>
    <row r="110" spans="1:34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t="s">
        <v>21</v>
      </c>
      <c r="Q110" t="str">
        <f t="shared" si="15"/>
        <v>ard</v>
      </c>
      <c r="R110" t="str">
        <f t="shared" si="16"/>
        <v>omic</v>
      </c>
      <c r="S110">
        <f t="shared" si="17"/>
        <v>6</v>
      </c>
      <c r="T110" t="str">
        <f t="shared" si="18"/>
        <v>Comics</v>
      </c>
      <c r="U110">
        <f t="shared" si="19"/>
        <v>6</v>
      </c>
      <c r="V110" t="str">
        <f t="shared" si="20"/>
        <v>COMICS</v>
      </c>
      <c r="W110" t="str">
        <f t="shared" si="21"/>
        <v>comics</v>
      </c>
      <c r="X110" t="str">
        <f t="shared" si="22"/>
        <v>Comics</v>
      </c>
      <c r="Y110" t="str">
        <f t="shared" si="23"/>
        <v>Karnataka 4</v>
      </c>
      <c r="Z110" t="str">
        <f t="shared" si="24"/>
        <v>BrandA4</v>
      </c>
      <c r="AA110" t="str">
        <f t="shared" si="25"/>
        <v>BrandA 4</v>
      </c>
      <c r="AB110" t="str">
        <f t="shared" si="26"/>
        <v>Karnataka Mobile App</v>
      </c>
      <c r="AC110">
        <f t="shared" si="27"/>
        <v>6</v>
      </c>
      <c r="AD110">
        <f t="shared" si="28"/>
        <v>11</v>
      </c>
      <c r="AE110" t="str">
        <f t="shared" si="29"/>
        <v>Karnpka Mobile App</v>
      </c>
      <c r="AF110" t="s">
        <v>128</v>
      </c>
      <c r="AG110" t="s">
        <v>131</v>
      </c>
      <c r="AH110" t="s">
        <v>134</v>
      </c>
    </row>
    <row r="111" spans="1:34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t="s">
        <v>47</v>
      </c>
      <c r="Q111" t="str">
        <f t="shared" si="15"/>
        <v>ery</v>
      </c>
      <c r="R111" t="str">
        <f t="shared" si="16"/>
        <v>ipst</v>
      </c>
      <c r="S111">
        <f t="shared" si="17"/>
        <v>8</v>
      </c>
      <c r="T111" t="str">
        <f t="shared" si="18"/>
        <v>Lipstick</v>
      </c>
      <c r="U111">
        <f t="shared" si="19"/>
        <v>8</v>
      </c>
      <c r="V111" t="str">
        <f t="shared" si="20"/>
        <v>LIPSTICK</v>
      </c>
      <c r="W111" t="str">
        <f t="shared" si="21"/>
        <v>lipstick</v>
      </c>
      <c r="X111" t="str">
        <f t="shared" si="22"/>
        <v>Lipstick</v>
      </c>
      <c r="Y111" t="str">
        <f t="shared" si="23"/>
        <v>Delhi 6</v>
      </c>
      <c r="Z111" t="str">
        <f t="shared" si="24"/>
        <v>BrandB6</v>
      </c>
      <c r="AA111" t="str">
        <f t="shared" si="25"/>
        <v>BrandB 6</v>
      </c>
      <c r="AB111" t="str">
        <f t="shared" si="26"/>
        <v>Delhi Website</v>
      </c>
      <c r="AC111">
        <f t="shared" si="27"/>
        <v>2</v>
      </c>
      <c r="AD111" t="e">
        <f t="shared" si="28"/>
        <v>#VALUE!</v>
      </c>
      <c r="AE111" t="str">
        <f t="shared" si="29"/>
        <v>Delhpebsite</v>
      </c>
      <c r="AF111" t="s">
        <v>125</v>
      </c>
      <c r="AG111" t="s">
        <v>132</v>
      </c>
      <c r="AH111" t="s">
        <v>132</v>
      </c>
    </row>
    <row r="112" spans="1:34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t="s">
        <v>33</v>
      </c>
      <c r="Q112" t="str">
        <f t="shared" si="15"/>
        <v>ery</v>
      </c>
      <c r="R112" t="str">
        <f t="shared" si="16"/>
        <v>mart</v>
      </c>
      <c r="S112">
        <f t="shared" si="17"/>
        <v>10</v>
      </c>
      <c r="T112" t="str">
        <f t="shared" si="18"/>
        <v>Smartphone</v>
      </c>
      <c r="U112">
        <f t="shared" si="19"/>
        <v>10</v>
      </c>
      <c r="V112" t="str">
        <f t="shared" si="20"/>
        <v>SMARTPHONE</v>
      </c>
      <c r="W112" t="str">
        <f t="shared" si="21"/>
        <v>smartphone</v>
      </c>
      <c r="X112" t="str">
        <f t="shared" si="22"/>
        <v>Smartphone</v>
      </c>
      <c r="Y112" t="str">
        <f t="shared" si="23"/>
        <v>Maharashtra 1</v>
      </c>
      <c r="Z112" t="str">
        <f t="shared" si="24"/>
        <v>BrandE1</v>
      </c>
      <c r="AA112" t="str">
        <f t="shared" si="25"/>
        <v>BrandE 1</v>
      </c>
      <c r="AB112" t="str">
        <f t="shared" si="26"/>
        <v>Maharashtra Marketplace</v>
      </c>
      <c r="AC112">
        <f t="shared" si="27"/>
        <v>5</v>
      </c>
      <c r="AD112">
        <f t="shared" si="28"/>
        <v>1</v>
      </c>
      <c r="AE112" t="str">
        <f t="shared" si="29"/>
        <v>Mahaphtra Marketplace</v>
      </c>
      <c r="AF112" t="s">
        <v>130</v>
      </c>
      <c r="AG112" t="s">
        <v>133</v>
      </c>
      <c r="AH112" t="s">
        <v>133</v>
      </c>
    </row>
    <row r="113" spans="1:34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t="s">
        <v>21</v>
      </c>
      <c r="Q113" t="str">
        <f t="shared" si="15"/>
        <v>ard</v>
      </c>
      <c r="R113" t="str">
        <f t="shared" si="16"/>
        <v xml:space="preserve">oga </v>
      </c>
      <c r="S113">
        <f t="shared" si="17"/>
        <v>8</v>
      </c>
      <c r="T113" t="str">
        <f t="shared" si="18"/>
        <v>Yoga Mat</v>
      </c>
      <c r="U113">
        <f t="shared" si="19"/>
        <v>8</v>
      </c>
      <c r="V113" t="str">
        <f t="shared" si="20"/>
        <v>YOGA MAT</v>
      </c>
      <c r="W113" t="str">
        <f t="shared" si="21"/>
        <v>yoga mat</v>
      </c>
      <c r="X113" t="str">
        <f t="shared" si="22"/>
        <v>Yoga Mat</v>
      </c>
      <c r="Y113" t="str">
        <f t="shared" si="23"/>
        <v>Telangana 4</v>
      </c>
      <c r="Z113" t="str">
        <f t="shared" si="24"/>
        <v>BrandA4</v>
      </c>
      <c r="AA113" t="str">
        <f t="shared" si="25"/>
        <v>BrandA 4</v>
      </c>
      <c r="AB113" t="str">
        <f t="shared" si="26"/>
        <v>Telangana Marketplace</v>
      </c>
      <c r="AC113">
        <f t="shared" si="27"/>
        <v>5</v>
      </c>
      <c r="AD113">
        <f t="shared" si="28"/>
        <v>11</v>
      </c>
      <c r="AE113" t="str">
        <f t="shared" si="29"/>
        <v>Telapna Marketplace</v>
      </c>
      <c r="AF113" t="s">
        <v>129</v>
      </c>
      <c r="AG113" t="s">
        <v>133</v>
      </c>
      <c r="AH113" t="s">
        <v>133</v>
      </c>
    </row>
    <row r="114" spans="1:34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t="s">
        <v>21</v>
      </c>
      <c r="Q114" t="str">
        <f t="shared" si="15"/>
        <v>ard</v>
      </c>
      <c r="R114" t="str">
        <f t="shared" si="16"/>
        <v>rick</v>
      </c>
      <c r="S114">
        <f t="shared" si="17"/>
        <v>11</v>
      </c>
      <c r="T114" t="str">
        <f t="shared" si="18"/>
        <v>Cricket Bat</v>
      </c>
      <c r="U114">
        <f t="shared" si="19"/>
        <v>11</v>
      </c>
      <c r="V114" t="str">
        <f t="shared" si="20"/>
        <v>CRICKET BAT</v>
      </c>
      <c r="W114" t="str">
        <f t="shared" si="21"/>
        <v>cricket bat</v>
      </c>
      <c r="X114" t="str">
        <f t="shared" si="22"/>
        <v>Cricket Bat</v>
      </c>
      <c r="Y114" t="str">
        <f t="shared" si="23"/>
        <v>Tamil Nadu 6</v>
      </c>
      <c r="Z114" t="str">
        <f t="shared" si="24"/>
        <v>BrandA6</v>
      </c>
      <c r="AA114" t="str">
        <f t="shared" si="25"/>
        <v>BrandA 6</v>
      </c>
      <c r="AB114" t="str">
        <f t="shared" si="26"/>
        <v>Tamil Nadu Mobile App</v>
      </c>
      <c r="AC114">
        <f t="shared" si="27"/>
        <v>6</v>
      </c>
      <c r="AD114">
        <f t="shared" si="28"/>
        <v>3</v>
      </c>
      <c r="AE114" t="str">
        <f t="shared" si="29"/>
        <v>Tamipadu Mobile App</v>
      </c>
      <c r="AF114" t="s">
        <v>126</v>
      </c>
      <c r="AG114" t="s">
        <v>131</v>
      </c>
      <c r="AH114" t="s">
        <v>134</v>
      </c>
    </row>
    <row r="115" spans="1:34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t="s">
        <v>45</v>
      </c>
      <c r="Q115" t="str">
        <f t="shared" si="15"/>
        <v>ard</v>
      </c>
      <c r="R115" t="str">
        <f t="shared" si="16"/>
        <v>umbb</v>
      </c>
      <c r="S115">
        <f t="shared" si="17"/>
        <v>9</v>
      </c>
      <c r="T115" t="str">
        <f t="shared" si="18"/>
        <v>Dumbbells</v>
      </c>
      <c r="U115">
        <f t="shared" si="19"/>
        <v>9</v>
      </c>
      <c r="V115" t="str">
        <f t="shared" si="20"/>
        <v>DUMBBELLS</v>
      </c>
      <c r="W115" t="str">
        <f t="shared" si="21"/>
        <v>dumbbells</v>
      </c>
      <c r="X115" t="str">
        <f t="shared" si="22"/>
        <v>Dumbbells</v>
      </c>
      <c r="Y115" t="str">
        <f t="shared" si="23"/>
        <v>Tamil Nadu 9</v>
      </c>
      <c r="Z115" t="str">
        <f t="shared" si="24"/>
        <v>BrandC9</v>
      </c>
      <c r="AA115" t="str">
        <f t="shared" si="25"/>
        <v>BrandC 9</v>
      </c>
      <c r="AB115" t="str">
        <f t="shared" si="26"/>
        <v>Tamil Nadu Marketplace</v>
      </c>
      <c r="AC115">
        <f t="shared" si="27"/>
        <v>5</v>
      </c>
      <c r="AD115">
        <f t="shared" si="28"/>
        <v>3</v>
      </c>
      <c r="AE115" t="str">
        <f t="shared" si="29"/>
        <v>Tamipadu Marketplace</v>
      </c>
      <c r="AF115" t="s">
        <v>126</v>
      </c>
      <c r="AG115" t="s">
        <v>133</v>
      </c>
      <c r="AH115" t="s">
        <v>133</v>
      </c>
    </row>
    <row r="116" spans="1:34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t="s">
        <v>28</v>
      </c>
      <c r="Q116" t="str">
        <f t="shared" si="15"/>
        <v>ing</v>
      </c>
      <c r="R116" t="str">
        <f t="shared" si="16"/>
        <v>extb</v>
      </c>
      <c r="S116">
        <f t="shared" si="17"/>
        <v>8</v>
      </c>
      <c r="T116" t="str">
        <f t="shared" si="18"/>
        <v>Textbook</v>
      </c>
      <c r="U116">
        <f t="shared" si="19"/>
        <v>8</v>
      </c>
      <c r="V116" t="str">
        <f t="shared" si="20"/>
        <v>TEXTBOOK</v>
      </c>
      <c r="W116" t="str">
        <f t="shared" si="21"/>
        <v>textbook</v>
      </c>
      <c r="X116" t="str">
        <f t="shared" si="22"/>
        <v>Textbook</v>
      </c>
      <c r="Y116" t="str">
        <f t="shared" si="23"/>
        <v>Maharashtra 2</v>
      </c>
      <c r="Z116" t="str">
        <f t="shared" si="24"/>
        <v>BrandD2</v>
      </c>
      <c r="AA116" t="str">
        <f t="shared" si="25"/>
        <v>BrandD 2</v>
      </c>
      <c r="AB116" t="str">
        <f t="shared" si="26"/>
        <v>Maharashtra Website</v>
      </c>
      <c r="AC116">
        <f t="shared" si="27"/>
        <v>2</v>
      </c>
      <c r="AD116">
        <f t="shared" si="28"/>
        <v>1</v>
      </c>
      <c r="AE116" t="str">
        <f t="shared" si="29"/>
        <v>Mahaphtra Website</v>
      </c>
      <c r="AF116" t="s">
        <v>130</v>
      </c>
      <c r="AG116" t="s">
        <v>132</v>
      </c>
      <c r="AH116" t="s">
        <v>132</v>
      </c>
    </row>
    <row r="117" spans="1:34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t="s">
        <v>47</v>
      </c>
      <c r="Q117" t="str">
        <f t="shared" si="15"/>
        <v>ard</v>
      </c>
      <c r="R117" t="str">
        <f t="shared" si="16"/>
        <v>erfu</v>
      </c>
      <c r="S117">
        <f t="shared" si="17"/>
        <v>7</v>
      </c>
      <c r="T117" t="str">
        <f t="shared" si="18"/>
        <v>Perfume</v>
      </c>
      <c r="U117">
        <f t="shared" si="19"/>
        <v>7</v>
      </c>
      <c r="V117" t="str">
        <f t="shared" si="20"/>
        <v>PERFUME</v>
      </c>
      <c r="W117" t="str">
        <f t="shared" si="21"/>
        <v>perfume</v>
      </c>
      <c r="X117" t="str">
        <f t="shared" si="22"/>
        <v>Perfume</v>
      </c>
      <c r="Y117" t="str">
        <f t="shared" si="23"/>
        <v>Telangana 7</v>
      </c>
      <c r="Z117" t="str">
        <f t="shared" si="24"/>
        <v>BrandB7</v>
      </c>
      <c r="AA117" t="str">
        <f t="shared" si="25"/>
        <v>BrandB 7</v>
      </c>
      <c r="AB117" t="str">
        <f t="shared" si="26"/>
        <v>Telangana Marketplace</v>
      </c>
      <c r="AC117">
        <f t="shared" si="27"/>
        <v>5</v>
      </c>
      <c r="AD117">
        <f t="shared" si="28"/>
        <v>11</v>
      </c>
      <c r="AE117" t="str">
        <f t="shared" si="29"/>
        <v>Telapna Marketplace</v>
      </c>
      <c r="AF117" t="s">
        <v>129</v>
      </c>
      <c r="AG117" t="s">
        <v>133</v>
      </c>
      <c r="AH117" t="s">
        <v>133</v>
      </c>
    </row>
    <row r="118" spans="1:34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t="s">
        <v>47</v>
      </c>
      <c r="Q118" t="str">
        <f t="shared" si="15"/>
        <v>ing</v>
      </c>
      <c r="R118" t="str">
        <f t="shared" si="16"/>
        <v>icti</v>
      </c>
      <c r="S118">
        <f t="shared" si="17"/>
        <v>13</v>
      </c>
      <c r="T118" t="str">
        <f t="shared" si="18"/>
        <v>Fiction Novel</v>
      </c>
      <c r="U118">
        <f t="shared" si="19"/>
        <v>13</v>
      </c>
      <c r="V118" t="str">
        <f t="shared" si="20"/>
        <v>FICTION NOVEL</v>
      </c>
      <c r="W118" t="str">
        <f t="shared" si="21"/>
        <v>fiction novel</v>
      </c>
      <c r="X118" t="str">
        <f t="shared" si="22"/>
        <v>Fiction Novel</v>
      </c>
      <c r="Y118" t="str">
        <f t="shared" si="23"/>
        <v>Maharashtra 6</v>
      </c>
      <c r="Z118" t="str">
        <f t="shared" si="24"/>
        <v>BrandB6</v>
      </c>
      <c r="AA118" t="str">
        <f t="shared" si="25"/>
        <v>BrandB 6</v>
      </c>
      <c r="AB118" t="str">
        <f t="shared" si="26"/>
        <v>Maharashtra Mobile App</v>
      </c>
      <c r="AC118">
        <f t="shared" si="27"/>
        <v>6</v>
      </c>
      <c r="AD118">
        <f t="shared" si="28"/>
        <v>1</v>
      </c>
      <c r="AE118" t="str">
        <f t="shared" si="29"/>
        <v>Mahaphtra Mobile App</v>
      </c>
      <c r="AF118" t="s">
        <v>130</v>
      </c>
      <c r="AG118" t="s">
        <v>131</v>
      </c>
      <c r="AH118" t="s">
        <v>134</v>
      </c>
    </row>
    <row r="119" spans="1:34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t="s">
        <v>33</v>
      </c>
      <c r="Q119" t="str">
        <f t="shared" si="15"/>
        <v>UPI</v>
      </c>
      <c r="R119" t="str">
        <f t="shared" si="16"/>
        <v>-Shi</v>
      </c>
      <c r="S119">
        <f t="shared" si="17"/>
        <v>7</v>
      </c>
      <c r="T119" t="str">
        <f t="shared" si="18"/>
        <v>T-Shirt</v>
      </c>
      <c r="U119">
        <f t="shared" si="19"/>
        <v>7</v>
      </c>
      <c r="V119" t="str">
        <f t="shared" si="20"/>
        <v>T-SHIRT</v>
      </c>
      <c r="W119" t="str">
        <f t="shared" si="21"/>
        <v>t-shirt</v>
      </c>
      <c r="X119" t="str">
        <f t="shared" si="22"/>
        <v>T-Shirt</v>
      </c>
      <c r="Y119" t="str">
        <f t="shared" si="23"/>
        <v>Delhi 2</v>
      </c>
      <c r="Z119" t="str">
        <f t="shared" si="24"/>
        <v>BrandE2</v>
      </c>
      <c r="AA119" t="str">
        <f t="shared" si="25"/>
        <v>BrandE 2</v>
      </c>
      <c r="AB119" t="str">
        <f t="shared" si="26"/>
        <v>Delhi Mobile App</v>
      </c>
      <c r="AC119">
        <f t="shared" si="27"/>
        <v>6</v>
      </c>
      <c r="AD119">
        <f t="shared" si="28"/>
        <v>7</v>
      </c>
      <c r="AE119" t="str">
        <f t="shared" si="29"/>
        <v>Delhpobile App</v>
      </c>
      <c r="AF119" t="s">
        <v>125</v>
      </c>
      <c r="AG119" t="s">
        <v>131</v>
      </c>
      <c r="AH119" t="s">
        <v>134</v>
      </c>
    </row>
    <row r="120" spans="1:34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t="s">
        <v>33</v>
      </c>
      <c r="Q120" t="str">
        <f t="shared" si="15"/>
        <v>ery</v>
      </c>
      <c r="R120" t="str">
        <f t="shared" si="16"/>
        <v>neak</v>
      </c>
      <c r="S120">
        <f t="shared" si="17"/>
        <v>8</v>
      </c>
      <c r="T120" t="str">
        <f t="shared" si="18"/>
        <v>Sneakers</v>
      </c>
      <c r="U120">
        <f t="shared" si="19"/>
        <v>8</v>
      </c>
      <c r="V120" t="str">
        <f t="shared" si="20"/>
        <v>SNEAKERS</v>
      </c>
      <c r="W120" t="str">
        <f t="shared" si="21"/>
        <v>sneakers</v>
      </c>
      <c r="X120" t="str">
        <f t="shared" si="22"/>
        <v>Sneakers</v>
      </c>
      <c r="Y120" t="str">
        <f t="shared" si="23"/>
        <v>Karnataka 8</v>
      </c>
      <c r="Z120" t="str">
        <f t="shared" si="24"/>
        <v>BrandE8</v>
      </c>
      <c r="AA120" t="str">
        <f t="shared" si="25"/>
        <v>BrandE 8</v>
      </c>
      <c r="AB120" t="str">
        <f t="shared" si="26"/>
        <v>Karnataka Mobile App</v>
      </c>
      <c r="AC120">
        <f t="shared" si="27"/>
        <v>6</v>
      </c>
      <c r="AD120">
        <f t="shared" si="28"/>
        <v>11</v>
      </c>
      <c r="AE120" t="str">
        <f t="shared" si="29"/>
        <v>Karnpka Mobile App</v>
      </c>
      <c r="AF120" t="s">
        <v>128</v>
      </c>
      <c r="AG120" t="s">
        <v>131</v>
      </c>
      <c r="AH120" t="s">
        <v>134</v>
      </c>
    </row>
    <row r="121" spans="1:34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t="s">
        <v>47</v>
      </c>
      <c r="Q121" t="str">
        <f t="shared" si="15"/>
        <v>ing</v>
      </c>
      <c r="R121" t="str">
        <f t="shared" si="16"/>
        <v>hamp</v>
      </c>
      <c r="S121">
        <f t="shared" si="17"/>
        <v>7</v>
      </c>
      <c r="T121" t="str">
        <f t="shared" si="18"/>
        <v>Shampoo</v>
      </c>
      <c r="U121">
        <f t="shared" si="19"/>
        <v>7</v>
      </c>
      <c r="V121" t="str">
        <f t="shared" si="20"/>
        <v>SHAMPOO</v>
      </c>
      <c r="W121" t="str">
        <f t="shared" si="21"/>
        <v>shampoo</v>
      </c>
      <c r="X121" t="str">
        <f t="shared" si="22"/>
        <v>Shampoo</v>
      </c>
      <c r="Y121" t="str">
        <f t="shared" si="23"/>
        <v>Tamil Nadu 7</v>
      </c>
      <c r="Z121" t="str">
        <f t="shared" si="24"/>
        <v>BrandB7</v>
      </c>
      <c r="AA121" t="str">
        <f t="shared" si="25"/>
        <v>BrandB 7</v>
      </c>
      <c r="AB121" t="str">
        <f t="shared" si="26"/>
        <v>Tamil Nadu Website</v>
      </c>
      <c r="AC121">
        <f t="shared" si="27"/>
        <v>2</v>
      </c>
      <c r="AD121">
        <f t="shared" si="28"/>
        <v>3</v>
      </c>
      <c r="AE121" t="str">
        <f t="shared" si="29"/>
        <v>Tamipadu Website</v>
      </c>
      <c r="AF121" t="s">
        <v>126</v>
      </c>
      <c r="AG121" t="s">
        <v>132</v>
      </c>
      <c r="AH121" t="s">
        <v>132</v>
      </c>
    </row>
    <row r="122" spans="1:34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t="s">
        <v>33</v>
      </c>
      <c r="Q122" t="str">
        <f t="shared" si="15"/>
        <v>ery</v>
      </c>
      <c r="R122" t="str">
        <f t="shared" si="16"/>
        <v>extb</v>
      </c>
      <c r="S122">
        <f t="shared" si="17"/>
        <v>8</v>
      </c>
      <c r="T122" t="str">
        <f t="shared" si="18"/>
        <v>Textbook</v>
      </c>
      <c r="U122">
        <f t="shared" si="19"/>
        <v>8</v>
      </c>
      <c r="V122" t="str">
        <f t="shared" si="20"/>
        <v>TEXTBOOK</v>
      </c>
      <c r="W122" t="str">
        <f t="shared" si="21"/>
        <v>textbook</v>
      </c>
      <c r="X122" t="str">
        <f t="shared" si="22"/>
        <v>Textbook</v>
      </c>
      <c r="Y122" t="str">
        <f t="shared" si="23"/>
        <v>Delhi 5</v>
      </c>
      <c r="Z122" t="str">
        <f t="shared" si="24"/>
        <v>BrandE5</v>
      </c>
      <c r="AA122" t="str">
        <f t="shared" si="25"/>
        <v>BrandE 5</v>
      </c>
      <c r="AB122" t="str">
        <f t="shared" si="26"/>
        <v>Delhi Website</v>
      </c>
      <c r="AC122">
        <f t="shared" si="27"/>
        <v>2</v>
      </c>
      <c r="AD122" t="e">
        <f t="shared" si="28"/>
        <v>#VALUE!</v>
      </c>
      <c r="AE122" t="str">
        <f t="shared" si="29"/>
        <v>Delhpebsite</v>
      </c>
      <c r="AF122" t="s">
        <v>125</v>
      </c>
      <c r="AG122" t="s">
        <v>132</v>
      </c>
      <c r="AH122" t="s">
        <v>132</v>
      </c>
    </row>
    <row r="123" spans="1:34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t="s">
        <v>45</v>
      </c>
      <c r="Q123" t="str">
        <f t="shared" si="15"/>
        <v>ing</v>
      </c>
      <c r="R123" t="str">
        <f t="shared" si="16"/>
        <v>apto</v>
      </c>
      <c r="S123">
        <f t="shared" si="17"/>
        <v>6</v>
      </c>
      <c r="T123" t="str">
        <f t="shared" si="18"/>
        <v>Laptop</v>
      </c>
      <c r="U123">
        <f t="shared" si="19"/>
        <v>6</v>
      </c>
      <c r="V123" t="str">
        <f t="shared" si="20"/>
        <v>LAPTOP</v>
      </c>
      <c r="W123" t="str">
        <f t="shared" si="21"/>
        <v>laptop</v>
      </c>
      <c r="X123" t="str">
        <f t="shared" si="22"/>
        <v>Laptop</v>
      </c>
      <c r="Y123" t="str">
        <f t="shared" si="23"/>
        <v>Karnataka 5</v>
      </c>
      <c r="Z123" t="str">
        <f t="shared" si="24"/>
        <v>BrandC5</v>
      </c>
      <c r="AA123" t="str">
        <f t="shared" si="25"/>
        <v>BrandC 5</v>
      </c>
      <c r="AB123" t="str">
        <f t="shared" si="26"/>
        <v>Karnataka Website</v>
      </c>
      <c r="AC123">
        <f t="shared" si="27"/>
        <v>2</v>
      </c>
      <c r="AD123" t="e">
        <f t="shared" si="28"/>
        <v>#VALUE!</v>
      </c>
      <c r="AE123" t="str">
        <f t="shared" si="29"/>
        <v>Karnpka Website</v>
      </c>
      <c r="AF123" t="s">
        <v>128</v>
      </c>
      <c r="AG123" t="s">
        <v>132</v>
      </c>
      <c r="AH123" t="s">
        <v>132</v>
      </c>
    </row>
    <row r="124" spans="1:34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t="s">
        <v>47</v>
      </c>
      <c r="Q124" t="str">
        <f t="shared" si="15"/>
        <v>UPI</v>
      </c>
      <c r="R124" t="str">
        <f t="shared" si="16"/>
        <v>umbb</v>
      </c>
      <c r="S124">
        <f t="shared" si="17"/>
        <v>9</v>
      </c>
      <c r="T124" t="str">
        <f t="shared" si="18"/>
        <v>Dumbbells</v>
      </c>
      <c r="U124">
        <f t="shared" si="19"/>
        <v>9</v>
      </c>
      <c r="V124" t="str">
        <f t="shared" si="20"/>
        <v>DUMBBELLS</v>
      </c>
      <c r="W124" t="str">
        <f t="shared" si="21"/>
        <v>dumbbells</v>
      </c>
      <c r="X124" t="str">
        <f t="shared" si="22"/>
        <v>Dumbbells</v>
      </c>
      <c r="Y124" t="str">
        <f t="shared" si="23"/>
        <v>Delhi 7</v>
      </c>
      <c r="Z124" t="str">
        <f t="shared" si="24"/>
        <v>BrandB7</v>
      </c>
      <c r="AA124" t="str">
        <f t="shared" si="25"/>
        <v>BrandB 7</v>
      </c>
      <c r="AB124" t="str">
        <f t="shared" si="26"/>
        <v>Delhi Website</v>
      </c>
      <c r="AC124">
        <f t="shared" si="27"/>
        <v>2</v>
      </c>
      <c r="AD124" t="e">
        <f t="shared" si="28"/>
        <v>#VALUE!</v>
      </c>
      <c r="AE124" t="str">
        <f t="shared" si="29"/>
        <v>Delhpebsite</v>
      </c>
      <c r="AF124" t="s">
        <v>125</v>
      </c>
      <c r="AG124" t="s">
        <v>132</v>
      </c>
      <c r="AH124" t="s">
        <v>132</v>
      </c>
    </row>
    <row r="125" spans="1:34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t="s">
        <v>33</v>
      </c>
      <c r="Q125" t="str">
        <f t="shared" si="15"/>
        <v>ard</v>
      </c>
      <c r="R125" t="str">
        <f t="shared" si="16"/>
        <v>rick</v>
      </c>
      <c r="S125">
        <f t="shared" si="17"/>
        <v>11</v>
      </c>
      <c r="T125" t="str">
        <f t="shared" si="18"/>
        <v>Cricket Bat</v>
      </c>
      <c r="U125">
        <f t="shared" si="19"/>
        <v>11</v>
      </c>
      <c r="V125" t="str">
        <f t="shared" si="20"/>
        <v>CRICKET BAT</v>
      </c>
      <c r="W125" t="str">
        <f t="shared" si="21"/>
        <v>cricket bat</v>
      </c>
      <c r="X125" t="str">
        <f t="shared" si="22"/>
        <v>Cricket Bat</v>
      </c>
      <c r="Y125" t="str">
        <f t="shared" si="23"/>
        <v>Telangana 9</v>
      </c>
      <c r="Z125" t="str">
        <f t="shared" si="24"/>
        <v>BrandE9</v>
      </c>
      <c r="AA125" t="str">
        <f t="shared" si="25"/>
        <v>BrandE 9</v>
      </c>
      <c r="AB125" t="str">
        <f t="shared" si="26"/>
        <v>Telangana Website</v>
      </c>
      <c r="AC125">
        <f t="shared" si="27"/>
        <v>2</v>
      </c>
      <c r="AD125" t="e">
        <f t="shared" si="28"/>
        <v>#VALUE!</v>
      </c>
      <c r="AE125" t="str">
        <f t="shared" si="29"/>
        <v>Telapna Website</v>
      </c>
      <c r="AF125" t="s">
        <v>129</v>
      </c>
      <c r="AG125" t="s">
        <v>132</v>
      </c>
      <c r="AH125" t="s">
        <v>132</v>
      </c>
    </row>
    <row r="126" spans="1:34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t="s">
        <v>47</v>
      </c>
      <c r="Q126" t="str">
        <f t="shared" si="15"/>
        <v>UPI</v>
      </c>
      <c r="R126" t="str">
        <f t="shared" si="16"/>
        <v xml:space="preserve">ace </v>
      </c>
      <c r="S126">
        <f t="shared" si="17"/>
        <v>10</v>
      </c>
      <c r="T126" t="str">
        <f t="shared" si="18"/>
        <v>Face Cream</v>
      </c>
      <c r="U126">
        <f t="shared" si="19"/>
        <v>10</v>
      </c>
      <c r="V126" t="str">
        <f t="shared" si="20"/>
        <v>FACE CREAM</v>
      </c>
      <c r="W126" t="str">
        <f t="shared" si="21"/>
        <v>face cream</v>
      </c>
      <c r="X126" t="str">
        <f t="shared" si="22"/>
        <v>Face Cream</v>
      </c>
      <c r="Y126" t="str">
        <f t="shared" si="23"/>
        <v>Tamil Nadu 9</v>
      </c>
      <c r="Z126" t="str">
        <f t="shared" si="24"/>
        <v>BrandB9</v>
      </c>
      <c r="AA126" t="str">
        <f t="shared" si="25"/>
        <v>BrandB 9</v>
      </c>
      <c r="AB126" t="str">
        <f t="shared" si="26"/>
        <v>Tamil Nadu Marketplace</v>
      </c>
      <c r="AC126">
        <f t="shared" si="27"/>
        <v>5</v>
      </c>
      <c r="AD126">
        <f t="shared" si="28"/>
        <v>3</v>
      </c>
      <c r="AE126" t="str">
        <f t="shared" si="29"/>
        <v>Tamipadu Marketplace</v>
      </c>
      <c r="AF126" t="s">
        <v>126</v>
      </c>
      <c r="AG126" t="s">
        <v>133</v>
      </c>
      <c r="AH126" t="s">
        <v>133</v>
      </c>
    </row>
    <row r="127" spans="1:34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t="s">
        <v>28</v>
      </c>
      <c r="Q127" t="str">
        <f t="shared" si="15"/>
        <v>ard</v>
      </c>
      <c r="R127" t="str">
        <f t="shared" si="16"/>
        <v>-Shi</v>
      </c>
      <c r="S127">
        <f t="shared" si="17"/>
        <v>7</v>
      </c>
      <c r="T127" t="str">
        <f t="shared" si="18"/>
        <v>T-Shirt</v>
      </c>
      <c r="U127">
        <f t="shared" si="19"/>
        <v>7</v>
      </c>
      <c r="V127" t="str">
        <f t="shared" si="20"/>
        <v>T-SHIRT</v>
      </c>
      <c r="W127" t="str">
        <f t="shared" si="21"/>
        <v>t-shirt</v>
      </c>
      <c r="X127" t="str">
        <f t="shared" si="22"/>
        <v>T-Shirt</v>
      </c>
      <c r="Y127" t="str">
        <f t="shared" si="23"/>
        <v>Maharashtra 9</v>
      </c>
      <c r="Z127" t="str">
        <f t="shared" si="24"/>
        <v>BrandD9</v>
      </c>
      <c r="AA127" t="str">
        <f t="shared" si="25"/>
        <v>BrandD 9</v>
      </c>
      <c r="AB127" t="str">
        <f t="shared" si="26"/>
        <v>Maharashtra Website</v>
      </c>
      <c r="AC127">
        <f t="shared" si="27"/>
        <v>2</v>
      </c>
      <c r="AD127">
        <f t="shared" si="28"/>
        <v>1</v>
      </c>
      <c r="AE127" t="str">
        <f t="shared" si="29"/>
        <v>Mahaphtra Website</v>
      </c>
      <c r="AF127" t="s">
        <v>130</v>
      </c>
      <c r="AG127" t="s">
        <v>132</v>
      </c>
      <c r="AH127" t="s">
        <v>132</v>
      </c>
    </row>
    <row r="128" spans="1:34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t="s">
        <v>21</v>
      </c>
      <c r="Q128" t="str">
        <f t="shared" si="15"/>
        <v>ard</v>
      </c>
      <c r="R128" t="str">
        <f t="shared" si="16"/>
        <v>acke</v>
      </c>
      <c r="S128">
        <f t="shared" si="17"/>
        <v>6</v>
      </c>
      <c r="T128" t="str">
        <f t="shared" si="18"/>
        <v>Jacket</v>
      </c>
      <c r="U128">
        <f t="shared" si="19"/>
        <v>6</v>
      </c>
      <c r="V128" t="str">
        <f t="shared" si="20"/>
        <v>JACKET</v>
      </c>
      <c r="W128" t="str">
        <f t="shared" si="21"/>
        <v>jacket</v>
      </c>
      <c r="X128" t="str">
        <f t="shared" si="22"/>
        <v>Jacket</v>
      </c>
      <c r="Y128" t="str">
        <f t="shared" si="23"/>
        <v>Maharashtra 6</v>
      </c>
      <c r="Z128" t="str">
        <f t="shared" si="24"/>
        <v>BrandA6</v>
      </c>
      <c r="AA128" t="str">
        <f t="shared" si="25"/>
        <v>BrandA 6</v>
      </c>
      <c r="AB128" t="str">
        <f t="shared" si="26"/>
        <v>Maharashtra Website</v>
      </c>
      <c r="AC128">
        <f t="shared" si="27"/>
        <v>2</v>
      </c>
      <c r="AD128">
        <f t="shared" si="28"/>
        <v>1</v>
      </c>
      <c r="AE128" t="str">
        <f t="shared" si="29"/>
        <v>Mahaphtra Website</v>
      </c>
      <c r="AF128" t="s">
        <v>130</v>
      </c>
      <c r="AG128" t="s">
        <v>132</v>
      </c>
      <c r="AH128" t="s">
        <v>132</v>
      </c>
    </row>
    <row r="129" spans="1:34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t="s">
        <v>47</v>
      </c>
      <c r="Q129" t="str">
        <f t="shared" si="15"/>
        <v>ery</v>
      </c>
      <c r="R129" t="str">
        <f t="shared" si="16"/>
        <v>rick</v>
      </c>
      <c r="S129">
        <f t="shared" si="17"/>
        <v>11</v>
      </c>
      <c r="T129" t="str">
        <f t="shared" si="18"/>
        <v>Cricket Bat</v>
      </c>
      <c r="U129">
        <f t="shared" si="19"/>
        <v>11</v>
      </c>
      <c r="V129" t="str">
        <f t="shared" si="20"/>
        <v>CRICKET BAT</v>
      </c>
      <c r="W129" t="str">
        <f t="shared" si="21"/>
        <v>cricket bat</v>
      </c>
      <c r="X129" t="str">
        <f t="shared" si="22"/>
        <v>Cricket Bat</v>
      </c>
      <c r="Y129" t="str">
        <f t="shared" si="23"/>
        <v>Karnataka 6</v>
      </c>
      <c r="Z129" t="str">
        <f t="shared" si="24"/>
        <v>BrandB6</v>
      </c>
      <c r="AA129" t="str">
        <f t="shared" si="25"/>
        <v>BrandB 6</v>
      </c>
      <c r="AB129" t="str">
        <f t="shared" si="26"/>
        <v>Karnataka Marketplace</v>
      </c>
      <c r="AC129">
        <f t="shared" si="27"/>
        <v>5</v>
      </c>
      <c r="AD129">
        <f t="shared" si="28"/>
        <v>11</v>
      </c>
      <c r="AE129" t="str">
        <f t="shared" si="29"/>
        <v>Karnpka Marketplace</v>
      </c>
      <c r="AF129" t="s">
        <v>128</v>
      </c>
      <c r="AG129" t="s">
        <v>133</v>
      </c>
      <c r="AH129" t="s">
        <v>133</v>
      </c>
    </row>
    <row r="130" spans="1:34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t="s">
        <v>21</v>
      </c>
      <c r="Q130" t="str">
        <f t="shared" si="15"/>
        <v>UPI</v>
      </c>
      <c r="R130" t="str">
        <f t="shared" si="16"/>
        <v>ipst</v>
      </c>
      <c r="S130">
        <f t="shared" si="17"/>
        <v>8</v>
      </c>
      <c r="T130" t="str">
        <f t="shared" si="18"/>
        <v>Lipstick</v>
      </c>
      <c r="U130">
        <f t="shared" si="19"/>
        <v>8</v>
      </c>
      <c r="V130" t="str">
        <f t="shared" si="20"/>
        <v>LIPSTICK</v>
      </c>
      <c r="W130" t="str">
        <f t="shared" si="21"/>
        <v>lipstick</v>
      </c>
      <c r="X130" t="str">
        <f t="shared" si="22"/>
        <v>Lipstick</v>
      </c>
      <c r="Y130" t="str">
        <f t="shared" si="23"/>
        <v>West Bengal 3</v>
      </c>
      <c r="Z130" t="str">
        <f t="shared" si="24"/>
        <v>BrandA3</v>
      </c>
      <c r="AA130" t="str">
        <f t="shared" si="25"/>
        <v>BrandA 3</v>
      </c>
      <c r="AB130" t="str">
        <f t="shared" si="26"/>
        <v>West Bengal Website</v>
      </c>
      <c r="AC130">
        <f t="shared" si="27"/>
        <v>2</v>
      </c>
      <c r="AD130" t="e">
        <f t="shared" si="28"/>
        <v>#VALUE!</v>
      </c>
      <c r="AE130" t="str">
        <f t="shared" si="29"/>
        <v>Westpngal Website</v>
      </c>
      <c r="AF130" t="s">
        <v>127</v>
      </c>
      <c r="AG130" t="s">
        <v>132</v>
      </c>
      <c r="AH130" t="s">
        <v>132</v>
      </c>
    </row>
    <row r="131" spans="1:34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t="s">
        <v>33</v>
      </c>
      <c r="Q131" t="str">
        <f t="shared" ref="Q131:Q194" si="30">RIGHT(H131,3)</f>
        <v>ing</v>
      </c>
      <c r="R131" t="str">
        <f t="shared" ref="R131:R194" si="31">MID(J131,2,4)</f>
        <v>extb</v>
      </c>
      <c r="S131">
        <f t="shared" ref="S131:S194" si="32">LEN(J131)</f>
        <v>8</v>
      </c>
      <c r="T131" t="str">
        <f t="shared" ref="T131:T194" si="33">TRIM(J131)</f>
        <v>Textbook</v>
      </c>
      <c r="U131">
        <f t="shared" ref="U131:U194" si="34">LEN(T131)</f>
        <v>8</v>
      </c>
      <c r="V131" t="str">
        <f t="shared" ref="V131:V194" si="35">UPPER(T131)</f>
        <v>TEXTBOOK</v>
      </c>
      <c r="W131" t="str">
        <f t="shared" ref="W131:W194" si="36">LOWER(V131)</f>
        <v>textbook</v>
      </c>
      <c r="X131" t="str">
        <f t="shared" ref="X131:X194" si="37">PROPER(W131)</f>
        <v>Textbook</v>
      </c>
      <c r="Y131" t="str">
        <f t="shared" ref="Y131:Y194" si="38">_xlfn.CONCAT(F131," ",L131)</f>
        <v>Telangana 1</v>
      </c>
      <c r="Z131" t="str">
        <f t="shared" ref="Z131:Z194" si="39">_xlfn.CONCAT(K131:L131)</f>
        <v>BrandE1</v>
      </c>
      <c r="AA131" t="str">
        <f t="shared" ref="AA131:AA194" si="40">CONCATENATE(K131," ",L131)</f>
        <v>BrandE 1</v>
      </c>
      <c r="AB131" t="str">
        <f t="shared" ref="AB131:AB194" si="41">_xlfn.TEXTJOIN(" ",TRUE,F131:G131)</f>
        <v>Telangana Mobile App</v>
      </c>
      <c r="AC131">
        <f t="shared" ref="AC131:AC194" si="42">FIND("e",G131)</f>
        <v>6</v>
      </c>
      <c r="AD131">
        <f t="shared" ref="AD131:AD194" si="43">SEARCH("M",AB131)</f>
        <v>11</v>
      </c>
      <c r="AE131" t="str">
        <f t="shared" ref="AE131:AE194" si="44">REPLACE(AB131,5,3,"p")</f>
        <v>Telapna Mobile App</v>
      </c>
      <c r="AF131" t="s">
        <v>129</v>
      </c>
      <c r="AG131" t="s">
        <v>131</v>
      </c>
      <c r="AH131" t="s">
        <v>134</v>
      </c>
    </row>
    <row r="132" spans="1:34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t="s">
        <v>21</v>
      </c>
      <c r="Q132" t="str">
        <f t="shared" si="30"/>
        <v>UPI</v>
      </c>
      <c r="R132" t="str">
        <f t="shared" si="31"/>
        <v>neak</v>
      </c>
      <c r="S132">
        <f t="shared" si="32"/>
        <v>8</v>
      </c>
      <c r="T132" t="str">
        <f t="shared" si="33"/>
        <v>Sneakers</v>
      </c>
      <c r="U132">
        <f t="shared" si="34"/>
        <v>8</v>
      </c>
      <c r="V132" t="str">
        <f t="shared" si="35"/>
        <v>SNEAKERS</v>
      </c>
      <c r="W132" t="str">
        <f t="shared" si="36"/>
        <v>sneakers</v>
      </c>
      <c r="X132" t="str">
        <f t="shared" si="37"/>
        <v>Sneakers</v>
      </c>
      <c r="Y132" t="str">
        <f t="shared" si="38"/>
        <v>Karnataka 7</v>
      </c>
      <c r="Z132" t="str">
        <f t="shared" si="39"/>
        <v>BrandA7</v>
      </c>
      <c r="AA132" t="str">
        <f t="shared" si="40"/>
        <v>BrandA 7</v>
      </c>
      <c r="AB132" t="str">
        <f t="shared" si="41"/>
        <v>Karnataka Website</v>
      </c>
      <c r="AC132">
        <f t="shared" si="42"/>
        <v>2</v>
      </c>
      <c r="AD132" t="e">
        <f t="shared" si="43"/>
        <v>#VALUE!</v>
      </c>
      <c r="AE132" t="str">
        <f t="shared" si="44"/>
        <v>Karnpka Website</v>
      </c>
      <c r="AF132" t="s">
        <v>128</v>
      </c>
      <c r="AG132" t="s">
        <v>132</v>
      </c>
      <c r="AH132" t="s">
        <v>132</v>
      </c>
    </row>
    <row r="133" spans="1:34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t="s">
        <v>47</v>
      </c>
      <c r="Q133" t="str">
        <f t="shared" si="30"/>
        <v>ery</v>
      </c>
      <c r="R133" t="str">
        <f t="shared" si="31"/>
        <v>icti</v>
      </c>
      <c r="S133">
        <f t="shared" si="32"/>
        <v>13</v>
      </c>
      <c r="T133" t="str">
        <f t="shared" si="33"/>
        <v>Fiction Novel</v>
      </c>
      <c r="U133">
        <f t="shared" si="34"/>
        <v>13</v>
      </c>
      <c r="V133" t="str">
        <f t="shared" si="35"/>
        <v>FICTION NOVEL</v>
      </c>
      <c r="W133" t="str">
        <f t="shared" si="36"/>
        <v>fiction novel</v>
      </c>
      <c r="X133" t="str">
        <f t="shared" si="37"/>
        <v>Fiction Novel</v>
      </c>
      <c r="Y133" t="str">
        <f t="shared" si="38"/>
        <v>West Bengal 4</v>
      </c>
      <c r="Z133" t="str">
        <f t="shared" si="39"/>
        <v>BrandB4</v>
      </c>
      <c r="AA133" t="str">
        <f t="shared" si="40"/>
        <v>BrandB 4</v>
      </c>
      <c r="AB133" t="str">
        <f t="shared" si="41"/>
        <v>West Bengal Website</v>
      </c>
      <c r="AC133">
        <f t="shared" si="42"/>
        <v>2</v>
      </c>
      <c r="AD133" t="e">
        <f t="shared" si="43"/>
        <v>#VALUE!</v>
      </c>
      <c r="AE133" t="str">
        <f t="shared" si="44"/>
        <v>Westpngal Website</v>
      </c>
      <c r="AF133" t="s">
        <v>127</v>
      </c>
      <c r="AG133" t="s">
        <v>132</v>
      </c>
      <c r="AH133" t="s">
        <v>132</v>
      </c>
    </row>
    <row r="134" spans="1:34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t="s">
        <v>28</v>
      </c>
      <c r="Q134" t="str">
        <f t="shared" si="30"/>
        <v>ard</v>
      </c>
      <c r="R134" t="str">
        <f t="shared" si="31"/>
        <v>-Shi</v>
      </c>
      <c r="S134">
        <f t="shared" si="32"/>
        <v>7</v>
      </c>
      <c r="T134" t="str">
        <f t="shared" si="33"/>
        <v>T-Shirt</v>
      </c>
      <c r="U134">
        <f t="shared" si="34"/>
        <v>7</v>
      </c>
      <c r="V134" t="str">
        <f t="shared" si="35"/>
        <v>T-SHIRT</v>
      </c>
      <c r="W134" t="str">
        <f t="shared" si="36"/>
        <v>t-shirt</v>
      </c>
      <c r="X134" t="str">
        <f t="shared" si="37"/>
        <v>T-Shirt</v>
      </c>
      <c r="Y134" t="str">
        <f t="shared" si="38"/>
        <v>Delhi 1</v>
      </c>
      <c r="Z134" t="str">
        <f t="shared" si="39"/>
        <v>BrandD1</v>
      </c>
      <c r="AA134" t="str">
        <f t="shared" si="40"/>
        <v>BrandD 1</v>
      </c>
      <c r="AB134" t="str">
        <f t="shared" si="41"/>
        <v>Delhi Mobile App</v>
      </c>
      <c r="AC134">
        <f t="shared" si="42"/>
        <v>6</v>
      </c>
      <c r="AD134">
        <f t="shared" si="43"/>
        <v>7</v>
      </c>
      <c r="AE134" t="str">
        <f t="shared" si="44"/>
        <v>Delhpobile App</v>
      </c>
      <c r="AF134" t="s">
        <v>125</v>
      </c>
      <c r="AG134" t="s">
        <v>131</v>
      </c>
      <c r="AH134" t="s">
        <v>134</v>
      </c>
    </row>
    <row r="135" spans="1:34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t="s">
        <v>33</v>
      </c>
      <c r="Q135" t="str">
        <f t="shared" si="30"/>
        <v>ery</v>
      </c>
      <c r="R135" t="str">
        <f t="shared" si="31"/>
        <v>eans</v>
      </c>
      <c r="S135">
        <f t="shared" si="32"/>
        <v>5</v>
      </c>
      <c r="T135" t="str">
        <f t="shared" si="33"/>
        <v>Jeans</v>
      </c>
      <c r="U135">
        <f t="shared" si="34"/>
        <v>5</v>
      </c>
      <c r="V135" t="str">
        <f t="shared" si="35"/>
        <v>JEANS</v>
      </c>
      <c r="W135" t="str">
        <f t="shared" si="36"/>
        <v>jeans</v>
      </c>
      <c r="X135" t="str">
        <f t="shared" si="37"/>
        <v>Jeans</v>
      </c>
      <c r="Y135" t="str">
        <f t="shared" si="38"/>
        <v>Telangana 8</v>
      </c>
      <c r="Z135" t="str">
        <f t="shared" si="39"/>
        <v>BrandE8</v>
      </c>
      <c r="AA135" t="str">
        <f t="shared" si="40"/>
        <v>BrandE 8</v>
      </c>
      <c r="AB135" t="str">
        <f t="shared" si="41"/>
        <v>Telangana Mobile App</v>
      </c>
      <c r="AC135">
        <f t="shared" si="42"/>
        <v>6</v>
      </c>
      <c r="AD135">
        <f t="shared" si="43"/>
        <v>11</v>
      </c>
      <c r="AE135" t="str">
        <f t="shared" si="44"/>
        <v>Telapna Mobile App</v>
      </c>
      <c r="AF135" t="s">
        <v>129</v>
      </c>
      <c r="AG135" t="s">
        <v>131</v>
      </c>
      <c r="AH135" t="s">
        <v>134</v>
      </c>
    </row>
    <row r="136" spans="1:34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t="s">
        <v>47</v>
      </c>
      <c r="Q136" t="str">
        <f t="shared" si="30"/>
        <v>ard</v>
      </c>
      <c r="R136" t="str">
        <f t="shared" si="31"/>
        <v>edsh</v>
      </c>
      <c r="S136">
        <f t="shared" si="32"/>
        <v>8</v>
      </c>
      <c r="T136" t="str">
        <f t="shared" si="33"/>
        <v>Bedsheet</v>
      </c>
      <c r="U136">
        <f t="shared" si="34"/>
        <v>8</v>
      </c>
      <c r="V136" t="str">
        <f t="shared" si="35"/>
        <v>BEDSHEET</v>
      </c>
      <c r="W136" t="str">
        <f t="shared" si="36"/>
        <v>bedsheet</v>
      </c>
      <c r="X136" t="str">
        <f t="shared" si="37"/>
        <v>Bedsheet</v>
      </c>
      <c r="Y136" t="str">
        <f t="shared" si="38"/>
        <v>Delhi 6</v>
      </c>
      <c r="Z136" t="str">
        <f t="shared" si="39"/>
        <v>BrandB6</v>
      </c>
      <c r="AA136" t="str">
        <f t="shared" si="40"/>
        <v>BrandB 6</v>
      </c>
      <c r="AB136" t="str">
        <f t="shared" si="41"/>
        <v>Delhi Mobile App</v>
      </c>
      <c r="AC136">
        <f t="shared" si="42"/>
        <v>6</v>
      </c>
      <c r="AD136">
        <f t="shared" si="43"/>
        <v>7</v>
      </c>
      <c r="AE136" t="str">
        <f t="shared" si="44"/>
        <v>Delhpobile App</v>
      </c>
      <c r="AF136" t="s">
        <v>125</v>
      </c>
      <c r="AG136" t="s">
        <v>131</v>
      </c>
      <c r="AH136" t="s">
        <v>134</v>
      </c>
    </row>
    <row r="137" spans="1:34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t="s">
        <v>33</v>
      </c>
      <c r="Q137" t="str">
        <f t="shared" si="30"/>
        <v>ard</v>
      </c>
      <c r="R137" t="str">
        <f t="shared" si="31"/>
        <v>acke</v>
      </c>
      <c r="S137">
        <f t="shared" si="32"/>
        <v>6</v>
      </c>
      <c r="T137" t="str">
        <f t="shared" si="33"/>
        <v>Jacket</v>
      </c>
      <c r="U137">
        <f t="shared" si="34"/>
        <v>6</v>
      </c>
      <c r="V137" t="str">
        <f t="shared" si="35"/>
        <v>JACKET</v>
      </c>
      <c r="W137" t="str">
        <f t="shared" si="36"/>
        <v>jacket</v>
      </c>
      <c r="X137" t="str">
        <f t="shared" si="37"/>
        <v>Jacket</v>
      </c>
      <c r="Y137" t="str">
        <f t="shared" si="38"/>
        <v>Tamil Nadu 6</v>
      </c>
      <c r="Z137" t="str">
        <f t="shared" si="39"/>
        <v>BrandE6</v>
      </c>
      <c r="AA137" t="str">
        <f t="shared" si="40"/>
        <v>BrandE 6</v>
      </c>
      <c r="AB137" t="str">
        <f t="shared" si="41"/>
        <v>Tamil Nadu Mobile App</v>
      </c>
      <c r="AC137">
        <f t="shared" si="42"/>
        <v>6</v>
      </c>
      <c r="AD137">
        <f t="shared" si="43"/>
        <v>3</v>
      </c>
      <c r="AE137" t="str">
        <f t="shared" si="44"/>
        <v>Tamipadu Mobile App</v>
      </c>
      <c r="AF137" t="s">
        <v>126</v>
      </c>
      <c r="AG137" t="s">
        <v>131</v>
      </c>
      <c r="AH137" t="s">
        <v>134</v>
      </c>
    </row>
    <row r="138" spans="1:34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t="s">
        <v>45</v>
      </c>
      <c r="Q138" t="str">
        <f t="shared" si="30"/>
        <v>ing</v>
      </c>
      <c r="R138" t="str">
        <f t="shared" si="31"/>
        <v>eadp</v>
      </c>
      <c r="S138">
        <f t="shared" si="32"/>
        <v>10</v>
      </c>
      <c r="T138" t="str">
        <f t="shared" si="33"/>
        <v>Headphones</v>
      </c>
      <c r="U138">
        <f t="shared" si="34"/>
        <v>10</v>
      </c>
      <c r="V138" t="str">
        <f t="shared" si="35"/>
        <v>HEADPHONES</v>
      </c>
      <c r="W138" t="str">
        <f t="shared" si="36"/>
        <v>headphones</v>
      </c>
      <c r="X138" t="str">
        <f t="shared" si="37"/>
        <v>Headphones</v>
      </c>
      <c r="Y138" t="str">
        <f t="shared" si="38"/>
        <v>Telangana 2</v>
      </c>
      <c r="Z138" t="str">
        <f t="shared" si="39"/>
        <v>BrandC2</v>
      </c>
      <c r="AA138" t="str">
        <f t="shared" si="40"/>
        <v>BrandC 2</v>
      </c>
      <c r="AB138" t="str">
        <f t="shared" si="41"/>
        <v>Telangana Website</v>
      </c>
      <c r="AC138">
        <f t="shared" si="42"/>
        <v>2</v>
      </c>
      <c r="AD138" t="e">
        <f t="shared" si="43"/>
        <v>#VALUE!</v>
      </c>
      <c r="AE138" t="str">
        <f t="shared" si="44"/>
        <v>Telapna Website</v>
      </c>
      <c r="AF138" t="s">
        <v>129</v>
      </c>
      <c r="AG138" t="s">
        <v>132</v>
      </c>
      <c r="AH138" t="s">
        <v>132</v>
      </c>
    </row>
    <row r="139" spans="1:34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t="s">
        <v>21</v>
      </c>
      <c r="Q139" t="str">
        <f t="shared" si="30"/>
        <v>ery</v>
      </c>
      <c r="R139" t="str">
        <f t="shared" si="31"/>
        <v>hamp</v>
      </c>
      <c r="S139">
        <f t="shared" si="32"/>
        <v>7</v>
      </c>
      <c r="T139" t="str">
        <f t="shared" si="33"/>
        <v>Shampoo</v>
      </c>
      <c r="U139">
        <f t="shared" si="34"/>
        <v>7</v>
      </c>
      <c r="V139" t="str">
        <f t="shared" si="35"/>
        <v>SHAMPOO</v>
      </c>
      <c r="W139" t="str">
        <f t="shared" si="36"/>
        <v>shampoo</v>
      </c>
      <c r="X139" t="str">
        <f t="shared" si="37"/>
        <v>Shampoo</v>
      </c>
      <c r="Y139" t="str">
        <f t="shared" si="38"/>
        <v>West Bengal 1</v>
      </c>
      <c r="Z139" t="str">
        <f t="shared" si="39"/>
        <v>BrandA1</v>
      </c>
      <c r="AA139" t="str">
        <f t="shared" si="40"/>
        <v>BrandA 1</v>
      </c>
      <c r="AB139" t="str">
        <f t="shared" si="41"/>
        <v>West Bengal Mobile App</v>
      </c>
      <c r="AC139">
        <f t="shared" si="42"/>
        <v>6</v>
      </c>
      <c r="AD139">
        <f t="shared" si="43"/>
        <v>13</v>
      </c>
      <c r="AE139" t="str">
        <f t="shared" si="44"/>
        <v>Westpngal Mobile App</v>
      </c>
      <c r="AF139" t="s">
        <v>127</v>
      </c>
      <c r="AG139" t="s">
        <v>131</v>
      </c>
      <c r="AH139" t="s">
        <v>134</v>
      </c>
    </row>
    <row r="140" spans="1:34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t="s">
        <v>45</v>
      </c>
      <c r="Q140" t="str">
        <f t="shared" si="30"/>
        <v>ing</v>
      </c>
      <c r="R140" t="str">
        <f t="shared" si="31"/>
        <v>hamp</v>
      </c>
      <c r="S140">
        <f t="shared" si="32"/>
        <v>7</v>
      </c>
      <c r="T140" t="str">
        <f t="shared" si="33"/>
        <v>Shampoo</v>
      </c>
      <c r="U140">
        <f t="shared" si="34"/>
        <v>7</v>
      </c>
      <c r="V140" t="str">
        <f t="shared" si="35"/>
        <v>SHAMPOO</v>
      </c>
      <c r="W140" t="str">
        <f t="shared" si="36"/>
        <v>shampoo</v>
      </c>
      <c r="X140" t="str">
        <f t="shared" si="37"/>
        <v>Shampoo</v>
      </c>
      <c r="Y140" t="str">
        <f t="shared" si="38"/>
        <v>Tamil Nadu 2</v>
      </c>
      <c r="Z140" t="str">
        <f t="shared" si="39"/>
        <v>BrandC2</v>
      </c>
      <c r="AA140" t="str">
        <f t="shared" si="40"/>
        <v>BrandC 2</v>
      </c>
      <c r="AB140" t="str">
        <f t="shared" si="41"/>
        <v>Tamil Nadu Mobile App</v>
      </c>
      <c r="AC140">
        <f t="shared" si="42"/>
        <v>6</v>
      </c>
      <c r="AD140">
        <f t="shared" si="43"/>
        <v>3</v>
      </c>
      <c r="AE140" t="str">
        <f t="shared" si="44"/>
        <v>Tamipadu Mobile App</v>
      </c>
      <c r="AF140" t="s">
        <v>126</v>
      </c>
      <c r="AG140" t="s">
        <v>131</v>
      </c>
      <c r="AH140" t="s">
        <v>134</v>
      </c>
    </row>
    <row r="141" spans="1:34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t="s">
        <v>47</v>
      </c>
      <c r="Q141" t="str">
        <f t="shared" si="30"/>
        <v>ing</v>
      </c>
      <c r="R141" t="str">
        <f t="shared" si="31"/>
        <v>omic</v>
      </c>
      <c r="S141">
        <f t="shared" si="32"/>
        <v>6</v>
      </c>
      <c r="T141" t="str">
        <f t="shared" si="33"/>
        <v>Comics</v>
      </c>
      <c r="U141">
        <f t="shared" si="34"/>
        <v>6</v>
      </c>
      <c r="V141" t="str">
        <f t="shared" si="35"/>
        <v>COMICS</v>
      </c>
      <c r="W141" t="str">
        <f t="shared" si="36"/>
        <v>comics</v>
      </c>
      <c r="X141" t="str">
        <f t="shared" si="37"/>
        <v>Comics</v>
      </c>
      <c r="Y141" t="str">
        <f t="shared" si="38"/>
        <v>Maharashtra 4</v>
      </c>
      <c r="Z141" t="str">
        <f t="shared" si="39"/>
        <v>BrandB4</v>
      </c>
      <c r="AA141" t="str">
        <f t="shared" si="40"/>
        <v>BrandB 4</v>
      </c>
      <c r="AB141" t="str">
        <f t="shared" si="41"/>
        <v>Maharashtra Marketplace</v>
      </c>
      <c r="AC141">
        <f t="shared" si="42"/>
        <v>5</v>
      </c>
      <c r="AD141">
        <f t="shared" si="43"/>
        <v>1</v>
      </c>
      <c r="AE141" t="str">
        <f t="shared" si="44"/>
        <v>Mahaphtra Marketplace</v>
      </c>
      <c r="AF141" t="s">
        <v>130</v>
      </c>
      <c r="AG141" t="s">
        <v>133</v>
      </c>
      <c r="AH141" t="s">
        <v>133</v>
      </c>
    </row>
    <row r="142" spans="1:34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t="s">
        <v>28</v>
      </c>
      <c r="Q142" t="str">
        <f t="shared" si="30"/>
        <v>ard</v>
      </c>
      <c r="R142" t="str">
        <f t="shared" si="31"/>
        <v>acke</v>
      </c>
      <c r="S142">
        <f t="shared" si="32"/>
        <v>6</v>
      </c>
      <c r="T142" t="str">
        <f t="shared" si="33"/>
        <v>Jacket</v>
      </c>
      <c r="U142">
        <f t="shared" si="34"/>
        <v>6</v>
      </c>
      <c r="V142" t="str">
        <f t="shared" si="35"/>
        <v>JACKET</v>
      </c>
      <c r="W142" t="str">
        <f t="shared" si="36"/>
        <v>jacket</v>
      </c>
      <c r="X142" t="str">
        <f t="shared" si="37"/>
        <v>Jacket</v>
      </c>
      <c r="Y142" t="str">
        <f t="shared" si="38"/>
        <v>West Bengal 2</v>
      </c>
      <c r="Z142" t="str">
        <f t="shared" si="39"/>
        <v>BrandD2</v>
      </c>
      <c r="AA142" t="str">
        <f t="shared" si="40"/>
        <v>BrandD 2</v>
      </c>
      <c r="AB142" t="str">
        <f t="shared" si="41"/>
        <v>West Bengal Mobile App</v>
      </c>
      <c r="AC142">
        <f t="shared" si="42"/>
        <v>6</v>
      </c>
      <c r="AD142">
        <f t="shared" si="43"/>
        <v>13</v>
      </c>
      <c r="AE142" t="str">
        <f t="shared" si="44"/>
        <v>Westpngal Mobile App</v>
      </c>
      <c r="AF142" t="s">
        <v>127</v>
      </c>
      <c r="AG142" t="s">
        <v>131</v>
      </c>
      <c r="AH142" t="s">
        <v>134</v>
      </c>
    </row>
    <row r="143" spans="1:34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t="s">
        <v>33</v>
      </c>
      <c r="Q143" t="str">
        <f t="shared" si="30"/>
        <v>ing</v>
      </c>
      <c r="R143" t="str">
        <f t="shared" si="31"/>
        <v>mart</v>
      </c>
      <c r="S143">
        <f t="shared" si="32"/>
        <v>10</v>
      </c>
      <c r="T143" t="str">
        <f t="shared" si="33"/>
        <v>Smartwatch</v>
      </c>
      <c r="U143">
        <f t="shared" si="34"/>
        <v>10</v>
      </c>
      <c r="V143" t="str">
        <f t="shared" si="35"/>
        <v>SMARTWATCH</v>
      </c>
      <c r="W143" t="str">
        <f t="shared" si="36"/>
        <v>smartwatch</v>
      </c>
      <c r="X143" t="str">
        <f t="shared" si="37"/>
        <v>Smartwatch</v>
      </c>
      <c r="Y143" t="str">
        <f t="shared" si="38"/>
        <v>Karnataka 1</v>
      </c>
      <c r="Z143" t="str">
        <f t="shared" si="39"/>
        <v>BrandE1</v>
      </c>
      <c r="AA143" t="str">
        <f t="shared" si="40"/>
        <v>BrandE 1</v>
      </c>
      <c r="AB143" t="str">
        <f t="shared" si="41"/>
        <v>Karnataka Mobile App</v>
      </c>
      <c r="AC143">
        <f t="shared" si="42"/>
        <v>6</v>
      </c>
      <c r="AD143">
        <f t="shared" si="43"/>
        <v>11</v>
      </c>
      <c r="AE143" t="str">
        <f t="shared" si="44"/>
        <v>Karnpka Mobile App</v>
      </c>
      <c r="AF143" t="s">
        <v>128</v>
      </c>
      <c r="AG143" t="s">
        <v>131</v>
      </c>
      <c r="AH143" t="s">
        <v>134</v>
      </c>
    </row>
    <row r="144" spans="1:34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t="s">
        <v>21</v>
      </c>
      <c r="Q144" t="str">
        <f t="shared" si="30"/>
        <v>ard</v>
      </c>
      <c r="R144" t="str">
        <f t="shared" si="31"/>
        <v>icti</v>
      </c>
      <c r="S144">
        <f t="shared" si="32"/>
        <v>13</v>
      </c>
      <c r="T144" t="str">
        <f t="shared" si="33"/>
        <v>Fiction Novel</v>
      </c>
      <c r="U144">
        <f t="shared" si="34"/>
        <v>13</v>
      </c>
      <c r="V144" t="str">
        <f t="shared" si="35"/>
        <v>FICTION NOVEL</v>
      </c>
      <c r="W144" t="str">
        <f t="shared" si="36"/>
        <v>fiction novel</v>
      </c>
      <c r="X144" t="str">
        <f t="shared" si="37"/>
        <v>Fiction Novel</v>
      </c>
      <c r="Y144" t="str">
        <f t="shared" si="38"/>
        <v>Maharashtra 7</v>
      </c>
      <c r="Z144" t="str">
        <f t="shared" si="39"/>
        <v>BrandA7</v>
      </c>
      <c r="AA144" t="str">
        <f t="shared" si="40"/>
        <v>BrandA 7</v>
      </c>
      <c r="AB144" t="str">
        <f t="shared" si="41"/>
        <v>Maharashtra Marketplace</v>
      </c>
      <c r="AC144">
        <f t="shared" si="42"/>
        <v>5</v>
      </c>
      <c r="AD144">
        <f t="shared" si="43"/>
        <v>1</v>
      </c>
      <c r="AE144" t="str">
        <f t="shared" si="44"/>
        <v>Mahaphtra Marketplace</v>
      </c>
      <c r="AF144" t="s">
        <v>130</v>
      </c>
      <c r="AG144" t="s">
        <v>133</v>
      </c>
      <c r="AH144" t="s">
        <v>133</v>
      </c>
    </row>
    <row r="145" spans="1:34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t="s">
        <v>33</v>
      </c>
      <c r="Q145" t="str">
        <f t="shared" si="30"/>
        <v>ard</v>
      </c>
      <c r="R145" t="str">
        <f t="shared" si="31"/>
        <v>urta</v>
      </c>
      <c r="S145">
        <f t="shared" si="32"/>
        <v>8</v>
      </c>
      <c r="T145" t="str">
        <f t="shared" si="33"/>
        <v>Curtains</v>
      </c>
      <c r="U145">
        <f t="shared" si="34"/>
        <v>8</v>
      </c>
      <c r="V145" t="str">
        <f t="shared" si="35"/>
        <v>CURTAINS</v>
      </c>
      <c r="W145" t="str">
        <f t="shared" si="36"/>
        <v>curtains</v>
      </c>
      <c r="X145" t="str">
        <f t="shared" si="37"/>
        <v>Curtains</v>
      </c>
      <c r="Y145" t="str">
        <f t="shared" si="38"/>
        <v>Maharashtra 8</v>
      </c>
      <c r="Z145" t="str">
        <f t="shared" si="39"/>
        <v>BrandE8</v>
      </c>
      <c r="AA145" t="str">
        <f t="shared" si="40"/>
        <v>BrandE 8</v>
      </c>
      <c r="AB145" t="str">
        <f t="shared" si="41"/>
        <v>Maharashtra Marketplace</v>
      </c>
      <c r="AC145">
        <f t="shared" si="42"/>
        <v>5</v>
      </c>
      <c r="AD145">
        <f t="shared" si="43"/>
        <v>1</v>
      </c>
      <c r="AE145" t="str">
        <f t="shared" si="44"/>
        <v>Mahaphtra Marketplace</v>
      </c>
      <c r="AF145" t="s">
        <v>130</v>
      </c>
      <c r="AG145" t="s">
        <v>133</v>
      </c>
      <c r="AH145" t="s">
        <v>133</v>
      </c>
    </row>
    <row r="146" spans="1:34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t="s">
        <v>47</v>
      </c>
      <c r="Q146" t="str">
        <f t="shared" si="30"/>
        <v>ery</v>
      </c>
      <c r="R146" t="str">
        <f t="shared" si="31"/>
        <v>omic</v>
      </c>
      <c r="S146">
        <f t="shared" si="32"/>
        <v>6</v>
      </c>
      <c r="T146" t="str">
        <f t="shared" si="33"/>
        <v>Comics</v>
      </c>
      <c r="U146">
        <f t="shared" si="34"/>
        <v>6</v>
      </c>
      <c r="V146" t="str">
        <f t="shared" si="35"/>
        <v>COMICS</v>
      </c>
      <c r="W146" t="str">
        <f t="shared" si="36"/>
        <v>comics</v>
      </c>
      <c r="X146" t="str">
        <f t="shared" si="37"/>
        <v>Comics</v>
      </c>
      <c r="Y146" t="str">
        <f t="shared" si="38"/>
        <v>Karnataka 6</v>
      </c>
      <c r="Z146" t="str">
        <f t="shared" si="39"/>
        <v>BrandB6</v>
      </c>
      <c r="AA146" t="str">
        <f t="shared" si="40"/>
        <v>BrandB 6</v>
      </c>
      <c r="AB146" t="str">
        <f t="shared" si="41"/>
        <v>Karnataka Website</v>
      </c>
      <c r="AC146">
        <f t="shared" si="42"/>
        <v>2</v>
      </c>
      <c r="AD146" t="e">
        <f t="shared" si="43"/>
        <v>#VALUE!</v>
      </c>
      <c r="AE146" t="str">
        <f t="shared" si="44"/>
        <v>Karnpka Website</v>
      </c>
      <c r="AF146" t="s">
        <v>128</v>
      </c>
      <c r="AG146" t="s">
        <v>132</v>
      </c>
      <c r="AH146" t="s">
        <v>132</v>
      </c>
    </row>
    <row r="147" spans="1:34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t="s">
        <v>33</v>
      </c>
      <c r="Q147" t="str">
        <f t="shared" si="30"/>
        <v>ing</v>
      </c>
      <c r="R147" t="str">
        <f t="shared" si="31"/>
        <v>extb</v>
      </c>
      <c r="S147">
        <f t="shared" si="32"/>
        <v>8</v>
      </c>
      <c r="T147" t="str">
        <f t="shared" si="33"/>
        <v>Textbook</v>
      </c>
      <c r="U147">
        <f t="shared" si="34"/>
        <v>8</v>
      </c>
      <c r="V147" t="str">
        <f t="shared" si="35"/>
        <v>TEXTBOOK</v>
      </c>
      <c r="W147" t="str">
        <f t="shared" si="36"/>
        <v>textbook</v>
      </c>
      <c r="X147" t="str">
        <f t="shared" si="37"/>
        <v>Textbook</v>
      </c>
      <c r="Y147" t="str">
        <f t="shared" si="38"/>
        <v>Telangana 4</v>
      </c>
      <c r="Z147" t="str">
        <f t="shared" si="39"/>
        <v>BrandE4</v>
      </c>
      <c r="AA147" t="str">
        <f t="shared" si="40"/>
        <v>BrandE 4</v>
      </c>
      <c r="AB147" t="str">
        <f t="shared" si="41"/>
        <v>Telangana Marketplace</v>
      </c>
      <c r="AC147">
        <f t="shared" si="42"/>
        <v>5</v>
      </c>
      <c r="AD147">
        <f t="shared" si="43"/>
        <v>11</v>
      </c>
      <c r="AE147" t="str">
        <f t="shared" si="44"/>
        <v>Telapna Marketplace</v>
      </c>
      <c r="AF147" t="s">
        <v>129</v>
      </c>
      <c r="AG147" t="s">
        <v>133</v>
      </c>
      <c r="AH147" t="s">
        <v>133</v>
      </c>
    </row>
    <row r="148" spans="1:34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t="s">
        <v>21</v>
      </c>
      <c r="Q148" t="str">
        <f t="shared" si="30"/>
        <v>ard</v>
      </c>
      <c r="R148" t="str">
        <f t="shared" si="31"/>
        <v>-Shi</v>
      </c>
      <c r="S148">
        <f t="shared" si="32"/>
        <v>7</v>
      </c>
      <c r="T148" t="str">
        <f t="shared" si="33"/>
        <v>T-Shirt</v>
      </c>
      <c r="U148">
        <f t="shared" si="34"/>
        <v>7</v>
      </c>
      <c r="V148" t="str">
        <f t="shared" si="35"/>
        <v>T-SHIRT</v>
      </c>
      <c r="W148" t="str">
        <f t="shared" si="36"/>
        <v>t-shirt</v>
      </c>
      <c r="X148" t="str">
        <f t="shared" si="37"/>
        <v>T-Shirt</v>
      </c>
      <c r="Y148" t="str">
        <f t="shared" si="38"/>
        <v>Maharashtra 6</v>
      </c>
      <c r="Z148" t="str">
        <f t="shared" si="39"/>
        <v>BrandA6</v>
      </c>
      <c r="AA148" t="str">
        <f t="shared" si="40"/>
        <v>BrandA 6</v>
      </c>
      <c r="AB148" t="str">
        <f t="shared" si="41"/>
        <v>Maharashtra Website</v>
      </c>
      <c r="AC148">
        <f t="shared" si="42"/>
        <v>2</v>
      </c>
      <c r="AD148">
        <f t="shared" si="43"/>
        <v>1</v>
      </c>
      <c r="AE148" t="str">
        <f t="shared" si="44"/>
        <v>Mahaphtra Website</v>
      </c>
      <c r="AF148" t="s">
        <v>130</v>
      </c>
      <c r="AG148" t="s">
        <v>132</v>
      </c>
      <c r="AH148" t="s">
        <v>132</v>
      </c>
    </row>
    <row r="149" spans="1:34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t="s">
        <v>47</v>
      </c>
      <c r="Q149" t="str">
        <f t="shared" si="30"/>
        <v>UPI</v>
      </c>
      <c r="R149" t="str">
        <f t="shared" si="31"/>
        <v>ixer</v>
      </c>
      <c r="S149">
        <f t="shared" si="32"/>
        <v>13</v>
      </c>
      <c r="T149" t="str">
        <f t="shared" si="33"/>
        <v>Mixer Grinder</v>
      </c>
      <c r="U149">
        <f t="shared" si="34"/>
        <v>13</v>
      </c>
      <c r="V149" t="str">
        <f t="shared" si="35"/>
        <v>MIXER GRINDER</v>
      </c>
      <c r="W149" t="str">
        <f t="shared" si="36"/>
        <v>mixer grinder</v>
      </c>
      <c r="X149" t="str">
        <f t="shared" si="37"/>
        <v>Mixer Grinder</v>
      </c>
      <c r="Y149" t="str">
        <f t="shared" si="38"/>
        <v>West Bengal 3</v>
      </c>
      <c r="Z149" t="str">
        <f t="shared" si="39"/>
        <v>BrandB3</v>
      </c>
      <c r="AA149" t="str">
        <f t="shared" si="40"/>
        <v>BrandB 3</v>
      </c>
      <c r="AB149" t="str">
        <f t="shared" si="41"/>
        <v>West Bengal Marketplace</v>
      </c>
      <c r="AC149">
        <f t="shared" si="42"/>
        <v>5</v>
      </c>
      <c r="AD149">
        <f t="shared" si="43"/>
        <v>13</v>
      </c>
      <c r="AE149" t="str">
        <f t="shared" si="44"/>
        <v>Westpngal Marketplace</v>
      </c>
      <c r="AF149" t="s">
        <v>127</v>
      </c>
      <c r="AG149" t="s">
        <v>133</v>
      </c>
      <c r="AH149" t="s">
        <v>133</v>
      </c>
    </row>
    <row r="150" spans="1:34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t="s">
        <v>33</v>
      </c>
      <c r="Q150" t="str">
        <f t="shared" si="30"/>
        <v>ing</v>
      </c>
      <c r="R150" t="str">
        <f t="shared" si="31"/>
        <v>extb</v>
      </c>
      <c r="S150">
        <f t="shared" si="32"/>
        <v>8</v>
      </c>
      <c r="T150" t="str">
        <f t="shared" si="33"/>
        <v>Textbook</v>
      </c>
      <c r="U150">
        <f t="shared" si="34"/>
        <v>8</v>
      </c>
      <c r="V150" t="str">
        <f t="shared" si="35"/>
        <v>TEXTBOOK</v>
      </c>
      <c r="W150" t="str">
        <f t="shared" si="36"/>
        <v>textbook</v>
      </c>
      <c r="X150" t="str">
        <f t="shared" si="37"/>
        <v>Textbook</v>
      </c>
      <c r="Y150" t="str">
        <f t="shared" si="38"/>
        <v>Tamil Nadu 8</v>
      </c>
      <c r="Z150" t="str">
        <f t="shared" si="39"/>
        <v>BrandE8</v>
      </c>
      <c r="AA150" t="str">
        <f t="shared" si="40"/>
        <v>BrandE 8</v>
      </c>
      <c r="AB150" t="str">
        <f t="shared" si="41"/>
        <v>Tamil Nadu Marketplace</v>
      </c>
      <c r="AC150">
        <f t="shared" si="42"/>
        <v>5</v>
      </c>
      <c r="AD150">
        <f t="shared" si="43"/>
        <v>3</v>
      </c>
      <c r="AE150" t="str">
        <f t="shared" si="44"/>
        <v>Tamipadu Marketplace</v>
      </c>
      <c r="AF150" t="s">
        <v>126</v>
      </c>
      <c r="AG150" t="s">
        <v>133</v>
      </c>
      <c r="AH150" t="s">
        <v>133</v>
      </c>
    </row>
    <row r="151" spans="1:34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t="s">
        <v>28</v>
      </c>
      <c r="Q151" t="str">
        <f t="shared" si="30"/>
        <v>ard</v>
      </c>
      <c r="R151" t="str">
        <f t="shared" si="31"/>
        <v>mart</v>
      </c>
      <c r="S151">
        <f t="shared" si="32"/>
        <v>10</v>
      </c>
      <c r="T151" t="str">
        <f t="shared" si="33"/>
        <v>Smartwatch</v>
      </c>
      <c r="U151">
        <f t="shared" si="34"/>
        <v>10</v>
      </c>
      <c r="V151" t="str">
        <f t="shared" si="35"/>
        <v>SMARTWATCH</v>
      </c>
      <c r="W151" t="str">
        <f t="shared" si="36"/>
        <v>smartwatch</v>
      </c>
      <c r="X151" t="str">
        <f t="shared" si="37"/>
        <v>Smartwatch</v>
      </c>
      <c r="Y151" t="str">
        <f t="shared" si="38"/>
        <v>Maharashtra 2</v>
      </c>
      <c r="Z151" t="str">
        <f t="shared" si="39"/>
        <v>BrandD2</v>
      </c>
      <c r="AA151" t="str">
        <f t="shared" si="40"/>
        <v>BrandD 2</v>
      </c>
      <c r="AB151" t="str">
        <f t="shared" si="41"/>
        <v>Maharashtra Website</v>
      </c>
      <c r="AC151">
        <f t="shared" si="42"/>
        <v>2</v>
      </c>
      <c r="AD151">
        <f t="shared" si="43"/>
        <v>1</v>
      </c>
      <c r="AE151" t="str">
        <f t="shared" si="44"/>
        <v>Mahaphtra Website</v>
      </c>
      <c r="AF151" t="s">
        <v>130</v>
      </c>
      <c r="AG151" t="s">
        <v>132</v>
      </c>
      <c r="AH151" t="s">
        <v>132</v>
      </c>
    </row>
    <row r="152" spans="1:34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t="s">
        <v>47</v>
      </c>
      <c r="Q152" t="str">
        <f t="shared" si="30"/>
        <v>ard</v>
      </c>
      <c r="R152" t="str">
        <f t="shared" si="31"/>
        <v>apto</v>
      </c>
      <c r="S152">
        <f t="shared" si="32"/>
        <v>6</v>
      </c>
      <c r="T152" t="str">
        <f t="shared" si="33"/>
        <v>Laptop</v>
      </c>
      <c r="U152">
        <f t="shared" si="34"/>
        <v>6</v>
      </c>
      <c r="V152" t="str">
        <f t="shared" si="35"/>
        <v>LAPTOP</v>
      </c>
      <c r="W152" t="str">
        <f t="shared" si="36"/>
        <v>laptop</v>
      </c>
      <c r="X152" t="str">
        <f t="shared" si="37"/>
        <v>Laptop</v>
      </c>
      <c r="Y152" t="str">
        <f t="shared" si="38"/>
        <v>West Bengal 5</v>
      </c>
      <c r="Z152" t="str">
        <f t="shared" si="39"/>
        <v>BrandB5</v>
      </c>
      <c r="AA152" t="str">
        <f t="shared" si="40"/>
        <v>BrandB 5</v>
      </c>
      <c r="AB152" t="str">
        <f t="shared" si="41"/>
        <v>West Bengal Marketplace</v>
      </c>
      <c r="AC152">
        <f t="shared" si="42"/>
        <v>5</v>
      </c>
      <c r="AD152">
        <f t="shared" si="43"/>
        <v>13</v>
      </c>
      <c r="AE152" t="str">
        <f t="shared" si="44"/>
        <v>Westpngal Marketplace</v>
      </c>
      <c r="AF152" t="s">
        <v>127</v>
      </c>
      <c r="AG152" t="s">
        <v>133</v>
      </c>
      <c r="AH152" t="s">
        <v>133</v>
      </c>
    </row>
    <row r="153" spans="1:34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t="s">
        <v>47</v>
      </c>
      <c r="Q153" t="str">
        <f t="shared" si="30"/>
        <v>UPI</v>
      </c>
      <c r="R153" t="str">
        <f t="shared" si="31"/>
        <v>ipst</v>
      </c>
      <c r="S153">
        <f t="shared" si="32"/>
        <v>8</v>
      </c>
      <c r="T153" t="str">
        <f t="shared" si="33"/>
        <v>Lipstick</v>
      </c>
      <c r="U153">
        <f t="shared" si="34"/>
        <v>8</v>
      </c>
      <c r="V153" t="str">
        <f t="shared" si="35"/>
        <v>LIPSTICK</v>
      </c>
      <c r="W153" t="str">
        <f t="shared" si="36"/>
        <v>lipstick</v>
      </c>
      <c r="X153" t="str">
        <f t="shared" si="37"/>
        <v>Lipstick</v>
      </c>
      <c r="Y153" t="str">
        <f t="shared" si="38"/>
        <v>Delhi 1</v>
      </c>
      <c r="Z153" t="str">
        <f t="shared" si="39"/>
        <v>BrandB1</v>
      </c>
      <c r="AA153" t="str">
        <f t="shared" si="40"/>
        <v>BrandB 1</v>
      </c>
      <c r="AB153" t="str">
        <f t="shared" si="41"/>
        <v>Delhi Website</v>
      </c>
      <c r="AC153">
        <f t="shared" si="42"/>
        <v>2</v>
      </c>
      <c r="AD153" t="e">
        <f t="shared" si="43"/>
        <v>#VALUE!</v>
      </c>
      <c r="AE153" t="str">
        <f t="shared" si="44"/>
        <v>Delhpebsite</v>
      </c>
      <c r="AF153" t="s">
        <v>125</v>
      </c>
      <c r="AG153" t="s">
        <v>132</v>
      </c>
      <c r="AH153" t="s">
        <v>132</v>
      </c>
    </row>
    <row r="154" spans="1:34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t="s">
        <v>28</v>
      </c>
      <c r="Q154" t="str">
        <f t="shared" si="30"/>
        <v>ard</v>
      </c>
      <c r="R154" t="str">
        <f t="shared" si="31"/>
        <v>ookw</v>
      </c>
      <c r="S154">
        <f t="shared" si="32"/>
        <v>12</v>
      </c>
      <c r="T154" t="str">
        <f t="shared" si="33"/>
        <v>Cookware Set</v>
      </c>
      <c r="U154">
        <f t="shared" si="34"/>
        <v>12</v>
      </c>
      <c r="V154" t="str">
        <f t="shared" si="35"/>
        <v>COOKWARE SET</v>
      </c>
      <c r="W154" t="str">
        <f t="shared" si="36"/>
        <v>cookware set</v>
      </c>
      <c r="X154" t="str">
        <f t="shared" si="37"/>
        <v>Cookware Set</v>
      </c>
      <c r="Y154" t="str">
        <f t="shared" si="38"/>
        <v>West Bengal 6</v>
      </c>
      <c r="Z154" t="str">
        <f t="shared" si="39"/>
        <v>BrandD6</v>
      </c>
      <c r="AA154" t="str">
        <f t="shared" si="40"/>
        <v>BrandD 6</v>
      </c>
      <c r="AB154" t="str">
        <f t="shared" si="41"/>
        <v>West Bengal Marketplace</v>
      </c>
      <c r="AC154">
        <f t="shared" si="42"/>
        <v>5</v>
      </c>
      <c r="AD154">
        <f t="shared" si="43"/>
        <v>13</v>
      </c>
      <c r="AE154" t="str">
        <f t="shared" si="44"/>
        <v>Westpngal Marketplace</v>
      </c>
      <c r="AF154" t="s">
        <v>127</v>
      </c>
      <c r="AG154" t="s">
        <v>133</v>
      </c>
      <c r="AH154" t="s">
        <v>133</v>
      </c>
    </row>
    <row r="155" spans="1:34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t="s">
        <v>45</v>
      </c>
      <c r="Q155" t="str">
        <f t="shared" si="30"/>
        <v>ing</v>
      </c>
      <c r="R155" t="str">
        <f t="shared" si="31"/>
        <v>edsh</v>
      </c>
      <c r="S155">
        <f t="shared" si="32"/>
        <v>8</v>
      </c>
      <c r="T155" t="str">
        <f t="shared" si="33"/>
        <v>Bedsheet</v>
      </c>
      <c r="U155">
        <f t="shared" si="34"/>
        <v>8</v>
      </c>
      <c r="V155" t="str">
        <f t="shared" si="35"/>
        <v>BEDSHEET</v>
      </c>
      <c r="W155" t="str">
        <f t="shared" si="36"/>
        <v>bedsheet</v>
      </c>
      <c r="X155" t="str">
        <f t="shared" si="37"/>
        <v>Bedsheet</v>
      </c>
      <c r="Y155" t="str">
        <f t="shared" si="38"/>
        <v>Tamil Nadu 2</v>
      </c>
      <c r="Z155" t="str">
        <f t="shared" si="39"/>
        <v>BrandC2</v>
      </c>
      <c r="AA155" t="str">
        <f t="shared" si="40"/>
        <v>BrandC 2</v>
      </c>
      <c r="AB155" t="str">
        <f t="shared" si="41"/>
        <v>Tamil Nadu Mobile App</v>
      </c>
      <c r="AC155">
        <f t="shared" si="42"/>
        <v>6</v>
      </c>
      <c r="AD155">
        <f t="shared" si="43"/>
        <v>3</v>
      </c>
      <c r="AE155" t="str">
        <f t="shared" si="44"/>
        <v>Tamipadu Mobile App</v>
      </c>
      <c r="AF155" t="s">
        <v>126</v>
      </c>
      <c r="AG155" t="s">
        <v>131</v>
      </c>
      <c r="AH155" t="s">
        <v>134</v>
      </c>
    </row>
    <row r="156" spans="1:34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t="s">
        <v>21</v>
      </c>
      <c r="Q156" t="str">
        <f t="shared" si="30"/>
        <v>ard</v>
      </c>
      <c r="R156" t="str">
        <f t="shared" si="31"/>
        <v>ipst</v>
      </c>
      <c r="S156">
        <f t="shared" si="32"/>
        <v>8</v>
      </c>
      <c r="T156" t="str">
        <f t="shared" si="33"/>
        <v>Lipstick</v>
      </c>
      <c r="U156">
        <f t="shared" si="34"/>
        <v>8</v>
      </c>
      <c r="V156" t="str">
        <f t="shared" si="35"/>
        <v>LIPSTICK</v>
      </c>
      <c r="W156" t="str">
        <f t="shared" si="36"/>
        <v>lipstick</v>
      </c>
      <c r="X156" t="str">
        <f t="shared" si="37"/>
        <v>Lipstick</v>
      </c>
      <c r="Y156" t="str">
        <f t="shared" si="38"/>
        <v>West Bengal 4</v>
      </c>
      <c r="Z156" t="str">
        <f t="shared" si="39"/>
        <v>BrandA4</v>
      </c>
      <c r="AA156" t="str">
        <f t="shared" si="40"/>
        <v>BrandA 4</v>
      </c>
      <c r="AB156" t="str">
        <f t="shared" si="41"/>
        <v>West Bengal Marketplace</v>
      </c>
      <c r="AC156">
        <f t="shared" si="42"/>
        <v>5</v>
      </c>
      <c r="AD156">
        <f t="shared" si="43"/>
        <v>13</v>
      </c>
      <c r="AE156" t="str">
        <f t="shared" si="44"/>
        <v>Westpngal Marketplace</v>
      </c>
      <c r="AF156" t="s">
        <v>127</v>
      </c>
      <c r="AG156" t="s">
        <v>133</v>
      </c>
      <c r="AH156" t="s">
        <v>133</v>
      </c>
    </row>
    <row r="157" spans="1:34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t="s">
        <v>45</v>
      </c>
      <c r="Q157" t="str">
        <f t="shared" si="30"/>
        <v>ard</v>
      </c>
      <c r="R157" t="str">
        <f t="shared" si="31"/>
        <v>omic</v>
      </c>
      <c r="S157">
        <f t="shared" si="32"/>
        <v>6</v>
      </c>
      <c r="T157" t="str">
        <f t="shared" si="33"/>
        <v>Comics</v>
      </c>
      <c r="U157">
        <f t="shared" si="34"/>
        <v>6</v>
      </c>
      <c r="V157" t="str">
        <f t="shared" si="35"/>
        <v>COMICS</v>
      </c>
      <c r="W157" t="str">
        <f t="shared" si="36"/>
        <v>comics</v>
      </c>
      <c r="X157" t="str">
        <f t="shared" si="37"/>
        <v>Comics</v>
      </c>
      <c r="Y157" t="str">
        <f t="shared" si="38"/>
        <v>Karnataka 6</v>
      </c>
      <c r="Z157" t="str">
        <f t="shared" si="39"/>
        <v>BrandC6</v>
      </c>
      <c r="AA157" t="str">
        <f t="shared" si="40"/>
        <v>BrandC 6</v>
      </c>
      <c r="AB157" t="str">
        <f t="shared" si="41"/>
        <v>Karnataka Website</v>
      </c>
      <c r="AC157">
        <f t="shared" si="42"/>
        <v>2</v>
      </c>
      <c r="AD157" t="e">
        <f t="shared" si="43"/>
        <v>#VALUE!</v>
      </c>
      <c r="AE157" t="str">
        <f t="shared" si="44"/>
        <v>Karnpka Website</v>
      </c>
      <c r="AF157" t="s">
        <v>128</v>
      </c>
      <c r="AG157" t="s">
        <v>132</v>
      </c>
      <c r="AH157" t="s">
        <v>132</v>
      </c>
    </row>
    <row r="158" spans="1:34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t="s">
        <v>33</v>
      </c>
      <c r="Q158" t="str">
        <f t="shared" si="30"/>
        <v>ard</v>
      </c>
      <c r="R158" t="str">
        <f t="shared" si="31"/>
        <v>ixer</v>
      </c>
      <c r="S158">
        <f t="shared" si="32"/>
        <v>13</v>
      </c>
      <c r="T158" t="str">
        <f t="shared" si="33"/>
        <v>Mixer Grinder</v>
      </c>
      <c r="U158">
        <f t="shared" si="34"/>
        <v>13</v>
      </c>
      <c r="V158" t="str">
        <f t="shared" si="35"/>
        <v>MIXER GRINDER</v>
      </c>
      <c r="W158" t="str">
        <f t="shared" si="36"/>
        <v>mixer grinder</v>
      </c>
      <c r="X158" t="str">
        <f t="shared" si="37"/>
        <v>Mixer Grinder</v>
      </c>
      <c r="Y158" t="str">
        <f t="shared" si="38"/>
        <v>Tamil Nadu 8</v>
      </c>
      <c r="Z158" t="str">
        <f t="shared" si="39"/>
        <v>BrandE8</v>
      </c>
      <c r="AA158" t="str">
        <f t="shared" si="40"/>
        <v>BrandE 8</v>
      </c>
      <c r="AB158" t="str">
        <f t="shared" si="41"/>
        <v>Tamil Nadu Marketplace</v>
      </c>
      <c r="AC158">
        <f t="shared" si="42"/>
        <v>5</v>
      </c>
      <c r="AD158">
        <f t="shared" si="43"/>
        <v>3</v>
      </c>
      <c r="AE158" t="str">
        <f t="shared" si="44"/>
        <v>Tamipadu Marketplace</v>
      </c>
      <c r="AF158" t="s">
        <v>126</v>
      </c>
      <c r="AG158" t="s">
        <v>133</v>
      </c>
      <c r="AH158" t="s">
        <v>133</v>
      </c>
    </row>
    <row r="159" spans="1:34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t="s">
        <v>28</v>
      </c>
      <c r="Q159" t="str">
        <f t="shared" si="30"/>
        <v>ard</v>
      </c>
      <c r="R159" t="str">
        <f t="shared" si="31"/>
        <v>apto</v>
      </c>
      <c r="S159">
        <f t="shared" si="32"/>
        <v>6</v>
      </c>
      <c r="T159" t="str">
        <f t="shared" si="33"/>
        <v>Laptop</v>
      </c>
      <c r="U159">
        <f t="shared" si="34"/>
        <v>6</v>
      </c>
      <c r="V159" t="str">
        <f t="shared" si="35"/>
        <v>LAPTOP</v>
      </c>
      <c r="W159" t="str">
        <f t="shared" si="36"/>
        <v>laptop</v>
      </c>
      <c r="X159" t="str">
        <f t="shared" si="37"/>
        <v>Laptop</v>
      </c>
      <c r="Y159" t="str">
        <f t="shared" si="38"/>
        <v>Telangana 8</v>
      </c>
      <c r="Z159" t="str">
        <f t="shared" si="39"/>
        <v>BrandD8</v>
      </c>
      <c r="AA159" t="str">
        <f t="shared" si="40"/>
        <v>BrandD 8</v>
      </c>
      <c r="AB159" t="str">
        <f t="shared" si="41"/>
        <v>Telangana Website</v>
      </c>
      <c r="AC159">
        <f t="shared" si="42"/>
        <v>2</v>
      </c>
      <c r="AD159" t="e">
        <f t="shared" si="43"/>
        <v>#VALUE!</v>
      </c>
      <c r="AE159" t="str">
        <f t="shared" si="44"/>
        <v>Telapna Website</v>
      </c>
      <c r="AF159" t="s">
        <v>129</v>
      </c>
      <c r="AG159" t="s">
        <v>132</v>
      </c>
      <c r="AH159" t="s">
        <v>132</v>
      </c>
    </row>
    <row r="160" spans="1:34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t="s">
        <v>45</v>
      </c>
      <c r="Q160" t="str">
        <f t="shared" si="30"/>
        <v>ard</v>
      </c>
      <c r="R160" t="str">
        <f t="shared" si="31"/>
        <v>mart</v>
      </c>
      <c r="S160">
        <f t="shared" si="32"/>
        <v>10</v>
      </c>
      <c r="T160" t="str">
        <f t="shared" si="33"/>
        <v>Smartphone</v>
      </c>
      <c r="U160">
        <f t="shared" si="34"/>
        <v>10</v>
      </c>
      <c r="V160" t="str">
        <f t="shared" si="35"/>
        <v>SMARTPHONE</v>
      </c>
      <c r="W160" t="str">
        <f t="shared" si="36"/>
        <v>smartphone</v>
      </c>
      <c r="X160" t="str">
        <f t="shared" si="37"/>
        <v>Smartphone</v>
      </c>
      <c r="Y160" t="str">
        <f t="shared" si="38"/>
        <v>Delhi 6</v>
      </c>
      <c r="Z160" t="str">
        <f t="shared" si="39"/>
        <v>BrandC6</v>
      </c>
      <c r="AA160" t="str">
        <f t="shared" si="40"/>
        <v>BrandC 6</v>
      </c>
      <c r="AB160" t="str">
        <f t="shared" si="41"/>
        <v>Delhi Website</v>
      </c>
      <c r="AC160">
        <f t="shared" si="42"/>
        <v>2</v>
      </c>
      <c r="AD160" t="e">
        <f t="shared" si="43"/>
        <v>#VALUE!</v>
      </c>
      <c r="AE160" t="str">
        <f t="shared" si="44"/>
        <v>Delhpebsite</v>
      </c>
      <c r="AF160" t="s">
        <v>125</v>
      </c>
      <c r="AG160" t="s">
        <v>132</v>
      </c>
      <c r="AH160" t="s">
        <v>132</v>
      </c>
    </row>
    <row r="161" spans="1:34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t="s">
        <v>47</v>
      </c>
      <c r="Q161" t="str">
        <f t="shared" si="30"/>
        <v>UPI</v>
      </c>
      <c r="R161" t="str">
        <f t="shared" si="31"/>
        <v>-Shi</v>
      </c>
      <c r="S161">
        <f t="shared" si="32"/>
        <v>7</v>
      </c>
      <c r="T161" t="str">
        <f t="shared" si="33"/>
        <v>T-Shirt</v>
      </c>
      <c r="U161">
        <f t="shared" si="34"/>
        <v>7</v>
      </c>
      <c r="V161" t="str">
        <f t="shared" si="35"/>
        <v>T-SHIRT</v>
      </c>
      <c r="W161" t="str">
        <f t="shared" si="36"/>
        <v>t-shirt</v>
      </c>
      <c r="X161" t="str">
        <f t="shared" si="37"/>
        <v>T-Shirt</v>
      </c>
      <c r="Y161" t="str">
        <f t="shared" si="38"/>
        <v>Karnataka 4</v>
      </c>
      <c r="Z161" t="str">
        <f t="shared" si="39"/>
        <v>BrandB4</v>
      </c>
      <c r="AA161" t="str">
        <f t="shared" si="40"/>
        <v>BrandB 4</v>
      </c>
      <c r="AB161" t="str">
        <f t="shared" si="41"/>
        <v>Karnataka Mobile App</v>
      </c>
      <c r="AC161">
        <f t="shared" si="42"/>
        <v>6</v>
      </c>
      <c r="AD161">
        <f t="shared" si="43"/>
        <v>11</v>
      </c>
      <c r="AE161" t="str">
        <f t="shared" si="44"/>
        <v>Karnpka Mobile App</v>
      </c>
      <c r="AF161" t="s">
        <v>128</v>
      </c>
      <c r="AG161" t="s">
        <v>131</v>
      </c>
      <c r="AH161" t="s">
        <v>134</v>
      </c>
    </row>
    <row r="162" spans="1:34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t="s">
        <v>33</v>
      </c>
      <c r="Q162" t="str">
        <f t="shared" si="30"/>
        <v>ery</v>
      </c>
      <c r="R162" t="str">
        <f t="shared" si="31"/>
        <v>ixer</v>
      </c>
      <c r="S162">
        <f t="shared" si="32"/>
        <v>13</v>
      </c>
      <c r="T162" t="str">
        <f t="shared" si="33"/>
        <v>Mixer Grinder</v>
      </c>
      <c r="U162">
        <f t="shared" si="34"/>
        <v>13</v>
      </c>
      <c r="V162" t="str">
        <f t="shared" si="35"/>
        <v>MIXER GRINDER</v>
      </c>
      <c r="W162" t="str">
        <f t="shared" si="36"/>
        <v>mixer grinder</v>
      </c>
      <c r="X162" t="str">
        <f t="shared" si="37"/>
        <v>Mixer Grinder</v>
      </c>
      <c r="Y162" t="str">
        <f t="shared" si="38"/>
        <v>Telangana 8</v>
      </c>
      <c r="Z162" t="str">
        <f t="shared" si="39"/>
        <v>BrandE8</v>
      </c>
      <c r="AA162" t="str">
        <f t="shared" si="40"/>
        <v>BrandE 8</v>
      </c>
      <c r="AB162" t="str">
        <f t="shared" si="41"/>
        <v>Telangana Mobile App</v>
      </c>
      <c r="AC162">
        <f t="shared" si="42"/>
        <v>6</v>
      </c>
      <c r="AD162">
        <f t="shared" si="43"/>
        <v>11</v>
      </c>
      <c r="AE162" t="str">
        <f t="shared" si="44"/>
        <v>Telapna Mobile App</v>
      </c>
      <c r="AF162" t="s">
        <v>129</v>
      </c>
      <c r="AG162" t="s">
        <v>131</v>
      </c>
      <c r="AH162" t="s">
        <v>134</v>
      </c>
    </row>
    <row r="163" spans="1:34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t="s">
        <v>33</v>
      </c>
      <c r="Q163" t="str">
        <f t="shared" si="30"/>
        <v>UPI</v>
      </c>
      <c r="R163" t="str">
        <f t="shared" si="31"/>
        <v>icti</v>
      </c>
      <c r="S163">
        <f t="shared" si="32"/>
        <v>13</v>
      </c>
      <c r="T163" t="str">
        <f t="shared" si="33"/>
        <v>Fiction Novel</v>
      </c>
      <c r="U163">
        <f t="shared" si="34"/>
        <v>13</v>
      </c>
      <c r="V163" t="str">
        <f t="shared" si="35"/>
        <v>FICTION NOVEL</v>
      </c>
      <c r="W163" t="str">
        <f t="shared" si="36"/>
        <v>fiction novel</v>
      </c>
      <c r="X163" t="str">
        <f t="shared" si="37"/>
        <v>Fiction Novel</v>
      </c>
      <c r="Y163" t="str">
        <f t="shared" si="38"/>
        <v>West Bengal 8</v>
      </c>
      <c r="Z163" t="str">
        <f t="shared" si="39"/>
        <v>BrandE8</v>
      </c>
      <c r="AA163" t="str">
        <f t="shared" si="40"/>
        <v>BrandE 8</v>
      </c>
      <c r="AB163" t="str">
        <f t="shared" si="41"/>
        <v>West Bengal Website</v>
      </c>
      <c r="AC163">
        <f t="shared" si="42"/>
        <v>2</v>
      </c>
      <c r="AD163" t="e">
        <f t="shared" si="43"/>
        <v>#VALUE!</v>
      </c>
      <c r="AE163" t="str">
        <f t="shared" si="44"/>
        <v>Westpngal Website</v>
      </c>
      <c r="AF163" t="s">
        <v>127</v>
      </c>
      <c r="AG163" t="s">
        <v>132</v>
      </c>
      <c r="AH163" t="s">
        <v>132</v>
      </c>
    </row>
    <row r="164" spans="1:34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t="s">
        <v>45</v>
      </c>
      <c r="Q164" t="str">
        <f t="shared" si="30"/>
        <v>UPI</v>
      </c>
      <c r="R164" t="str">
        <f t="shared" si="31"/>
        <v>hamp</v>
      </c>
      <c r="S164">
        <f t="shared" si="32"/>
        <v>7</v>
      </c>
      <c r="T164" t="str">
        <f t="shared" si="33"/>
        <v>Shampoo</v>
      </c>
      <c r="U164">
        <f t="shared" si="34"/>
        <v>7</v>
      </c>
      <c r="V164" t="str">
        <f t="shared" si="35"/>
        <v>SHAMPOO</v>
      </c>
      <c r="W164" t="str">
        <f t="shared" si="36"/>
        <v>shampoo</v>
      </c>
      <c r="X164" t="str">
        <f t="shared" si="37"/>
        <v>Shampoo</v>
      </c>
      <c r="Y164" t="str">
        <f t="shared" si="38"/>
        <v>Tamil Nadu 1</v>
      </c>
      <c r="Z164" t="str">
        <f t="shared" si="39"/>
        <v>BrandC1</v>
      </c>
      <c r="AA164" t="str">
        <f t="shared" si="40"/>
        <v>BrandC 1</v>
      </c>
      <c r="AB164" t="str">
        <f t="shared" si="41"/>
        <v>Tamil Nadu Marketplace</v>
      </c>
      <c r="AC164">
        <f t="shared" si="42"/>
        <v>5</v>
      </c>
      <c r="AD164">
        <f t="shared" si="43"/>
        <v>3</v>
      </c>
      <c r="AE164" t="str">
        <f t="shared" si="44"/>
        <v>Tamipadu Marketplace</v>
      </c>
      <c r="AF164" t="s">
        <v>126</v>
      </c>
      <c r="AG164" t="s">
        <v>133</v>
      </c>
      <c r="AH164" t="s">
        <v>133</v>
      </c>
    </row>
    <row r="165" spans="1:34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t="s">
        <v>45</v>
      </c>
      <c r="Q165" t="str">
        <f t="shared" si="30"/>
        <v>ery</v>
      </c>
      <c r="R165" t="str">
        <f t="shared" si="31"/>
        <v xml:space="preserve">ace </v>
      </c>
      <c r="S165">
        <f t="shared" si="32"/>
        <v>10</v>
      </c>
      <c r="T165" t="str">
        <f t="shared" si="33"/>
        <v>Face Cream</v>
      </c>
      <c r="U165">
        <f t="shared" si="34"/>
        <v>10</v>
      </c>
      <c r="V165" t="str">
        <f t="shared" si="35"/>
        <v>FACE CREAM</v>
      </c>
      <c r="W165" t="str">
        <f t="shared" si="36"/>
        <v>face cream</v>
      </c>
      <c r="X165" t="str">
        <f t="shared" si="37"/>
        <v>Face Cream</v>
      </c>
      <c r="Y165" t="str">
        <f t="shared" si="38"/>
        <v>Delhi 4</v>
      </c>
      <c r="Z165" t="str">
        <f t="shared" si="39"/>
        <v>BrandC4</v>
      </c>
      <c r="AA165" t="str">
        <f t="shared" si="40"/>
        <v>BrandC 4</v>
      </c>
      <c r="AB165" t="str">
        <f t="shared" si="41"/>
        <v>Delhi Website</v>
      </c>
      <c r="AC165">
        <f t="shared" si="42"/>
        <v>2</v>
      </c>
      <c r="AD165" t="e">
        <f t="shared" si="43"/>
        <v>#VALUE!</v>
      </c>
      <c r="AE165" t="str">
        <f t="shared" si="44"/>
        <v>Delhpebsite</v>
      </c>
      <c r="AF165" t="s">
        <v>125</v>
      </c>
      <c r="AG165" t="s">
        <v>132</v>
      </c>
      <c r="AH165" t="s">
        <v>132</v>
      </c>
    </row>
    <row r="166" spans="1:34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t="s">
        <v>28</v>
      </c>
      <c r="Q166" t="str">
        <f t="shared" si="30"/>
        <v>ery</v>
      </c>
      <c r="R166" t="str">
        <f t="shared" si="31"/>
        <v>extb</v>
      </c>
      <c r="S166">
        <f t="shared" si="32"/>
        <v>8</v>
      </c>
      <c r="T166" t="str">
        <f t="shared" si="33"/>
        <v>Textbook</v>
      </c>
      <c r="U166">
        <f t="shared" si="34"/>
        <v>8</v>
      </c>
      <c r="V166" t="str">
        <f t="shared" si="35"/>
        <v>TEXTBOOK</v>
      </c>
      <c r="W166" t="str">
        <f t="shared" si="36"/>
        <v>textbook</v>
      </c>
      <c r="X166" t="str">
        <f t="shared" si="37"/>
        <v>Textbook</v>
      </c>
      <c r="Y166" t="str">
        <f t="shared" si="38"/>
        <v>Karnataka 4</v>
      </c>
      <c r="Z166" t="str">
        <f t="shared" si="39"/>
        <v>BrandD4</v>
      </c>
      <c r="AA166" t="str">
        <f t="shared" si="40"/>
        <v>BrandD 4</v>
      </c>
      <c r="AB166" t="str">
        <f t="shared" si="41"/>
        <v>Karnataka Website</v>
      </c>
      <c r="AC166">
        <f t="shared" si="42"/>
        <v>2</v>
      </c>
      <c r="AD166" t="e">
        <f t="shared" si="43"/>
        <v>#VALUE!</v>
      </c>
      <c r="AE166" t="str">
        <f t="shared" si="44"/>
        <v>Karnpka Website</v>
      </c>
      <c r="AF166" t="s">
        <v>128</v>
      </c>
      <c r="AG166" t="s">
        <v>132</v>
      </c>
      <c r="AH166" t="s">
        <v>132</v>
      </c>
    </row>
    <row r="167" spans="1:34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t="s">
        <v>21</v>
      </c>
      <c r="Q167" t="str">
        <f t="shared" si="30"/>
        <v>ing</v>
      </c>
      <c r="R167" t="str">
        <f t="shared" si="31"/>
        <v>ootb</v>
      </c>
      <c r="S167">
        <f t="shared" si="32"/>
        <v>8</v>
      </c>
      <c r="T167" t="str">
        <f t="shared" si="33"/>
        <v>Football</v>
      </c>
      <c r="U167">
        <f t="shared" si="34"/>
        <v>8</v>
      </c>
      <c r="V167" t="str">
        <f t="shared" si="35"/>
        <v>FOOTBALL</v>
      </c>
      <c r="W167" t="str">
        <f t="shared" si="36"/>
        <v>football</v>
      </c>
      <c r="X167" t="str">
        <f t="shared" si="37"/>
        <v>Football</v>
      </c>
      <c r="Y167" t="str">
        <f t="shared" si="38"/>
        <v>Telangana 7</v>
      </c>
      <c r="Z167" t="str">
        <f t="shared" si="39"/>
        <v>BrandA7</v>
      </c>
      <c r="AA167" t="str">
        <f t="shared" si="40"/>
        <v>BrandA 7</v>
      </c>
      <c r="AB167" t="str">
        <f t="shared" si="41"/>
        <v>Telangana Marketplace</v>
      </c>
      <c r="AC167">
        <f t="shared" si="42"/>
        <v>5</v>
      </c>
      <c r="AD167">
        <f t="shared" si="43"/>
        <v>11</v>
      </c>
      <c r="AE167" t="str">
        <f t="shared" si="44"/>
        <v>Telapna Marketplace</v>
      </c>
      <c r="AF167" t="s">
        <v>129</v>
      </c>
      <c r="AG167" t="s">
        <v>133</v>
      </c>
      <c r="AH167" t="s">
        <v>133</v>
      </c>
    </row>
    <row r="168" spans="1:34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t="s">
        <v>45</v>
      </c>
      <c r="Q168" t="str">
        <f t="shared" si="30"/>
        <v>ing</v>
      </c>
      <c r="R168" t="str">
        <f t="shared" si="31"/>
        <v>neak</v>
      </c>
      <c r="S168">
        <f t="shared" si="32"/>
        <v>8</v>
      </c>
      <c r="T168" t="str">
        <f t="shared" si="33"/>
        <v>Sneakers</v>
      </c>
      <c r="U168">
        <f t="shared" si="34"/>
        <v>8</v>
      </c>
      <c r="V168" t="str">
        <f t="shared" si="35"/>
        <v>SNEAKERS</v>
      </c>
      <c r="W168" t="str">
        <f t="shared" si="36"/>
        <v>sneakers</v>
      </c>
      <c r="X168" t="str">
        <f t="shared" si="37"/>
        <v>Sneakers</v>
      </c>
      <c r="Y168" t="str">
        <f t="shared" si="38"/>
        <v>Telangana 7</v>
      </c>
      <c r="Z168" t="str">
        <f t="shared" si="39"/>
        <v>BrandC7</v>
      </c>
      <c r="AA168" t="str">
        <f t="shared" si="40"/>
        <v>BrandC 7</v>
      </c>
      <c r="AB168" t="str">
        <f t="shared" si="41"/>
        <v>Telangana Marketplace</v>
      </c>
      <c r="AC168">
        <f t="shared" si="42"/>
        <v>5</v>
      </c>
      <c r="AD168">
        <f t="shared" si="43"/>
        <v>11</v>
      </c>
      <c r="AE168" t="str">
        <f t="shared" si="44"/>
        <v>Telapna Marketplace</v>
      </c>
      <c r="AF168" t="s">
        <v>129</v>
      </c>
      <c r="AG168" t="s">
        <v>133</v>
      </c>
      <c r="AH168" t="s">
        <v>133</v>
      </c>
    </row>
    <row r="169" spans="1:34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t="s">
        <v>45</v>
      </c>
      <c r="Q169" t="str">
        <f t="shared" si="30"/>
        <v>UPI</v>
      </c>
      <c r="R169" t="str">
        <f t="shared" si="31"/>
        <v>ipst</v>
      </c>
      <c r="S169">
        <f t="shared" si="32"/>
        <v>8</v>
      </c>
      <c r="T169" t="str">
        <f t="shared" si="33"/>
        <v>Lipstick</v>
      </c>
      <c r="U169">
        <f t="shared" si="34"/>
        <v>8</v>
      </c>
      <c r="V169" t="str">
        <f t="shared" si="35"/>
        <v>LIPSTICK</v>
      </c>
      <c r="W169" t="str">
        <f t="shared" si="36"/>
        <v>lipstick</v>
      </c>
      <c r="X169" t="str">
        <f t="shared" si="37"/>
        <v>Lipstick</v>
      </c>
      <c r="Y169" t="str">
        <f t="shared" si="38"/>
        <v>Delhi 8</v>
      </c>
      <c r="Z169" t="str">
        <f t="shared" si="39"/>
        <v>BrandC8</v>
      </c>
      <c r="AA169" t="str">
        <f t="shared" si="40"/>
        <v>BrandC 8</v>
      </c>
      <c r="AB169" t="str">
        <f t="shared" si="41"/>
        <v>Delhi Marketplace</v>
      </c>
      <c r="AC169">
        <f t="shared" si="42"/>
        <v>5</v>
      </c>
      <c r="AD169">
        <f t="shared" si="43"/>
        <v>7</v>
      </c>
      <c r="AE169" t="str">
        <f t="shared" si="44"/>
        <v>Delhparketplace</v>
      </c>
      <c r="AF169" t="s">
        <v>125</v>
      </c>
      <c r="AG169" t="s">
        <v>133</v>
      </c>
      <c r="AH169" t="s">
        <v>133</v>
      </c>
    </row>
    <row r="170" spans="1:34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t="s">
        <v>47</v>
      </c>
      <c r="Q170" t="str">
        <f t="shared" si="30"/>
        <v>UPI</v>
      </c>
      <c r="R170" t="str">
        <f t="shared" si="31"/>
        <v>urta</v>
      </c>
      <c r="S170">
        <f t="shared" si="32"/>
        <v>8</v>
      </c>
      <c r="T170" t="str">
        <f t="shared" si="33"/>
        <v>Curtains</v>
      </c>
      <c r="U170">
        <f t="shared" si="34"/>
        <v>8</v>
      </c>
      <c r="V170" t="str">
        <f t="shared" si="35"/>
        <v>CURTAINS</v>
      </c>
      <c r="W170" t="str">
        <f t="shared" si="36"/>
        <v>curtains</v>
      </c>
      <c r="X170" t="str">
        <f t="shared" si="37"/>
        <v>Curtains</v>
      </c>
      <c r="Y170" t="str">
        <f t="shared" si="38"/>
        <v>West Bengal 5</v>
      </c>
      <c r="Z170" t="str">
        <f t="shared" si="39"/>
        <v>BrandB5</v>
      </c>
      <c r="AA170" t="str">
        <f t="shared" si="40"/>
        <v>BrandB 5</v>
      </c>
      <c r="AB170" t="str">
        <f t="shared" si="41"/>
        <v>West Bengal Marketplace</v>
      </c>
      <c r="AC170">
        <f t="shared" si="42"/>
        <v>5</v>
      </c>
      <c r="AD170">
        <f t="shared" si="43"/>
        <v>13</v>
      </c>
      <c r="AE170" t="str">
        <f t="shared" si="44"/>
        <v>Westpngal Marketplace</v>
      </c>
      <c r="AF170" t="s">
        <v>127</v>
      </c>
      <c r="AG170" t="s">
        <v>133</v>
      </c>
      <c r="AH170" t="s">
        <v>133</v>
      </c>
    </row>
    <row r="171" spans="1:34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t="s">
        <v>33</v>
      </c>
      <c r="Q171" t="str">
        <f t="shared" si="30"/>
        <v>ard</v>
      </c>
      <c r="R171" t="str">
        <f t="shared" si="31"/>
        <v>eans</v>
      </c>
      <c r="S171">
        <f t="shared" si="32"/>
        <v>5</v>
      </c>
      <c r="T171" t="str">
        <f t="shared" si="33"/>
        <v>Jeans</v>
      </c>
      <c r="U171">
        <f t="shared" si="34"/>
        <v>5</v>
      </c>
      <c r="V171" t="str">
        <f t="shared" si="35"/>
        <v>JEANS</v>
      </c>
      <c r="W171" t="str">
        <f t="shared" si="36"/>
        <v>jeans</v>
      </c>
      <c r="X171" t="str">
        <f t="shared" si="37"/>
        <v>Jeans</v>
      </c>
      <c r="Y171" t="str">
        <f t="shared" si="38"/>
        <v>Delhi 7</v>
      </c>
      <c r="Z171" t="str">
        <f t="shared" si="39"/>
        <v>BrandE7</v>
      </c>
      <c r="AA171" t="str">
        <f t="shared" si="40"/>
        <v>BrandE 7</v>
      </c>
      <c r="AB171" t="str">
        <f t="shared" si="41"/>
        <v>Delhi Website</v>
      </c>
      <c r="AC171">
        <f t="shared" si="42"/>
        <v>2</v>
      </c>
      <c r="AD171" t="e">
        <f t="shared" si="43"/>
        <v>#VALUE!</v>
      </c>
      <c r="AE171" t="str">
        <f t="shared" si="44"/>
        <v>Delhpebsite</v>
      </c>
      <c r="AF171" t="s">
        <v>125</v>
      </c>
      <c r="AG171" t="s">
        <v>132</v>
      </c>
      <c r="AH171" t="s">
        <v>132</v>
      </c>
    </row>
    <row r="172" spans="1:34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t="s">
        <v>21</v>
      </c>
      <c r="Q172" t="str">
        <f t="shared" si="30"/>
        <v>ard</v>
      </c>
      <c r="R172" t="str">
        <f t="shared" si="31"/>
        <v>edsh</v>
      </c>
      <c r="S172">
        <f t="shared" si="32"/>
        <v>8</v>
      </c>
      <c r="T172" t="str">
        <f t="shared" si="33"/>
        <v>Bedsheet</v>
      </c>
      <c r="U172">
        <f t="shared" si="34"/>
        <v>8</v>
      </c>
      <c r="V172" t="str">
        <f t="shared" si="35"/>
        <v>BEDSHEET</v>
      </c>
      <c r="W172" t="str">
        <f t="shared" si="36"/>
        <v>bedsheet</v>
      </c>
      <c r="X172" t="str">
        <f t="shared" si="37"/>
        <v>Bedsheet</v>
      </c>
      <c r="Y172" t="str">
        <f t="shared" si="38"/>
        <v>Telangana 8</v>
      </c>
      <c r="Z172" t="str">
        <f t="shared" si="39"/>
        <v>BrandA8</v>
      </c>
      <c r="AA172" t="str">
        <f t="shared" si="40"/>
        <v>BrandA 8</v>
      </c>
      <c r="AB172" t="str">
        <f t="shared" si="41"/>
        <v>Telangana Website</v>
      </c>
      <c r="AC172">
        <f t="shared" si="42"/>
        <v>2</v>
      </c>
      <c r="AD172" t="e">
        <f t="shared" si="43"/>
        <v>#VALUE!</v>
      </c>
      <c r="AE172" t="str">
        <f t="shared" si="44"/>
        <v>Telapna Website</v>
      </c>
      <c r="AF172" t="s">
        <v>129</v>
      </c>
      <c r="AG172" t="s">
        <v>132</v>
      </c>
      <c r="AH172" t="s">
        <v>132</v>
      </c>
    </row>
    <row r="173" spans="1:34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t="s">
        <v>47</v>
      </c>
      <c r="Q173" t="str">
        <f t="shared" si="30"/>
        <v>ing</v>
      </c>
      <c r="R173" t="str">
        <f t="shared" si="31"/>
        <v>apto</v>
      </c>
      <c r="S173">
        <f t="shared" si="32"/>
        <v>6</v>
      </c>
      <c r="T173" t="str">
        <f t="shared" si="33"/>
        <v>Laptop</v>
      </c>
      <c r="U173">
        <f t="shared" si="34"/>
        <v>6</v>
      </c>
      <c r="V173" t="str">
        <f t="shared" si="35"/>
        <v>LAPTOP</v>
      </c>
      <c r="W173" t="str">
        <f t="shared" si="36"/>
        <v>laptop</v>
      </c>
      <c r="X173" t="str">
        <f t="shared" si="37"/>
        <v>Laptop</v>
      </c>
      <c r="Y173" t="str">
        <f t="shared" si="38"/>
        <v>Maharashtra 9</v>
      </c>
      <c r="Z173" t="str">
        <f t="shared" si="39"/>
        <v>BrandB9</v>
      </c>
      <c r="AA173" t="str">
        <f t="shared" si="40"/>
        <v>BrandB 9</v>
      </c>
      <c r="AB173" t="str">
        <f t="shared" si="41"/>
        <v>Maharashtra Mobile App</v>
      </c>
      <c r="AC173">
        <f t="shared" si="42"/>
        <v>6</v>
      </c>
      <c r="AD173">
        <f t="shared" si="43"/>
        <v>1</v>
      </c>
      <c r="AE173" t="str">
        <f t="shared" si="44"/>
        <v>Mahaphtra Mobile App</v>
      </c>
      <c r="AF173" t="s">
        <v>130</v>
      </c>
      <c r="AG173" t="s">
        <v>131</v>
      </c>
      <c r="AH173" t="s">
        <v>134</v>
      </c>
    </row>
    <row r="174" spans="1:34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t="s">
        <v>28</v>
      </c>
      <c r="Q174" t="str">
        <f t="shared" si="30"/>
        <v>ing</v>
      </c>
      <c r="R174" t="str">
        <f t="shared" si="31"/>
        <v>eans</v>
      </c>
      <c r="S174">
        <f t="shared" si="32"/>
        <v>5</v>
      </c>
      <c r="T174" t="str">
        <f t="shared" si="33"/>
        <v>Jeans</v>
      </c>
      <c r="U174">
        <f t="shared" si="34"/>
        <v>5</v>
      </c>
      <c r="V174" t="str">
        <f t="shared" si="35"/>
        <v>JEANS</v>
      </c>
      <c r="W174" t="str">
        <f t="shared" si="36"/>
        <v>jeans</v>
      </c>
      <c r="X174" t="str">
        <f t="shared" si="37"/>
        <v>Jeans</v>
      </c>
      <c r="Y174" t="str">
        <f t="shared" si="38"/>
        <v>Karnataka 3</v>
      </c>
      <c r="Z174" t="str">
        <f t="shared" si="39"/>
        <v>BrandD3</v>
      </c>
      <c r="AA174" t="str">
        <f t="shared" si="40"/>
        <v>BrandD 3</v>
      </c>
      <c r="AB174" t="str">
        <f t="shared" si="41"/>
        <v>Karnataka Website</v>
      </c>
      <c r="AC174">
        <f t="shared" si="42"/>
        <v>2</v>
      </c>
      <c r="AD174" t="e">
        <f t="shared" si="43"/>
        <v>#VALUE!</v>
      </c>
      <c r="AE174" t="str">
        <f t="shared" si="44"/>
        <v>Karnpka Website</v>
      </c>
      <c r="AF174" t="s">
        <v>128</v>
      </c>
      <c r="AG174" t="s">
        <v>132</v>
      </c>
      <c r="AH174" t="s">
        <v>132</v>
      </c>
    </row>
    <row r="175" spans="1:34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t="s">
        <v>28</v>
      </c>
      <c r="Q175" t="str">
        <f t="shared" si="30"/>
        <v>ard</v>
      </c>
      <c r="R175" t="str">
        <f t="shared" si="31"/>
        <v>hamp</v>
      </c>
      <c r="S175">
        <f t="shared" si="32"/>
        <v>7</v>
      </c>
      <c r="T175" t="str">
        <f t="shared" si="33"/>
        <v>Shampoo</v>
      </c>
      <c r="U175">
        <f t="shared" si="34"/>
        <v>7</v>
      </c>
      <c r="V175" t="str">
        <f t="shared" si="35"/>
        <v>SHAMPOO</v>
      </c>
      <c r="W175" t="str">
        <f t="shared" si="36"/>
        <v>shampoo</v>
      </c>
      <c r="X175" t="str">
        <f t="shared" si="37"/>
        <v>Shampoo</v>
      </c>
      <c r="Y175" t="str">
        <f t="shared" si="38"/>
        <v>Delhi 3</v>
      </c>
      <c r="Z175" t="str">
        <f t="shared" si="39"/>
        <v>BrandD3</v>
      </c>
      <c r="AA175" t="str">
        <f t="shared" si="40"/>
        <v>BrandD 3</v>
      </c>
      <c r="AB175" t="str">
        <f t="shared" si="41"/>
        <v>Delhi Marketplace</v>
      </c>
      <c r="AC175">
        <f t="shared" si="42"/>
        <v>5</v>
      </c>
      <c r="AD175">
        <f t="shared" si="43"/>
        <v>7</v>
      </c>
      <c r="AE175" t="str">
        <f t="shared" si="44"/>
        <v>Delhparketplace</v>
      </c>
      <c r="AF175" t="s">
        <v>125</v>
      </c>
      <c r="AG175" t="s">
        <v>133</v>
      </c>
      <c r="AH175" t="s">
        <v>133</v>
      </c>
    </row>
    <row r="176" spans="1:34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t="s">
        <v>45</v>
      </c>
      <c r="Q176" t="str">
        <f t="shared" si="30"/>
        <v>ard</v>
      </c>
      <c r="R176" t="str">
        <f t="shared" si="31"/>
        <v>neak</v>
      </c>
      <c r="S176">
        <f t="shared" si="32"/>
        <v>8</v>
      </c>
      <c r="T176" t="str">
        <f t="shared" si="33"/>
        <v>Sneakers</v>
      </c>
      <c r="U176">
        <f t="shared" si="34"/>
        <v>8</v>
      </c>
      <c r="V176" t="str">
        <f t="shared" si="35"/>
        <v>SNEAKERS</v>
      </c>
      <c r="W176" t="str">
        <f t="shared" si="36"/>
        <v>sneakers</v>
      </c>
      <c r="X176" t="str">
        <f t="shared" si="37"/>
        <v>Sneakers</v>
      </c>
      <c r="Y176" t="str">
        <f t="shared" si="38"/>
        <v>Telangana 4</v>
      </c>
      <c r="Z176" t="str">
        <f t="shared" si="39"/>
        <v>BrandC4</v>
      </c>
      <c r="AA176" t="str">
        <f t="shared" si="40"/>
        <v>BrandC 4</v>
      </c>
      <c r="AB176" t="str">
        <f t="shared" si="41"/>
        <v>Telangana Mobile App</v>
      </c>
      <c r="AC176">
        <f t="shared" si="42"/>
        <v>6</v>
      </c>
      <c r="AD176">
        <f t="shared" si="43"/>
        <v>11</v>
      </c>
      <c r="AE176" t="str">
        <f t="shared" si="44"/>
        <v>Telapna Mobile App</v>
      </c>
      <c r="AF176" t="s">
        <v>129</v>
      </c>
      <c r="AG176" t="s">
        <v>131</v>
      </c>
      <c r="AH176" t="s">
        <v>134</v>
      </c>
    </row>
    <row r="177" spans="1:34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t="s">
        <v>45</v>
      </c>
      <c r="Q177" t="str">
        <f t="shared" si="30"/>
        <v>ard</v>
      </c>
      <c r="R177" t="str">
        <f t="shared" si="31"/>
        <v>acke</v>
      </c>
      <c r="S177">
        <f t="shared" si="32"/>
        <v>6</v>
      </c>
      <c r="T177" t="str">
        <f t="shared" si="33"/>
        <v>Jacket</v>
      </c>
      <c r="U177">
        <f t="shared" si="34"/>
        <v>6</v>
      </c>
      <c r="V177" t="str">
        <f t="shared" si="35"/>
        <v>JACKET</v>
      </c>
      <c r="W177" t="str">
        <f t="shared" si="36"/>
        <v>jacket</v>
      </c>
      <c r="X177" t="str">
        <f t="shared" si="37"/>
        <v>Jacket</v>
      </c>
      <c r="Y177" t="str">
        <f t="shared" si="38"/>
        <v>West Bengal 5</v>
      </c>
      <c r="Z177" t="str">
        <f t="shared" si="39"/>
        <v>BrandC5</v>
      </c>
      <c r="AA177" t="str">
        <f t="shared" si="40"/>
        <v>BrandC 5</v>
      </c>
      <c r="AB177" t="str">
        <f t="shared" si="41"/>
        <v>West Bengal Marketplace</v>
      </c>
      <c r="AC177">
        <f t="shared" si="42"/>
        <v>5</v>
      </c>
      <c r="AD177">
        <f t="shared" si="43"/>
        <v>13</v>
      </c>
      <c r="AE177" t="str">
        <f t="shared" si="44"/>
        <v>Westpngal Marketplace</v>
      </c>
      <c r="AF177" t="s">
        <v>127</v>
      </c>
      <c r="AG177" t="s">
        <v>133</v>
      </c>
      <c r="AH177" t="s">
        <v>133</v>
      </c>
    </row>
    <row r="178" spans="1:34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t="s">
        <v>28</v>
      </c>
      <c r="Q178" t="str">
        <f t="shared" si="30"/>
        <v>ard</v>
      </c>
      <c r="R178" t="str">
        <f t="shared" si="31"/>
        <v>neak</v>
      </c>
      <c r="S178">
        <f t="shared" si="32"/>
        <v>8</v>
      </c>
      <c r="T178" t="str">
        <f t="shared" si="33"/>
        <v>Sneakers</v>
      </c>
      <c r="U178">
        <f t="shared" si="34"/>
        <v>8</v>
      </c>
      <c r="V178" t="str">
        <f t="shared" si="35"/>
        <v>SNEAKERS</v>
      </c>
      <c r="W178" t="str">
        <f t="shared" si="36"/>
        <v>sneakers</v>
      </c>
      <c r="X178" t="str">
        <f t="shared" si="37"/>
        <v>Sneakers</v>
      </c>
      <c r="Y178" t="str">
        <f t="shared" si="38"/>
        <v>Telangana 1</v>
      </c>
      <c r="Z178" t="str">
        <f t="shared" si="39"/>
        <v>BrandD1</v>
      </c>
      <c r="AA178" t="str">
        <f t="shared" si="40"/>
        <v>BrandD 1</v>
      </c>
      <c r="AB178" t="str">
        <f t="shared" si="41"/>
        <v>Telangana Website</v>
      </c>
      <c r="AC178">
        <f t="shared" si="42"/>
        <v>2</v>
      </c>
      <c r="AD178" t="e">
        <f t="shared" si="43"/>
        <v>#VALUE!</v>
      </c>
      <c r="AE178" t="str">
        <f t="shared" si="44"/>
        <v>Telapna Website</v>
      </c>
      <c r="AF178" t="s">
        <v>129</v>
      </c>
      <c r="AG178" t="s">
        <v>132</v>
      </c>
      <c r="AH178" t="s">
        <v>132</v>
      </c>
    </row>
    <row r="179" spans="1:34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t="s">
        <v>45</v>
      </c>
      <c r="Q179" t="str">
        <f t="shared" si="30"/>
        <v>ard</v>
      </c>
      <c r="R179" t="str">
        <f t="shared" si="31"/>
        <v>rick</v>
      </c>
      <c r="S179">
        <f t="shared" si="32"/>
        <v>11</v>
      </c>
      <c r="T179" t="str">
        <f t="shared" si="33"/>
        <v>Cricket Bat</v>
      </c>
      <c r="U179">
        <f t="shared" si="34"/>
        <v>11</v>
      </c>
      <c r="V179" t="str">
        <f t="shared" si="35"/>
        <v>CRICKET BAT</v>
      </c>
      <c r="W179" t="str">
        <f t="shared" si="36"/>
        <v>cricket bat</v>
      </c>
      <c r="X179" t="str">
        <f t="shared" si="37"/>
        <v>Cricket Bat</v>
      </c>
      <c r="Y179" t="str">
        <f t="shared" si="38"/>
        <v>West Bengal 7</v>
      </c>
      <c r="Z179" t="str">
        <f t="shared" si="39"/>
        <v>BrandC7</v>
      </c>
      <c r="AA179" t="str">
        <f t="shared" si="40"/>
        <v>BrandC 7</v>
      </c>
      <c r="AB179" t="str">
        <f t="shared" si="41"/>
        <v>West Bengal Mobile App</v>
      </c>
      <c r="AC179">
        <f t="shared" si="42"/>
        <v>6</v>
      </c>
      <c r="AD179">
        <f t="shared" si="43"/>
        <v>13</v>
      </c>
      <c r="AE179" t="str">
        <f t="shared" si="44"/>
        <v>Westpngal Mobile App</v>
      </c>
      <c r="AF179" t="s">
        <v>127</v>
      </c>
      <c r="AG179" t="s">
        <v>131</v>
      </c>
      <c r="AH179" t="s">
        <v>134</v>
      </c>
    </row>
    <row r="180" spans="1:34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t="s">
        <v>21</v>
      </c>
      <c r="Q180" t="str">
        <f t="shared" si="30"/>
        <v>ard</v>
      </c>
      <c r="R180" t="str">
        <f t="shared" si="31"/>
        <v>neak</v>
      </c>
      <c r="S180">
        <f t="shared" si="32"/>
        <v>8</v>
      </c>
      <c r="T180" t="str">
        <f t="shared" si="33"/>
        <v>Sneakers</v>
      </c>
      <c r="U180">
        <f t="shared" si="34"/>
        <v>8</v>
      </c>
      <c r="V180" t="str">
        <f t="shared" si="35"/>
        <v>SNEAKERS</v>
      </c>
      <c r="W180" t="str">
        <f t="shared" si="36"/>
        <v>sneakers</v>
      </c>
      <c r="X180" t="str">
        <f t="shared" si="37"/>
        <v>Sneakers</v>
      </c>
      <c r="Y180" t="str">
        <f t="shared" si="38"/>
        <v>Delhi 9</v>
      </c>
      <c r="Z180" t="str">
        <f t="shared" si="39"/>
        <v>BrandA9</v>
      </c>
      <c r="AA180" t="str">
        <f t="shared" si="40"/>
        <v>BrandA 9</v>
      </c>
      <c r="AB180" t="str">
        <f t="shared" si="41"/>
        <v>Delhi Marketplace</v>
      </c>
      <c r="AC180">
        <f t="shared" si="42"/>
        <v>5</v>
      </c>
      <c r="AD180">
        <f t="shared" si="43"/>
        <v>7</v>
      </c>
      <c r="AE180" t="str">
        <f t="shared" si="44"/>
        <v>Delhparketplace</v>
      </c>
      <c r="AF180" t="s">
        <v>125</v>
      </c>
      <c r="AG180" t="s">
        <v>133</v>
      </c>
      <c r="AH180" t="s">
        <v>133</v>
      </c>
    </row>
    <row r="181" spans="1:34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t="s">
        <v>45</v>
      </c>
      <c r="Q181" t="str">
        <f t="shared" si="30"/>
        <v>ery</v>
      </c>
      <c r="R181" t="str">
        <f t="shared" si="31"/>
        <v>edsh</v>
      </c>
      <c r="S181">
        <f t="shared" si="32"/>
        <v>8</v>
      </c>
      <c r="T181" t="str">
        <f t="shared" si="33"/>
        <v>Bedsheet</v>
      </c>
      <c r="U181">
        <f t="shared" si="34"/>
        <v>8</v>
      </c>
      <c r="V181" t="str">
        <f t="shared" si="35"/>
        <v>BEDSHEET</v>
      </c>
      <c r="W181" t="str">
        <f t="shared" si="36"/>
        <v>bedsheet</v>
      </c>
      <c r="X181" t="str">
        <f t="shared" si="37"/>
        <v>Bedsheet</v>
      </c>
      <c r="Y181" t="str">
        <f t="shared" si="38"/>
        <v>West Bengal 8</v>
      </c>
      <c r="Z181" t="str">
        <f t="shared" si="39"/>
        <v>BrandC8</v>
      </c>
      <c r="AA181" t="str">
        <f t="shared" si="40"/>
        <v>BrandC 8</v>
      </c>
      <c r="AB181" t="str">
        <f t="shared" si="41"/>
        <v>West Bengal Mobile App</v>
      </c>
      <c r="AC181">
        <f t="shared" si="42"/>
        <v>6</v>
      </c>
      <c r="AD181">
        <f t="shared" si="43"/>
        <v>13</v>
      </c>
      <c r="AE181" t="str">
        <f t="shared" si="44"/>
        <v>Westpngal Mobile App</v>
      </c>
      <c r="AF181" t="s">
        <v>127</v>
      </c>
      <c r="AG181" t="s">
        <v>131</v>
      </c>
      <c r="AH181" t="s">
        <v>134</v>
      </c>
    </row>
    <row r="182" spans="1:34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t="s">
        <v>33</v>
      </c>
      <c r="Q182" t="str">
        <f t="shared" si="30"/>
        <v>ing</v>
      </c>
      <c r="R182" t="str">
        <f t="shared" si="31"/>
        <v>eadp</v>
      </c>
      <c r="S182">
        <f t="shared" si="32"/>
        <v>10</v>
      </c>
      <c r="T182" t="str">
        <f t="shared" si="33"/>
        <v>Headphones</v>
      </c>
      <c r="U182">
        <f t="shared" si="34"/>
        <v>10</v>
      </c>
      <c r="V182" t="str">
        <f t="shared" si="35"/>
        <v>HEADPHONES</v>
      </c>
      <c r="W182" t="str">
        <f t="shared" si="36"/>
        <v>headphones</v>
      </c>
      <c r="X182" t="str">
        <f t="shared" si="37"/>
        <v>Headphones</v>
      </c>
      <c r="Y182" t="str">
        <f t="shared" si="38"/>
        <v>Tamil Nadu 5</v>
      </c>
      <c r="Z182" t="str">
        <f t="shared" si="39"/>
        <v>BrandE5</v>
      </c>
      <c r="AA182" t="str">
        <f t="shared" si="40"/>
        <v>BrandE 5</v>
      </c>
      <c r="AB182" t="str">
        <f t="shared" si="41"/>
        <v>Tamil Nadu Mobile App</v>
      </c>
      <c r="AC182">
        <f t="shared" si="42"/>
        <v>6</v>
      </c>
      <c r="AD182">
        <f t="shared" si="43"/>
        <v>3</v>
      </c>
      <c r="AE182" t="str">
        <f t="shared" si="44"/>
        <v>Tamipadu Mobile App</v>
      </c>
      <c r="AF182" t="s">
        <v>126</v>
      </c>
      <c r="AG182" t="s">
        <v>131</v>
      </c>
      <c r="AH182" t="s">
        <v>134</v>
      </c>
    </row>
    <row r="183" spans="1:34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t="s">
        <v>45</v>
      </c>
      <c r="Q183" t="str">
        <f t="shared" si="30"/>
        <v>ing</v>
      </c>
      <c r="R183" t="str">
        <f t="shared" si="31"/>
        <v>omic</v>
      </c>
      <c r="S183">
        <f t="shared" si="32"/>
        <v>6</v>
      </c>
      <c r="T183" t="str">
        <f t="shared" si="33"/>
        <v>Comics</v>
      </c>
      <c r="U183">
        <f t="shared" si="34"/>
        <v>6</v>
      </c>
      <c r="V183" t="str">
        <f t="shared" si="35"/>
        <v>COMICS</v>
      </c>
      <c r="W183" t="str">
        <f t="shared" si="36"/>
        <v>comics</v>
      </c>
      <c r="X183" t="str">
        <f t="shared" si="37"/>
        <v>Comics</v>
      </c>
      <c r="Y183" t="str">
        <f t="shared" si="38"/>
        <v>Tamil Nadu 4</v>
      </c>
      <c r="Z183" t="str">
        <f t="shared" si="39"/>
        <v>BrandC4</v>
      </c>
      <c r="AA183" t="str">
        <f t="shared" si="40"/>
        <v>BrandC 4</v>
      </c>
      <c r="AB183" t="str">
        <f t="shared" si="41"/>
        <v>Tamil Nadu Website</v>
      </c>
      <c r="AC183">
        <f t="shared" si="42"/>
        <v>2</v>
      </c>
      <c r="AD183">
        <f t="shared" si="43"/>
        <v>3</v>
      </c>
      <c r="AE183" t="str">
        <f t="shared" si="44"/>
        <v>Tamipadu Website</v>
      </c>
      <c r="AF183" t="s">
        <v>126</v>
      </c>
      <c r="AG183" t="s">
        <v>132</v>
      </c>
      <c r="AH183" t="s">
        <v>132</v>
      </c>
    </row>
    <row r="184" spans="1:34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t="s">
        <v>47</v>
      </c>
      <c r="Q184" t="str">
        <f t="shared" si="30"/>
        <v>ard</v>
      </c>
      <c r="R184" t="str">
        <f t="shared" si="31"/>
        <v>acke</v>
      </c>
      <c r="S184">
        <f t="shared" si="32"/>
        <v>6</v>
      </c>
      <c r="T184" t="str">
        <f t="shared" si="33"/>
        <v>Jacket</v>
      </c>
      <c r="U184">
        <f t="shared" si="34"/>
        <v>6</v>
      </c>
      <c r="V184" t="str">
        <f t="shared" si="35"/>
        <v>JACKET</v>
      </c>
      <c r="W184" t="str">
        <f t="shared" si="36"/>
        <v>jacket</v>
      </c>
      <c r="X184" t="str">
        <f t="shared" si="37"/>
        <v>Jacket</v>
      </c>
      <c r="Y184" t="str">
        <f t="shared" si="38"/>
        <v>Tamil Nadu 7</v>
      </c>
      <c r="Z184" t="str">
        <f t="shared" si="39"/>
        <v>BrandB7</v>
      </c>
      <c r="AA184" t="str">
        <f t="shared" si="40"/>
        <v>BrandB 7</v>
      </c>
      <c r="AB184" t="str">
        <f t="shared" si="41"/>
        <v>Tamil Nadu Marketplace</v>
      </c>
      <c r="AC184">
        <f t="shared" si="42"/>
        <v>5</v>
      </c>
      <c r="AD184">
        <f t="shared" si="43"/>
        <v>3</v>
      </c>
      <c r="AE184" t="str">
        <f t="shared" si="44"/>
        <v>Tamipadu Marketplace</v>
      </c>
      <c r="AF184" t="s">
        <v>126</v>
      </c>
      <c r="AG184" t="s">
        <v>133</v>
      </c>
      <c r="AH184" t="s">
        <v>133</v>
      </c>
    </row>
    <row r="185" spans="1:34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t="s">
        <v>21</v>
      </c>
      <c r="Q185" t="str">
        <f t="shared" si="30"/>
        <v>UPI</v>
      </c>
      <c r="R185" t="str">
        <f t="shared" si="31"/>
        <v xml:space="preserve">ace </v>
      </c>
      <c r="S185">
        <f t="shared" si="32"/>
        <v>10</v>
      </c>
      <c r="T185" t="str">
        <f t="shared" si="33"/>
        <v>Face Cream</v>
      </c>
      <c r="U185">
        <f t="shared" si="34"/>
        <v>10</v>
      </c>
      <c r="V185" t="str">
        <f t="shared" si="35"/>
        <v>FACE CREAM</v>
      </c>
      <c r="W185" t="str">
        <f t="shared" si="36"/>
        <v>face cream</v>
      </c>
      <c r="X185" t="str">
        <f t="shared" si="37"/>
        <v>Face Cream</v>
      </c>
      <c r="Y185" t="str">
        <f t="shared" si="38"/>
        <v>Maharashtra 5</v>
      </c>
      <c r="Z185" t="str">
        <f t="shared" si="39"/>
        <v>BrandA5</v>
      </c>
      <c r="AA185" t="str">
        <f t="shared" si="40"/>
        <v>BrandA 5</v>
      </c>
      <c r="AB185" t="str">
        <f t="shared" si="41"/>
        <v>Maharashtra Mobile App</v>
      </c>
      <c r="AC185">
        <f t="shared" si="42"/>
        <v>6</v>
      </c>
      <c r="AD185">
        <f t="shared" si="43"/>
        <v>1</v>
      </c>
      <c r="AE185" t="str">
        <f t="shared" si="44"/>
        <v>Mahaphtra Mobile App</v>
      </c>
      <c r="AF185" t="s">
        <v>130</v>
      </c>
      <c r="AG185" t="s">
        <v>131</v>
      </c>
      <c r="AH185" t="s">
        <v>134</v>
      </c>
    </row>
    <row r="186" spans="1:34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t="s">
        <v>47</v>
      </c>
      <c r="Q186" t="str">
        <f t="shared" si="30"/>
        <v>ard</v>
      </c>
      <c r="R186" t="str">
        <f t="shared" si="31"/>
        <v>acke</v>
      </c>
      <c r="S186">
        <f t="shared" si="32"/>
        <v>6</v>
      </c>
      <c r="T186" t="str">
        <f t="shared" si="33"/>
        <v>Jacket</v>
      </c>
      <c r="U186">
        <f t="shared" si="34"/>
        <v>6</v>
      </c>
      <c r="V186" t="str">
        <f t="shared" si="35"/>
        <v>JACKET</v>
      </c>
      <c r="W186" t="str">
        <f t="shared" si="36"/>
        <v>jacket</v>
      </c>
      <c r="X186" t="str">
        <f t="shared" si="37"/>
        <v>Jacket</v>
      </c>
      <c r="Y186" t="str">
        <f t="shared" si="38"/>
        <v>Delhi 7</v>
      </c>
      <c r="Z186" t="str">
        <f t="shared" si="39"/>
        <v>BrandB7</v>
      </c>
      <c r="AA186" t="str">
        <f t="shared" si="40"/>
        <v>BrandB 7</v>
      </c>
      <c r="AB186" t="str">
        <f t="shared" si="41"/>
        <v>Delhi Mobile App</v>
      </c>
      <c r="AC186">
        <f t="shared" si="42"/>
        <v>6</v>
      </c>
      <c r="AD186">
        <f t="shared" si="43"/>
        <v>7</v>
      </c>
      <c r="AE186" t="str">
        <f t="shared" si="44"/>
        <v>Delhpobile App</v>
      </c>
      <c r="AF186" t="s">
        <v>125</v>
      </c>
      <c r="AG186" t="s">
        <v>131</v>
      </c>
      <c r="AH186" t="s">
        <v>134</v>
      </c>
    </row>
    <row r="187" spans="1:34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t="s">
        <v>47</v>
      </c>
      <c r="Q187" t="str">
        <f t="shared" si="30"/>
        <v>ard</v>
      </c>
      <c r="R187" t="str">
        <f t="shared" si="31"/>
        <v>ipst</v>
      </c>
      <c r="S187">
        <f t="shared" si="32"/>
        <v>8</v>
      </c>
      <c r="T187" t="str">
        <f t="shared" si="33"/>
        <v>Lipstick</v>
      </c>
      <c r="U187">
        <f t="shared" si="34"/>
        <v>8</v>
      </c>
      <c r="V187" t="str">
        <f t="shared" si="35"/>
        <v>LIPSTICK</v>
      </c>
      <c r="W187" t="str">
        <f t="shared" si="36"/>
        <v>lipstick</v>
      </c>
      <c r="X187" t="str">
        <f t="shared" si="37"/>
        <v>Lipstick</v>
      </c>
      <c r="Y187" t="str">
        <f t="shared" si="38"/>
        <v>Telangana 1</v>
      </c>
      <c r="Z187" t="str">
        <f t="shared" si="39"/>
        <v>BrandB1</v>
      </c>
      <c r="AA187" t="str">
        <f t="shared" si="40"/>
        <v>BrandB 1</v>
      </c>
      <c r="AB187" t="str">
        <f t="shared" si="41"/>
        <v>Telangana Marketplace</v>
      </c>
      <c r="AC187">
        <f t="shared" si="42"/>
        <v>5</v>
      </c>
      <c r="AD187">
        <f t="shared" si="43"/>
        <v>11</v>
      </c>
      <c r="AE187" t="str">
        <f t="shared" si="44"/>
        <v>Telapna Marketplace</v>
      </c>
      <c r="AF187" t="s">
        <v>129</v>
      </c>
      <c r="AG187" t="s">
        <v>133</v>
      </c>
      <c r="AH187" t="s">
        <v>133</v>
      </c>
    </row>
    <row r="188" spans="1:34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t="s">
        <v>33</v>
      </c>
      <c r="Q188" t="str">
        <f t="shared" si="30"/>
        <v>UPI</v>
      </c>
      <c r="R188" t="str">
        <f t="shared" si="31"/>
        <v>edsh</v>
      </c>
      <c r="S188">
        <f t="shared" si="32"/>
        <v>8</v>
      </c>
      <c r="T188" t="str">
        <f t="shared" si="33"/>
        <v>Bedsheet</v>
      </c>
      <c r="U188">
        <f t="shared" si="34"/>
        <v>8</v>
      </c>
      <c r="V188" t="str">
        <f t="shared" si="35"/>
        <v>BEDSHEET</v>
      </c>
      <c r="W188" t="str">
        <f t="shared" si="36"/>
        <v>bedsheet</v>
      </c>
      <c r="X188" t="str">
        <f t="shared" si="37"/>
        <v>Bedsheet</v>
      </c>
      <c r="Y188" t="str">
        <f t="shared" si="38"/>
        <v>Telangana 1</v>
      </c>
      <c r="Z188" t="str">
        <f t="shared" si="39"/>
        <v>BrandE1</v>
      </c>
      <c r="AA188" t="str">
        <f t="shared" si="40"/>
        <v>BrandE 1</v>
      </c>
      <c r="AB188" t="str">
        <f t="shared" si="41"/>
        <v>Telangana Mobile App</v>
      </c>
      <c r="AC188">
        <f t="shared" si="42"/>
        <v>6</v>
      </c>
      <c r="AD188">
        <f t="shared" si="43"/>
        <v>11</v>
      </c>
      <c r="AE188" t="str">
        <f t="shared" si="44"/>
        <v>Telapna Mobile App</v>
      </c>
      <c r="AF188" t="s">
        <v>129</v>
      </c>
      <c r="AG188" t="s">
        <v>131</v>
      </c>
      <c r="AH188" t="s">
        <v>134</v>
      </c>
    </row>
    <row r="189" spans="1:34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t="s">
        <v>21</v>
      </c>
      <c r="Q189" t="str">
        <f t="shared" si="30"/>
        <v>ard</v>
      </c>
      <c r="R189" t="str">
        <f t="shared" si="31"/>
        <v>hamp</v>
      </c>
      <c r="S189">
        <f t="shared" si="32"/>
        <v>7</v>
      </c>
      <c r="T189" t="str">
        <f t="shared" si="33"/>
        <v>Shampoo</v>
      </c>
      <c r="U189">
        <f t="shared" si="34"/>
        <v>7</v>
      </c>
      <c r="V189" t="str">
        <f t="shared" si="35"/>
        <v>SHAMPOO</v>
      </c>
      <c r="W189" t="str">
        <f t="shared" si="36"/>
        <v>shampoo</v>
      </c>
      <c r="X189" t="str">
        <f t="shared" si="37"/>
        <v>Shampoo</v>
      </c>
      <c r="Y189" t="str">
        <f t="shared" si="38"/>
        <v>Maharashtra 3</v>
      </c>
      <c r="Z189" t="str">
        <f t="shared" si="39"/>
        <v>BrandA3</v>
      </c>
      <c r="AA189" t="str">
        <f t="shared" si="40"/>
        <v>BrandA 3</v>
      </c>
      <c r="AB189" t="str">
        <f t="shared" si="41"/>
        <v>Maharashtra Mobile App</v>
      </c>
      <c r="AC189">
        <f t="shared" si="42"/>
        <v>6</v>
      </c>
      <c r="AD189">
        <f t="shared" si="43"/>
        <v>1</v>
      </c>
      <c r="AE189" t="str">
        <f t="shared" si="44"/>
        <v>Mahaphtra Mobile App</v>
      </c>
      <c r="AF189" t="s">
        <v>130</v>
      </c>
      <c r="AG189" t="s">
        <v>131</v>
      </c>
      <c r="AH189" t="s">
        <v>134</v>
      </c>
    </row>
    <row r="190" spans="1:34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t="s">
        <v>21</v>
      </c>
      <c r="Q190" t="str">
        <f t="shared" si="30"/>
        <v>ery</v>
      </c>
      <c r="R190" t="str">
        <f t="shared" si="31"/>
        <v>extb</v>
      </c>
      <c r="S190">
        <f t="shared" si="32"/>
        <v>8</v>
      </c>
      <c r="T190" t="str">
        <f t="shared" si="33"/>
        <v>Textbook</v>
      </c>
      <c r="U190">
        <f t="shared" si="34"/>
        <v>8</v>
      </c>
      <c r="V190" t="str">
        <f t="shared" si="35"/>
        <v>TEXTBOOK</v>
      </c>
      <c r="W190" t="str">
        <f t="shared" si="36"/>
        <v>textbook</v>
      </c>
      <c r="X190" t="str">
        <f t="shared" si="37"/>
        <v>Textbook</v>
      </c>
      <c r="Y190" t="str">
        <f t="shared" si="38"/>
        <v>West Bengal 2</v>
      </c>
      <c r="Z190" t="str">
        <f t="shared" si="39"/>
        <v>BrandA2</v>
      </c>
      <c r="AA190" t="str">
        <f t="shared" si="40"/>
        <v>BrandA 2</v>
      </c>
      <c r="AB190" t="str">
        <f t="shared" si="41"/>
        <v>West Bengal Mobile App</v>
      </c>
      <c r="AC190">
        <f t="shared" si="42"/>
        <v>6</v>
      </c>
      <c r="AD190">
        <f t="shared" si="43"/>
        <v>13</v>
      </c>
      <c r="AE190" t="str">
        <f t="shared" si="44"/>
        <v>Westpngal Mobile App</v>
      </c>
      <c r="AF190" t="s">
        <v>127</v>
      </c>
      <c r="AG190" t="s">
        <v>131</v>
      </c>
      <c r="AH190" t="s">
        <v>134</v>
      </c>
    </row>
    <row r="191" spans="1:34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t="s">
        <v>21</v>
      </c>
      <c r="Q191" t="str">
        <f t="shared" si="30"/>
        <v>ard</v>
      </c>
      <c r="R191" t="str">
        <f t="shared" si="31"/>
        <v>mart</v>
      </c>
      <c r="S191">
        <f t="shared" si="32"/>
        <v>10</v>
      </c>
      <c r="T191" t="str">
        <f t="shared" si="33"/>
        <v>Smartwatch</v>
      </c>
      <c r="U191">
        <f t="shared" si="34"/>
        <v>10</v>
      </c>
      <c r="V191" t="str">
        <f t="shared" si="35"/>
        <v>SMARTWATCH</v>
      </c>
      <c r="W191" t="str">
        <f t="shared" si="36"/>
        <v>smartwatch</v>
      </c>
      <c r="X191" t="str">
        <f t="shared" si="37"/>
        <v>Smartwatch</v>
      </c>
      <c r="Y191" t="str">
        <f t="shared" si="38"/>
        <v>Maharashtra 2</v>
      </c>
      <c r="Z191" t="str">
        <f t="shared" si="39"/>
        <v>BrandA2</v>
      </c>
      <c r="AA191" t="str">
        <f t="shared" si="40"/>
        <v>BrandA 2</v>
      </c>
      <c r="AB191" t="str">
        <f t="shared" si="41"/>
        <v>Maharashtra Marketplace</v>
      </c>
      <c r="AC191">
        <f t="shared" si="42"/>
        <v>5</v>
      </c>
      <c r="AD191">
        <f t="shared" si="43"/>
        <v>1</v>
      </c>
      <c r="AE191" t="str">
        <f t="shared" si="44"/>
        <v>Mahaphtra Marketplace</v>
      </c>
      <c r="AF191" t="s">
        <v>130</v>
      </c>
      <c r="AG191" t="s">
        <v>133</v>
      </c>
      <c r="AH191" t="s">
        <v>133</v>
      </c>
    </row>
    <row r="192" spans="1:34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t="s">
        <v>21</v>
      </c>
      <c r="Q192" t="str">
        <f t="shared" si="30"/>
        <v>ery</v>
      </c>
      <c r="R192" t="str">
        <f t="shared" si="31"/>
        <v>ipst</v>
      </c>
      <c r="S192">
        <f t="shared" si="32"/>
        <v>8</v>
      </c>
      <c r="T192" t="str">
        <f t="shared" si="33"/>
        <v>Lipstick</v>
      </c>
      <c r="U192">
        <f t="shared" si="34"/>
        <v>8</v>
      </c>
      <c r="V192" t="str">
        <f t="shared" si="35"/>
        <v>LIPSTICK</v>
      </c>
      <c r="W192" t="str">
        <f t="shared" si="36"/>
        <v>lipstick</v>
      </c>
      <c r="X192" t="str">
        <f t="shared" si="37"/>
        <v>Lipstick</v>
      </c>
      <c r="Y192" t="str">
        <f t="shared" si="38"/>
        <v>West Bengal 7</v>
      </c>
      <c r="Z192" t="str">
        <f t="shared" si="39"/>
        <v>BrandA7</v>
      </c>
      <c r="AA192" t="str">
        <f t="shared" si="40"/>
        <v>BrandA 7</v>
      </c>
      <c r="AB192" t="str">
        <f t="shared" si="41"/>
        <v>West Bengal Marketplace</v>
      </c>
      <c r="AC192">
        <f t="shared" si="42"/>
        <v>5</v>
      </c>
      <c r="AD192">
        <f t="shared" si="43"/>
        <v>13</v>
      </c>
      <c r="AE192" t="str">
        <f t="shared" si="44"/>
        <v>Westpngal Marketplace</v>
      </c>
      <c r="AF192" t="s">
        <v>127</v>
      </c>
      <c r="AG192" t="s">
        <v>133</v>
      </c>
      <c r="AH192" t="s">
        <v>133</v>
      </c>
    </row>
    <row r="193" spans="1:34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t="s">
        <v>21</v>
      </c>
      <c r="Q193" t="str">
        <f t="shared" si="30"/>
        <v>ery</v>
      </c>
      <c r="R193" t="str">
        <f t="shared" si="31"/>
        <v>erfu</v>
      </c>
      <c r="S193">
        <f t="shared" si="32"/>
        <v>7</v>
      </c>
      <c r="T193" t="str">
        <f t="shared" si="33"/>
        <v>Perfume</v>
      </c>
      <c r="U193">
        <f t="shared" si="34"/>
        <v>7</v>
      </c>
      <c r="V193" t="str">
        <f t="shared" si="35"/>
        <v>PERFUME</v>
      </c>
      <c r="W193" t="str">
        <f t="shared" si="36"/>
        <v>perfume</v>
      </c>
      <c r="X193" t="str">
        <f t="shared" si="37"/>
        <v>Perfume</v>
      </c>
      <c r="Y193" t="str">
        <f t="shared" si="38"/>
        <v>West Bengal 2</v>
      </c>
      <c r="Z193" t="str">
        <f t="shared" si="39"/>
        <v>BrandA2</v>
      </c>
      <c r="AA193" t="str">
        <f t="shared" si="40"/>
        <v>BrandA 2</v>
      </c>
      <c r="AB193" t="str">
        <f t="shared" si="41"/>
        <v>West Bengal Marketplace</v>
      </c>
      <c r="AC193">
        <f t="shared" si="42"/>
        <v>5</v>
      </c>
      <c r="AD193">
        <f t="shared" si="43"/>
        <v>13</v>
      </c>
      <c r="AE193" t="str">
        <f t="shared" si="44"/>
        <v>Westpngal Marketplace</v>
      </c>
      <c r="AF193" t="s">
        <v>127</v>
      </c>
      <c r="AG193" t="s">
        <v>133</v>
      </c>
      <c r="AH193" t="s">
        <v>133</v>
      </c>
    </row>
    <row r="194" spans="1:34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t="s">
        <v>33</v>
      </c>
      <c r="Q194" t="str">
        <f t="shared" si="30"/>
        <v>ard</v>
      </c>
      <c r="R194" t="str">
        <f t="shared" si="31"/>
        <v>mart</v>
      </c>
      <c r="S194">
        <f t="shared" si="32"/>
        <v>10</v>
      </c>
      <c r="T194" t="str">
        <f t="shared" si="33"/>
        <v>Smartwatch</v>
      </c>
      <c r="U194">
        <f t="shared" si="34"/>
        <v>10</v>
      </c>
      <c r="V194" t="str">
        <f t="shared" si="35"/>
        <v>SMARTWATCH</v>
      </c>
      <c r="W194" t="str">
        <f t="shared" si="36"/>
        <v>smartwatch</v>
      </c>
      <c r="X194" t="str">
        <f t="shared" si="37"/>
        <v>Smartwatch</v>
      </c>
      <c r="Y194" t="str">
        <f t="shared" si="38"/>
        <v>Karnataka 4</v>
      </c>
      <c r="Z194" t="str">
        <f t="shared" si="39"/>
        <v>BrandE4</v>
      </c>
      <c r="AA194" t="str">
        <f t="shared" si="40"/>
        <v>BrandE 4</v>
      </c>
      <c r="AB194" t="str">
        <f t="shared" si="41"/>
        <v>Karnataka Marketplace</v>
      </c>
      <c r="AC194">
        <f t="shared" si="42"/>
        <v>5</v>
      </c>
      <c r="AD194">
        <f t="shared" si="43"/>
        <v>11</v>
      </c>
      <c r="AE194" t="str">
        <f t="shared" si="44"/>
        <v>Karnpka Marketplace</v>
      </c>
      <c r="AF194" t="s">
        <v>128</v>
      </c>
      <c r="AG194" t="s">
        <v>133</v>
      </c>
      <c r="AH194" t="s">
        <v>133</v>
      </c>
    </row>
    <row r="195" spans="1:34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t="s">
        <v>45</v>
      </c>
      <c r="Q195" t="str">
        <f t="shared" ref="Q195:Q258" si="45">RIGHT(H195,3)</f>
        <v>ard</v>
      </c>
      <c r="R195" t="str">
        <f t="shared" ref="R195:R258" si="46">MID(J195,2,4)</f>
        <v>omic</v>
      </c>
      <c r="S195">
        <f t="shared" ref="S195:S258" si="47">LEN(J195)</f>
        <v>6</v>
      </c>
      <c r="T195" t="str">
        <f t="shared" ref="T195:T258" si="48">TRIM(J195)</f>
        <v>Comics</v>
      </c>
      <c r="U195">
        <f t="shared" ref="U195:U258" si="49">LEN(T195)</f>
        <v>6</v>
      </c>
      <c r="V195" t="str">
        <f t="shared" ref="V195:V258" si="50">UPPER(T195)</f>
        <v>COMICS</v>
      </c>
      <c r="W195" t="str">
        <f t="shared" ref="W195:W258" si="51">LOWER(V195)</f>
        <v>comics</v>
      </c>
      <c r="X195" t="str">
        <f t="shared" ref="X195:X258" si="52">PROPER(W195)</f>
        <v>Comics</v>
      </c>
      <c r="Y195" t="str">
        <f t="shared" ref="Y195:Y258" si="53">_xlfn.CONCAT(F195," ",L195)</f>
        <v>Telangana 2</v>
      </c>
      <c r="Z195" t="str">
        <f t="shared" ref="Z195:Z258" si="54">_xlfn.CONCAT(K195:L195)</f>
        <v>BrandC2</v>
      </c>
      <c r="AA195" t="str">
        <f t="shared" ref="AA195:AA258" si="55">CONCATENATE(K195," ",L195)</f>
        <v>BrandC 2</v>
      </c>
      <c r="AB195" t="str">
        <f t="shared" ref="AB195:AB258" si="56">_xlfn.TEXTJOIN(" ",TRUE,F195:G195)</f>
        <v>Telangana Website</v>
      </c>
      <c r="AC195">
        <f t="shared" ref="AC195:AC258" si="57">FIND("e",G195)</f>
        <v>2</v>
      </c>
      <c r="AD195" t="e">
        <f t="shared" ref="AD195:AD258" si="58">SEARCH("M",AB195)</f>
        <v>#VALUE!</v>
      </c>
      <c r="AE195" t="str">
        <f t="shared" ref="AE195:AE258" si="59">REPLACE(AB195,5,3,"p")</f>
        <v>Telapna Website</v>
      </c>
      <c r="AF195" t="s">
        <v>129</v>
      </c>
      <c r="AG195" t="s">
        <v>132</v>
      </c>
      <c r="AH195" t="s">
        <v>132</v>
      </c>
    </row>
    <row r="196" spans="1:34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t="s">
        <v>47</v>
      </c>
      <c r="Q196" t="str">
        <f t="shared" si="45"/>
        <v>ery</v>
      </c>
      <c r="R196" t="str">
        <f t="shared" si="46"/>
        <v>eans</v>
      </c>
      <c r="S196">
        <f t="shared" si="47"/>
        <v>5</v>
      </c>
      <c r="T196" t="str">
        <f t="shared" si="48"/>
        <v>Jeans</v>
      </c>
      <c r="U196">
        <f t="shared" si="49"/>
        <v>5</v>
      </c>
      <c r="V196" t="str">
        <f t="shared" si="50"/>
        <v>JEANS</v>
      </c>
      <c r="W196" t="str">
        <f t="shared" si="51"/>
        <v>jeans</v>
      </c>
      <c r="X196" t="str">
        <f t="shared" si="52"/>
        <v>Jeans</v>
      </c>
      <c r="Y196" t="str">
        <f t="shared" si="53"/>
        <v>Tamil Nadu 6</v>
      </c>
      <c r="Z196" t="str">
        <f t="shared" si="54"/>
        <v>BrandB6</v>
      </c>
      <c r="AA196" t="str">
        <f t="shared" si="55"/>
        <v>BrandB 6</v>
      </c>
      <c r="AB196" t="str">
        <f t="shared" si="56"/>
        <v>Tamil Nadu Mobile App</v>
      </c>
      <c r="AC196">
        <f t="shared" si="57"/>
        <v>6</v>
      </c>
      <c r="AD196">
        <f t="shared" si="58"/>
        <v>3</v>
      </c>
      <c r="AE196" t="str">
        <f t="shared" si="59"/>
        <v>Tamipadu Mobile App</v>
      </c>
      <c r="AF196" t="s">
        <v>126</v>
      </c>
      <c r="AG196" t="s">
        <v>131</v>
      </c>
      <c r="AH196" t="s">
        <v>134</v>
      </c>
    </row>
    <row r="197" spans="1:34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t="s">
        <v>21</v>
      </c>
      <c r="Q197" t="str">
        <f t="shared" si="45"/>
        <v>UPI</v>
      </c>
      <c r="R197" t="str">
        <f t="shared" si="46"/>
        <v>hamp</v>
      </c>
      <c r="S197">
        <f t="shared" si="47"/>
        <v>7</v>
      </c>
      <c r="T197" t="str">
        <f t="shared" si="48"/>
        <v>Shampoo</v>
      </c>
      <c r="U197">
        <f t="shared" si="49"/>
        <v>7</v>
      </c>
      <c r="V197" t="str">
        <f t="shared" si="50"/>
        <v>SHAMPOO</v>
      </c>
      <c r="W197" t="str">
        <f t="shared" si="51"/>
        <v>shampoo</v>
      </c>
      <c r="X197" t="str">
        <f t="shared" si="52"/>
        <v>Shampoo</v>
      </c>
      <c r="Y197" t="str">
        <f t="shared" si="53"/>
        <v>West Bengal 8</v>
      </c>
      <c r="Z197" t="str">
        <f t="shared" si="54"/>
        <v>BrandA8</v>
      </c>
      <c r="AA197" t="str">
        <f t="shared" si="55"/>
        <v>BrandA 8</v>
      </c>
      <c r="AB197" t="str">
        <f t="shared" si="56"/>
        <v>West Bengal Marketplace</v>
      </c>
      <c r="AC197">
        <f t="shared" si="57"/>
        <v>5</v>
      </c>
      <c r="AD197">
        <f t="shared" si="58"/>
        <v>13</v>
      </c>
      <c r="AE197" t="str">
        <f t="shared" si="59"/>
        <v>Westpngal Marketplace</v>
      </c>
      <c r="AF197" t="s">
        <v>127</v>
      </c>
      <c r="AG197" t="s">
        <v>133</v>
      </c>
      <c r="AH197" t="s">
        <v>133</v>
      </c>
    </row>
    <row r="198" spans="1:34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t="s">
        <v>45</v>
      </c>
      <c r="Q198" t="str">
        <f t="shared" si="45"/>
        <v>ery</v>
      </c>
      <c r="R198" t="str">
        <f t="shared" si="46"/>
        <v>mart</v>
      </c>
      <c r="S198">
        <f t="shared" si="47"/>
        <v>10</v>
      </c>
      <c r="T198" t="str">
        <f t="shared" si="48"/>
        <v>Smartphone</v>
      </c>
      <c r="U198">
        <f t="shared" si="49"/>
        <v>10</v>
      </c>
      <c r="V198" t="str">
        <f t="shared" si="50"/>
        <v>SMARTPHONE</v>
      </c>
      <c r="W198" t="str">
        <f t="shared" si="51"/>
        <v>smartphone</v>
      </c>
      <c r="X198" t="str">
        <f t="shared" si="52"/>
        <v>Smartphone</v>
      </c>
      <c r="Y198" t="str">
        <f t="shared" si="53"/>
        <v>Karnataka 4</v>
      </c>
      <c r="Z198" t="str">
        <f t="shared" si="54"/>
        <v>BrandC4</v>
      </c>
      <c r="AA198" t="str">
        <f t="shared" si="55"/>
        <v>BrandC 4</v>
      </c>
      <c r="AB198" t="str">
        <f t="shared" si="56"/>
        <v>Karnataka Mobile App</v>
      </c>
      <c r="AC198">
        <f t="shared" si="57"/>
        <v>6</v>
      </c>
      <c r="AD198">
        <f t="shared" si="58"/>
        <v>11</v>
      </c>
      <c r="AE198" t="str">
        <f t="shared" si="59"/>
        <v>Karnpka Mobile App</v>
      </c>
      <c r="AF198" t="s">
        <v>128</v>
      </c>
      <c r="AG198" t="s">
        <v>131</v>
      </c>
      <c r="AH198" t="s">
        <v>134</v>
      </c>
    </row>
    <row r="199" spans="1:34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t="s">
        <v>45</v>
      </c>
      <c r="Q199" t="str">
        <f t="shared" si="45"/>
        <v>ing</v>
      </c>
      <c r="R199" t="str">
        <f t="shared" si="46"/>
        <v>ookw</v>
      </c>
      <c r="S199">
        <f t="shared" si="47"/>
        <v>12</v>
      </c>
      <c r="T199" t="str">
        <f t="shared" si="48"/>
        <v>Cookware Set</v>
      </c>
      <c r="U199">
        <f t="shared" si="49"/>
        <v>12</v>
      </c>
      <c r="V199" t="str">
        <f t="shared" si="50"/>
        <v>COOKWARE SET</v>
      </c>
      <c r="W199" t="str">
        <f t="shared" si="51"/>
        <v>cookware set</v>
      </c>
      <c r="X199" t="str">
        <f t="shared" si="52"/>
        <v>Cookware Set</v>
      </c>
      <c r="Y199" t="str">
        <f t="shared" si="53"/>
        <v>Telangana 5</v>
      </c>
      <c r="Z199" t="str">
        <f t="shared" si="54"/>
        <v>BrandC5</v>
      </c>
      <c r="AA199" t="str">
        <f t="shared" si="55"/>
        <v>BrandC 5</v>
      </c>
      <c r="AB199" t="str">
        <f t="shared" si="56"/>
        <v>Telangana Mobile App</v>
      </c>
      <c r="AC199">
        <f t="shared" si="57"/>
        <v>6</v>
      </c>
      <c r="AD199">
        <f t="shared" si="58"/>
        <v>11</v>
      </c>
      <c r="AE199" t="str">
        <f t="shared" si="59"/>
        <v>Telapna Mobile App</v>
      </c>
      <c r="AF199" t="s">
        <v>129</v>
      </c>
      <c r="AG199" t="s">
        <v>131</v>
      </c>
      <c r="AH199" t="s">
        <v>134</v>
      </c>
    </row>
    <row r="200" spans="1:34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t="s">
        <v>47</v>
      </c>
      <c r="Q200" t="str">
        <f t="shared" si="45"/>
        <v>ery</v>
      </c>
      <c r="R200" t="str">
        <f t="shared" si="46"/>
        <v>mart</v>
      </c>
      <c r="S200">
        <f t="shared" si="47"/>
        <v>10</v>
      </c>
      <c r="T200" t="str">
        <f t="shared" si="48"/>
        <v>Smartwatch</v>
      </c>
      <c r="U200">
        <f t="shared" si="49"/>
        <v>10</v>
      </c>
      <c r="V200" t="str">
        <f t="shared" si="50"/>
        <v>SMARTWATCH</v>
      </c>
      <c r="W200" t="str">
        <f t="shared" si="51"/>
        <v>smartwatch</v>
      </c>
      <c r="X200" t="str">
        <f t="shared" si="52"/>
        <v>Smartwatch</v>
      </c>
      <c r="Y200" t="str">
        <f t="shared" si="53"/>
        <v>Tamil Nadu 4</v>
      </c>
      <c r="Z200" t="str">
        <f t="shared" si="54"/>
        <v>BrandB4</v>
      </c>
      <c r="AA200" t="str">
        <f t="shared" si="55"/>
        <v>BrandB 4</v>
      </c>
      <c r="AB200" t="str">
        <f t="shared" si="56"/>
        <v>Tamil Nadu Website</v>
      </c>
      <c r="AC200">
        <f t="shared" si="57"/>
        <v>2</v>
      </c>
      <c r="AD200">
        <f t="shared" si="58"/>
        <v>3</v>
      </c>
      <c r="AE200" t="str">
        <f t="shared" si="59"/>
        <v>Tamipadu Website</v>
      </c>
      <c r="AF200" t="s">
        <v>126</v>
      </c>
      <c r="AG200" t="s">
        <v>132</v>
      </c>
      <c r="AH200" t="s">
        <v>132</v>
      </c>
    </row>
    <row r="201" spans="1:34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t="s">
        <v>33</v>
      </c>
      <c r="Q201" t="str">
        <f t="shared" si="45"/>
        <v>UPI</v>
      </c>
      <c r="R201" t="str">
        <f t="shared" si="46"/>
        <v>ookw</v>
      </c>
      <c r="S201">
        <f t="shared" si="47"/>
        <v>12</v>
      </c>
      <c r="T201" t="str">
        <f t="shared" si="48"/>
        <v>Cookware Set</v>
      </c>
      <c r="U201">
        <f t="shared" si="49"/>
        <v>12</v>
      </c>
      <c r="V201" t="str">
        <f t="shared" si="50"/>
        <v>COOKWARE SET</v>
      </c>
      <c r="W201" t="str">
        <f t="shared" si="51"/>
        <v>cookware set</v>
      </c>
      <c r="X201" t="str">
        <f t="shared" si="52"/>
        <v>Cookware Set</v>
      </c>
      <c r="Y201" t="str">
        <f t="shared" si="53"/>
        <v>West Bengal 3</v>
      </c>
      <c r="Z201" t="str">
        <f t="shared" si="54"/>
        <v>BrandE3</v>
      </c>
      <c r="AA201" t="str">
        <f t="shared" si="55"/>
        <v>BrandE 3</v>
      </c>
      <c r="AB201" t="str">
        <f t="shared" si="56"/>
        <v>West Bengal Marketplace</v>
      </c>
      <c r="AC201">
        <f t="shared" si="57"/>
        <v>5</v>
      </c>
      <c r="AD201">
        <f t="shared" si="58"/>
        <v>13</v>
      </c>
      <c r="AE201" t="str">
        <f t="shared" si="59"/>
        <v>Westpngal Marketplace</v>
      </c>
      <c r="AF201" t="s">
        <v>127</v>
      </c>
      <c r="AG201" t="s">
        <v>133</v>
      </c>
      <c r="AH201" t="s">
        <v>133</v>
      </c>
    </row>
    <row r="202" spans="1:34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t="s">
        <v>28</v>
      </c>
      <c r="Q202" t="str">
        <f t="shared" si="45"/>
        <v>ing</v>
      </c>
      <c r="R202" t="str">
        <f t="shared" si="46"/>
        <v>omic</v>
      </c>
      <c r="S202">
        <f t="shared" si="47"/>
        <v>6</v>
      </c>
      <c r="T202" t="str">
        <f t="shared" si="48"/>
        <v>Comics</v>
      </c>
      <c r="U202">
        <f t="shared" si="49"/>
        <v>6</v>
      </c>
      <c r="V202" t="str">
        <f t="shared" si="50"/>
        <v>COMICS</v>
      </c>
      <c r="W202" t="str">
        <f t="shared" si="51"/>
        <v>comics</v>
      </c>
      <c r="X202" t="str">
        <f t="shared" si="52"/>
        <v>Comics</v>
      </c>
      <c r="Y202" t="str">
        <f t="shared" si="53"/>
        <v>West Bengal 5</v>
      </c>
      <c r="Z202" t="str">
        <f t="shared" si="54"/>
        <v>BrandD5</v>
      </c>
      <c r="AA202" t="str">
        <f t="shared" si="55"/>
        <v>BrandD 5</v>
      </c>
      <c r="AB202" t="str">
        <f t="shared" si="56"/>
        <v>West Bengal Marketplace</v>
      </c>
      <c r="AC202">
        <f t="shared" si="57"/>
        <v>5</v>
      </c>
      <c r="AD202">
        <f t="shared" si="58"/>
        <v>13</v>
      </c>
      <c r="AE202" t="str">
        <f t="shared" si="59"/>
        <v>Westpngal Marketplace</v>
      </c>
      <c r="AF202" t="s">
        <v>127</v>
      </c>
      <c r="AG202" t="s">
        <v>133</v>
      </c>
      <c r="AH202" t="s">
        <v>133</v>
      </c>
    </row>
    <row r="203" spans="1:34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t="s">
        <v>28</v>
      </c>
      <c r="Q203" t="str">
        <f t="shared" si="45"/>
        <v>ard</v>
      </c>
      <c r="R203" t="str">
        <f t="shared" si="46"/>
        <v>eans</v>
      </c>
      <c r="S203">
        <f t="shared" si="47"/>
        <v>5</v>
      </c>
      <c r="T203" t="str">
        <f t="shared" si="48"/>
        <v>Jeans</v>
      </c>
      <c r="U203">
        <f t="shared" si="49"/>
        <v>5</v>
      </c>
      <c r="V203" t="str">
        <f t="shared" si="50"/>
        <v>JEANS</v>
      </c>
      <c r="W203" t="str">
        <f t="shared" si="51"/>
        <v>jeans</v>
      </c>
      <c r="X203" t="str">
        <f t="shared" si="52"/>
        <v>Jeans</v>
      </c>
      <c r="Y203" t="str">
        <f t="shared" si="53"/>
        <v>Maharashtra 9</v>
      </c>
      <c r="Z203" t="str">
        <f t="shared" si="54"/>
        <v>BrandD9</v>
      </c>
      <c r="AA203" t="str">
        <f t="shared" si="55"/>
        <v>BrandD 9</v>
      </c>
      <c r="AB203" t="str">
        <f t="shared" si="56"/>
        <v>Maharashtra Mobile App</v>
      </c>
      <c r="AC203">
        <f t="shared" si="57"/>
        <v>6</v>
      </c>
      <c r="AD203">
        <f t="shared" si="58"/>
        <v>1</v>
      </c>
      <c r="AE203" t="str">
        <f t="shared" si="59"/>
        <v>Mahaphtra Mobile App</v>
      </c>
      <c r="AF203" t="s">
        <v>130</v>
      </c>
      <c r="AG203" t="s">
        <v>131</v>
      </c>
      <c r="AH203" t="s">
        <v>134</v>
      </c>
    </row>
    <row r="204" spans="1:34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t="s">
        <v>45</v>
      </c>
      <c r="Q204" t="str">
        <f t="shared" si="45"/>
        <v>ard</v>
      </c>
      <c r="R204" t="str">
        <f t="shared" si="46"/>
        <v>mart</v>
      </c>
      <c r="S204">
        <f t="shared" si="47"/>
        <v>10</v>
      </c>
      <c r="T204" t="str">
        <f t="shared" si="48"/>
        <v>Smartphone</v>
      </c>
      <c r="U204">
        <f t="shared" si="49"/>
        <v>10</v>
      </c>
      <c r="V204" t="str">
        <f t="shared" si="50"/>
        <v>SMARTPHONE</v>
      </c>
      <c r="W204" t="str">
        <f t="shared" si="51"/>
        <v>smartphone</v>
      </c>
      <c r="X204" t="str">
        <f t="shared" si="52"/>
        <v>Smartphone</v>
      </c>
      <c r="Y204" t="str">
        <f t="shared" si="53"/>
        <v>Maharashtra 8</v>
      </c>
      <c r="Z204" t="str">
        <f t="shared" si="54"/>
        <v>BrandC8</v>
      </c>
      <c r="AA204" t="str">
        <f t="shared" si="55"/>
        <v>BrandC 8</v>
      </c>
      <c r="AB204" t="str">
        <f t="shared" si="56"/>
        <v>Maharashtra Marketplace</v>
      </c>
      <c r="AC204">
        <f t="shared" si="57"/>
        <v>5</v>
      </c>
      <c r="AD204">
        <f t="shared" si="58"/>
        <v>1</v>
      </c>
      <c r="AE204" t="str">
        <f t="shared" si="59"/>
        <v>Mahaphtra Marketplace</v>
      </c>
      <c r="AF204" t="s">
        <v>130</v>
      </c>
      <c r="AG204" t="s">
        <v>133</v>
      </c>
      <c r="AH204" t="s">
        <v>133</v>
      </c>
    </row>
    <row r="205" spans="1:34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t="s">
        <v>47</v>
      </c>
      <c r="Q205" t="str">
        <f t="shared" si="45"/>
        <v>UPI</v>
      </c>
      <c r="R205" t="str">
        <f t="shared" si="46"/>
        <v>ootb</v>
      </c>
      <c r="S205">
        <f t="shared" si="47"/>
        <v>8</v>
      </c>
      <c r="T205" t="str">
        <f t="shared" si="48"/>
        <v>Football</v>
      </c>
      <c r="U205">
        <f t="shared" si="49"/>
        <v>8</v>
      </c>
      <c r="V205" t="str">
        <f t="shared" si="50"/>
        <v>FOOTBALL</v>
      </c>
      <c r="W205" t="str">
        <f t="shared" si="51"/>
        <v>football</v>
      </c>
      <c r="X205" t="str">
        <f t="shared" si="52"/>
        <v>Football</v>
      </c>
      <c r="Y205" t="str">
        <f t="shared" si="53"/>
        <v>Telangana 8</v>
      </c>
      <c r="Z205" t="str">
        <f t="shared" si="54"/>
        <v>BrandB8</v>
      </c>
      <c r="AA205" t="str">
        <f t="shared" si="55"/>
        <v>BrandB 8</v>
      </c>
      <c r="AB205" t="str">
        <f t="shared" si="56"/>
        <v>Telangana Mobile App</v>
      </c>
      <c r="AC205">
        <f t="shared" si="57"/>
        <v>6</v>
      </c>
      <c r="AD205">
        <f t="shared" si="58"/>
        <v>11</v>
      </c>
      <c r="AE205" t="str">
        <f t="shared" si="59"/>
        <v>Telapna Mobile App</v>
      </c>
      <c r="AF205" t="s">
        <v>129</v>
      </c>
      <c r="AG205" t="s">
        <v>131</v>
      </c>
      <c r="AH205" t="s">
        <v>134</v>
      </c>
    </row>
    <row r="206" spans="1:34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t="s">
        <v>28</v>
      </c>
      <c r="Q206" t="str">
        <f t="shared" si="45"/>
        <v>ery</v>
      </c>
      <c r="R206" t="str">
        <f t="shared" si="46"/>
        <v>erfu</v>
      </c>
      <c r="S206">
        <f t="shared" si="47"/>
        <v>7</v>
      </c>
      <c r="T206" t="str">
        <f t="shared" si="48"/>
        <v>Perfume</v>
      </c>
      <c r="U206">
        <f t="shared" si="49"/>
        <v>7</v>
      </c>
      <c r="V206" t="str">
        <f t="shared" si="50"/>
        <v>PERFUME</v>
      </c>
      <c r="W206" t="str">
        <f t="shared" si="51"/>
        <v>perfume</v>
      </c>
      <c r="X206" t="str">
        <f t="shared" si="52"/>
        <v>Perfume</v>
      </c>
      <c r="Y206" t="str">
        <f t="shared" si="53"/>
        <v>Tamil Nadu 8</v>
      </c>
      <c r="Z206" t="str">
        <f t="shared" si="54"/>
        <v>BrandD8</v>
      </c>
      <c r="AA206" t="str">
        <f t="shared" si="55"/>
        <v>BrandD 8</v>
      </c>
      <c r="AB206" t="str">
        <f t="shared" si="56"/>
        <v>Tamil Nadu Mobile App</v>
      </c>
      <c r="AC206">
        <f t="shared" si="57"/>
        <v>6</v>
      </c>
      <c r="AD206">
        <f t="shared" si="58"/>
        <v>3</v>
      </c>
      <c r="AE206" t="str">
        <f t="shared" si="59"/>
        <v>Tamipadu Mobile App</v>
      </c>
      <c r="AF206" t="s">
        <v>126</v>
      </c>
      <c r="AG206" t="s">
        <v>131</v>
      </c>
      <c r="AH206" t="s">
        <v>134</v>
      </c>
    </row>
    <row r="207" spans="1:34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t="s">
        <v>45</v>
      </c>
      <c r="Q207" t="str">
        <f t="shared" si="45"/>
        <v>ard</v>
      </c>
      <c r="R207" t="str">
        <f t="shared" si="46"/>
        <v>omic</v>
      </c>
      <c r="S207">
        <f t="shared" si="47"/>
        <v>6</v>
      </c>
      <c r="T207" t="str">
        <f t="shared" si="48"/>
        <v>Comics</v>
      </c>
      <c r="U207">
        <f t="shared" si="49"/>
        <v>6</v>
      </c>
      <c r="V207" t="str">
        <f t="shared" si="50"/>
        <v>COMICS</v>
      </c>
      <c r="W207" t="str">
        <f t="shared" si="51"/>
        <v>comics</v>
      </c>
      <c r="X207" t="str">
        <f t="shared" si="52"/>
        <v>Comics</v>
      </c>
      <c r="Y207" t="str">
        <f t="shared" si="53"/>
        <v>West Bengal 8</v>
      </c>
      <c r="Z207" t="str">
        <f t="shared" si="54"/>
        <v>BrandC8</v>
      </c>
      <c r="AA207" t="str">
        <f t="shared" si="55"/>
        <v>BrandC 8</v>
      </c>
      <c r="AB207" t="str">
        <f t="shared" si="56"/>
        <v>West Bengal Website</v>
      </c>
      <c r="AC207">
        <f t="shared" si="57"/>
        <v>2</v>
      </c>
      <c r="AD207" t="e">
        <f t="shared" si="58"/>
        <v>#VALUE!</v>
      </c>
      <c r="AE207" t="str">
        <f t="shared" si="59"/>
        <v>Westpngal Website</v>
      </c>
      <c r="AF207" t="s">
        <v>127</v>
      </c>
      <c r="AG207" t="s">
        <v>132</v>
      </c>
      <c r="AH207" t="s">
        <v>132</v>
      </c>
    </row>
    <row r="208" spans="1:34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t="s">
        <v>33</v>
      </c>
      <c r="Q208" t="str">
        <f t="shared" si="45"/>
        <v>UPI</v>
      </c>
      <c r="R208" t="str">
        <f t="shared" si="46"/>
        <v>mart</v>
      </c>
      <c r="S208">
        <f t="shared" si="47"/>
        <v>10</v>
      </c>
      <c r="T208" t="str">
        <f t="shared" si="48"/>
        <v>Smartwatch</v>
      </c>
      <c r="U208">
        <f t="shared" si="49"/>
        <v>10</v>
      </c>
      <c r="V208" t="str">
        <f t="shared" si="50"/>
        <v>SMARTWATCH</v>
      </c>
      <c r="W208" t="str">
        <f t="shared" si="51"/>
        <v>smartwatch</v>
      </c>
      <c r="X208" t="str">
        <f t="shared" si="52"/>
        <v>Smartwatch</v>
      </c>
      <c r="Y208" t="str">
        <f t="shared" si="53"/>
        <v>Telangana 7</v>
      </c>
      <c r="Z208" t="str">
        <f t="shared" si="54"/>
        <v>BrandE7</v>
      </c>
      <c r="AA208" t="str">
        <f t="shared" si="55"/>
        <v>BrandE 7</v>
      </c>
      <c r="AB208" t="str">
        <f t="shared" si="56"/>
        <v>Telangana Website</v>
      </c>
      <c r="AC208">
        <f t="shared" si="57"/>
        <v>2</v>
      </c>
      <c r="AD208" t="e">
        <f t="shared" si="58"/>
        <v>#VALUE!</v>
      </c>
      <c r="AE208" t="str">
        <f t="shared" si="59"/>
        <v>Telapna Website</v>
      </c>
      <c r="AF208" t="s">
        <v>129</v>
      </c>
      <c r="AG208" t="s">
        <v>132</v>
      </c>
      <c r="AH208" t="s">
        <v>132</v>
      </c>
    </row>
    <row r="209" spans="1:34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t="s">
        <v>28</v>
      </c>
      <c r="Q209" t="str">
        <f t="shared" si="45"/>
        <v>ing</v>
      </c>
      <c r="R209" t="str">
        <f t="shared" si="46"/>
        <v>hamp</v>
      </c>
      <c r="S209">
        <f t="shared" si="47"/>
        <v>7</v>
      </c>
      <c r="T209" t="str">
        <f t="shared" si="48"/>
        <v>Shampoo</v>
      </c>
      <c r="U209">
        <f t="shared" si="49"/>
        <v>7</v>
      </c>
      <c r="V209" t="str">
        <f t="shared" si="50"/>
        <v>SHAMPOO</v>
      </c>
      <c r="W209" t="str">
        <f t="shared" si="51"/>
        <v>shampoo</v>
      </c>
      <c r="X209" t="str">
        <f t="shared" si="52"/>
        <v>Shampoo</v>
      </c>
      <c r="Y209" t="str">
        <f t="shared" si="53"/>
        <v>Telangana 8</v>
      </c>
      <c r="Z209" t="str">
        <f t="shared" si="54"/>
        <v>BrandD8</v>
      </c>
      <c r="AA209" t="str">
        <f t="shared" si="55"/>
        <v>BrandD 8</v>
      </c>
      <c r="AB209" t="str">
        <f t="shared" si="56"/>
        <v>Telangana Website</v>
      </c>
      <c r="AC209">
        <f t="shared" si="57"/>
        <v>2</v>
      </c>
      <c r="AD209" t="e">
        <f t="shared" si="58"/>
        <v>#VALUE!</v>
      </c>
      <c r="AE209" t="str">
        <f t="shared" si="59"/>
        <v>Telapna Website</v>
      </c>
      <c r="AF209" t="s">
        <v>129</v>
      </c>
      <c r="AG209" t="s">
        <v>132</v>
      </c>
      <c r="AH209" t="s">
        <v>132</v>
      </c>
    </row>
    <row r="210" spans="1:34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t="s">
        <v>45</v>
      </c>
      <c r="Q210" t="str">
        <f t="shared" si="45"/>
        <v>ing</v>
      </c>
      <c r="R210" t="str">
        <f t="shared" si="46"/>
        <v>eadp</v>
      </c>
      <c r="S210">
        <f t="shared" si="47"/>
        <v>10</v>
      </c>
      <c r="T210" t="str">
        <f t="shared" si="48"/>
        <v>Headphones</v>
      </c>
      <c r="U210">
        <f t="shared" si="49"/>
        <v>10</v>
      </c>
      <c r="V210" t="str">
        <f t="shared" si="50"/>
        <v>HEADPHONES</v>
      </c>
      <c r="W210" t="str">
        <f t="shared" si="51"/>
        <v>headphones</v>
      </c>
      <c r="X210" t="str">
        <f t="shared" si="52"/>
        <v>Headphones</v>
      </c>
      <c r="Y210" t="str">
        <f t="shared" si="53"/>
        <v>Delhi 8</v>
      </c>
      <c r="Z210" t="str">
        <f t="shared" si="54"/>
        <v>BrandC8</v>
      </c>
      <c r="AA210" t="str">
        <f t="shared" si="55"/>
        <v>BrandC 8</v>
      </c>
      <c r="AB210" t="str">
        <f t="shared" si="56"/>
        <v>Delhi Mobile App</v>
      </c>
      <c r="AC210">
        <f t="shared" si="57"/>
        <v>6</v>
      </c>
      <c r="AD210">
        <f t="shared" si="58"/>
        <v>7</v>
      </c>
      <c r="AE210" t="str">
        <f t="shared" si="59"/>
        <v>Delhpobile App</v>
      </c>
      <c r="AF210" t="s">
        <v>125</v>
      </c>
      <c r="AG210" t="s">
        <v>131</v>
      </c>
      <c r="AH210" t="s">
        <v>134</v>
      </c>
    </row>
    <row r="211" spans="1:34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t="s">
        <v>45</v>
      </c>
      <c r="Q211" t="str">
        <f t="shared" si="45"/>
        <v>ard</v>
      </c>
      <c r="R211" t="str">
        <f t="shared" si="46"/>
        <v>ixer</v>
      </c>
      <c r="S211">
        <f t="shared" si="47"/>
        <v>13</v>
      </c>
      <c r="T211" t="str">
        <f t="shared" si="48"/>
        <v>Mixer Grinder</v>
      </c>
      <c r="U211">
        <f t="shared" si="49"/>
        <v>13</v>
      </c>
      <c r="V211" t="str">
        <f t="shared" si="50"/>
        <v>MIXER GRINDER</v>
      </c>
      <c r="W211" t="str">
        <f t="shared" si="51"/>
        <v>mixer grinder</v>
      </c>
      <c r="X211" t="str">
        <f t="shared" si="52"/>
        <v>Mixer Grinder</v>
      </c>
      <c r="Y211" t="str">
        <f t="shared" si="53"/>
        <v>Maharashtra 8</v>
      </c>
      <c r="Z211" t="str">
        <f t="shared" si="54"/>
        <v>BrandC8</v>
      </c>
      <c r="AA211" t="str">
        <f t="shared" si="55"/>
        <v>BrandC 8</v>
      </c>
      <c r="AB211" t="str">
        <f t="shared" si="56"/>
        <v>Maharashtra Marketplace</v>
      </c>
      <c r="AC211">
        <f t="shared" si="57"/>
        <v>5</v>
      </c>
      <c r="AD211">
        <f t="shared" si="58"/>
        <v>1</v>
      </c>
      <c r="AE211" t="str">
        <f t="shared" si="59"/>
        <v>Mahaphtra Marketplace</v>
      </c>
      <c r="AF211" t="s">
        <v>130</v>
      </c>
      <c r="AG211" t="s">
        <v>133</v>
      </c>
      <c r="AH211" t="s">
        <v>133</v>
      </c>
    </row>
    <row r="212" spans="1:34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t="s">
        <v>21</v>
      </c>
      <c r="Q212" t="str">
        <f t="shared" si="45"/>
        <v>ing</v>
      </c>
      <c r="R212" t="str">
        <f t="shared" si="46"/>
        <v>mart</v>
      </c>
      <c r="S212">
        <f t="shared" si="47"/>
        <v>10</v>
      </c>
      <c r="T212" t="str">
        <f t="shared" si="48"/>
        <v>Smartwatch</v>
      </c>
      <c r="U212">
        <f t="shared" si="49"/>
        <v>10</v>
      </c>
      <c r="V212" t="str">
        <f t="shared" si="50"/>
        <v>SMARTWATCH</v>
      </c>
      <c r="W212" t="str">
        <f t="shared" si="51"/>
        <v>smartwatch</v>
      </c>
      <c r="X212" t="str">
        <f t="shared" si="52"/>
        <v>Smartwatch</v>
      </c>
      <c r="Y212" t="str">
        <f t="shared" si="53"/>
        <v>Tamil Nadu 7</v>
      </c>
      <c r="Z212" t="str">
        <f t="shared" si="54"/>
        <v>BrandA7</v>
      </c>
      <c r="AA212" t="str">
        <f t="shared" si="55"/>
        <v>BrandA 7</v>
      </c>
      <c r="AB212" t="str">
        <f t="shared" si="56"/>
        <v>Tamil Nadu Website</v>
      </c>
      <c r="AC212">
        <f t="shared" si="57"/>
        <v>2</v>
      </c>
      <c r="AD212">
        <f t="shared" si="58"/>
        <v>3</v>
      </c>
      <c r="AE212" t="str">
        <f t="shared" si="59"/>
        <v>Tamipadu Website</v>
      </c>
      <c r="AF212" t="s">
        <v>126</v>
      </c>
      <c r="AG212" t="s">
        <v>132</v>
      </c>
      <c r="AH212" t="s">
        <v>132</v>
      </c>
    </row>
    <row r="213" spans="1:34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t="s">
        <v>33</v>
      </c>
      <c r="Q213" t="str">
        <f t="shared" si="45"/>
        <v>UPI</v>
      </c>
      <c r="R213" t="str">
        <f t="shared" si="46"/>
        <v>rick</v>
      </c>
      <c r="S213">
        <f t="shared" si="47"/>
        <v>11</v>
      </c>
      <c r="T213" t="str">
        <f t="shared" si="48"/>
        <v>Cricket Bat</v>
      </c>
      <c r="U213">
        <f t="shared" si="49"/>
        <v>11</v>
      </c>
      <c r="V213" t="str">
        <f t="shared" si="50"/>
        <v>CRICKET BAT</v>
      </c>
      <c r="W213" t="str">
        <f t="shared" si="51"/>
        <v>cricket bat</v>
      </c>
      <c r="X213" t="str">
        <f t="shared" si="52"/>
        <v>Cricket Bat</v>
      </c>
      <c r="Y213" t="str">
        <f t="shared" si="53"/>
        <v>West Bengal 1</v>
      </c>
      <c r="Z213" t="str">
        <f t="shared" si="54"/>
        <v>BrandE1</v>
      </c>
      <c r="AA213" t="str">
        <f t="shared" si="55"/>
        <v>BrandE 1</v>
      </c>
      <c r="AB213" t="str">
        <f t="shared" si="56"/>
        <v>West Bengal Marketplace</v>
      </c>
      <c r="AC213">
        <f t="shared" si="57"/>
        <v>5</v>
      </c>
      <c r="AD213">
        <f t="shared" si="58"/>
        <v>13</v>
      </c>
      <c r="AE213" t="str">
        <f t="shared" si="59"/>
        <v>Westpngal Marketplace</v>
      </c>
      <c r="AF213" t="s">
        <v>127</v>
      </c>
      <c r="AG213" t="s">
        <v>133</v>
      </c>
      <c r="AH213" t="s">
        <v>133</v>
      </c>
    </row>
    <row r="214" spans="1:34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t="s">
        <v>21</v>
      </c>
      <c r="Q214" t="str">
        <f t="shared" si="45"/>
        <v>ing</v>
      </c>
      <c r="R214" t="str">
        <f t="shared" si="46"/>
        <v>apto</v>
      </c>
      <c r="S214">
        <f t="shared" si="47"/>
        <v>6</v>
      </c>
      <c r="T214" t="str">
        <f t="shared" si="48"/>
        <v>Laptop</v>
      </c>
      <c r="U214">
        <f t="shared" si="49"/>
        <v>6</v>
      </c>
      <c r="V214" t="str">
        <f t="shared" si="50"/>
        <v>LAPTOP</v>
      </c>
      <c r="W214" t="str">
        <f t="shared" si="51"/>
        <v>laptop</v>
      </c>
      <c r="X214" t="str">
        <f t="shared" si="52"/>
        <v>Laptop</v>
      </c>
      <c r="Y214" t="str">
        <f t="shared" si="53"/>
        <v>Telangana 4</v>
      </c>
      <c r="Z214" t="str">
        <f t="shared" si="54"/>
        <v>BrandA4</v>
      </c>
      <c r="AA214" t="str">
        <f t="shared" si="55"/>
        <v>BrandA 4</v>
      </c>
      <c r="AB214" t="str">
        <f t="shared" si="56"/>
        <v>Telangana Website</v>
      </c>
      <c r="AC214">
        <f t="shared" si="57"/>
        <v>2</v>
      </c>
      <c r="AD214" t="e">
        <f t="shared" si="58"/>
        <v>#VALUE!</v>
      </c>
      <c r="AE214" t="str">
        <f t="shared" si="59"/>
        <v>Telapna Website</v>
      </c>
      <c r="AF214" t="s">
        <v>129</v>
      </c>
      <c r="AG214" t="s">
        <v>132</v>
      </c>
      <c r="AH214" t="s">
        <v>132</v>
      </c>
    </row>
    <row r="215" spans="1:34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t="s">
        <v>47</v>
      </c>
      <c r="Q215" t="str">
        <f t="shared" si="45"/>
        <v>UPI</v>
      </c>
      <c r="R215" t="str">
        <f t="shared" si="46"/>
        <v>apto</v>
      </c>
      <c r="S215">
        <f t="shared" si="47"/>
        <v>6</v>
      </c>
      <c r="T215" t="str">
        <f t="shared" si="48"/>
        <v>Laptop</v>
      </c>
      <c r="U215">
        <f t="shared" si="49"/>
        <v>6</v>
      </c>
      <c r="V215" t="str">
        <f t="shared" si="50"/>
        <v>LAPTOP</v>
      </c>
      <c r="W215" t="str">
        <f t="shared" si="51"/>
        <v>laptop</v>
      </c>
      <c r="X215" t="str">
        <f t="shared" si="52"/>
        <v>Laptop</v>
      </c>
      <c r="Y215" t="str">
        <f t="shared" si="53"/>
        <v>West Bengal 4</v>
      </c>
      <c r="Z215" t="str">
        <f t="shared" si="54"/>
        <v>BrandB4</v>
      </c>
      <c r="AA215" t="str">
        <f t="shared" si="55"/>
        <v>BrandB 4</v>
      </c>
      <c r="AB215" t="str">
        <f t="shared" si="56"/>
        <v>West Bengal Website</v>
      </c>
      <c r="AC215">
        <f t="shared" si="57"/>
        <v>2</v>
      </c>
      <c r="AD215" t="e">
        <f t="shared" si="58"/>
        <v>#VALUE!</v>
      </c>
      <c r="AE215" t="str">
        <f t="shared" si="59"/>
        <v>Westpngal Website</v>
      </c>
      <c r="AF215" t="s">
        <v>127</v>
      </c>
      <c r="AG215" t="s">
        <v>132</v>
      </c>
      <c r="AH215" t="s">
        <v>132</v>
      </c>
    </row>
    <row r="216" spans="1:34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t="s">
        <v>21</v>
      </c>
      <c r="Q216" t="str">
        <f t="shared" si="45"/>
        <v>ard</v>
      </c>
      <c r="R216" t="str">
        <f t="shared" si="46"/>
        <v>ootb</v>
      </c>
      <c r="S216">
        <f t="shared" si="47"/>
        <v>8</v>
      </c>
      <c r="T216" t="str">
        <f t="shared" si="48"/>
        <v>Football</v>
      </c>
      <c r="U216">
        <f t="shared" si="49"/>
        <v>8</v>
      </c>
      <c r="V216" t="str">
        <f t="shared" si="50"/>
        <v>FOOTBALL</v>
      </c>
      <c r="W216" t="str">
        <f t="shared" si="51"/>
        <v>football</v>
      </c>
      <c r="X216" t="str">
        <f t="shared" si="52"/>
        <v>Football</v>
      </c>
      <c r="Y216" t="str">
        <f t="shared" si="53"/>
        <v>Delhi 5</v>
      </c>
      <c r="Z216" t="str">
        <f t="shared" si="54"/>
        <v>BrandA5</v>
      </c>
      <c r="AA216" t="str">
        <f t="shared" si="55"/>
        <v>BrandA 5</v>
      </c>
      <c r="AB216" t="str">
        <f t="shared" si="56"/>
        <v>Delhi Mobile App</v>
      </c>
      <c r="AC216">
        <f t="shared" si="57"/>
        <v>6</v>
      </c>
      <c r="AD216">
        <f t="shared" si="58"/>
        <v>7</v>
      </c>
      <c r="AE216" t="str">
        <f t="shared" si="59"/>
        <v>Delhpobile App</v>
      </c>
      <c r="AF216" t="s">
        <v>125</v>
      </c>
      <c r="AG216" t="s">
        <v>131</v>
      </c>
      <c r="AH216" t="s">
        <v>134</v>
      </c>
    </row>
    <row r="217" spans="1:34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t="s">
        <v>21</v>
      </c>
      <c r="Q217" t="str">
        <f t="shared" si="45"/>
        <v>ard</v>
      </c>
      <c r="R217" t="str">
        <f t="shared" si="46"/>
        <v>iogr</v>
      </c>
      <c r="S217">
        <f t="shared" si="47"/>
        <v>9</v>
      </c>
      <c r="T217" t="str">
        <f t="shared" si="48"/>
        <v>Biography</v>
      </c>
      <c r="U217">
        <f t="shared" si="49"/>
        <v>9</v>
      </c>
      <c r="V217" t="str">
        <f t="shared" si="50"/>
        <v>BIOGRAPHY</v>
      </c>
      <c r="W217" t="str">
        <f t="shared" si="51"/>
        <v>biography</v>
      </c>
      <c r="X217" t="str">
        <f t="shared" si="52"/>
        <v>Biography</v>
      </c>
      <c r="Y217" t="str">
        <f t="shared" si="53"/>
        <v>Tamil Nadu 6</v>
      </c>
      <c r="Z217" t="str">
        <f t="shared" si="54"/>
        <v>BrandA6</v>
      </c>
      <c r="AA217" t="str">
        <f t="shared" si="55"/>
        <v>BrandA 6</v>
      </c>
      <c r="AB217" t="str">
        <f t="shared" si="56"/>
        <v>Tamil Nadu Website</v>
      </c>
      <c r="AC217">
        <f t="shared" si="57"/>
        <v>2</v>
      </c>
      <c r="AD217">
        <f t="shared" si="58"/>
        <v>3</v>
      </c>
      <c r="AE217" t="str">
        <f t="shared" si="59"/>
        <v>Tamipadu Website</v>
      </c>
      <c r="AF217" t="s">
        <v>126</v>
      </c>
      <c r="AG217" t="s">
        <v>132</v>
      </c>
      <c r="AH217" t="s">
        <v>132</v>
      </c>
    </row>
    <row r="218" spans="1:34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t="s">
        <v>28</v>
      </c>
      <c r="Q218" t="str">
        <f t="shared" si="45"/>
        <v>ing</v>
      </c>
      <c r="R218" t="str">
        <f t="shared" si="46"/>
        <v>eadp</v>
      </c>
      <c r="S218">
        <f t="shared" si="47"/>
        <v>10</v>
      </c>
      <c r="T218" t="str">
        <f t="shared" si="48"/>
        <v>Headphones</v>
      </c>
      <c r="U218">
        <f t="shared" si="49"/>
        <v>10</v>
      </c>
      <c r="V218" t="str">
        <f t="shared" si="50"/>
        <v>HEADPHONES</v>
      </c>
      <c r="W218" t="str">
        <f t="shared" si="51"/>
        <v>headphones</v>
      </c>
      <c r="X218" t="str">
        <f t="shared" si="52"/>
        <v>Headphones</v>
      </c>
      <c r="Y218" t="str">
        <f t="shared" si="53"/>
        <v>Telangana 4</v>
      </c>
      <c r="Z218" t="str">
        <f t="shared" si="54"/>
        <v>BrandD4</v>
      </c>
      <c r="AA218" t="str">
        <f t="shared" si="55"/>
        <v>BrandD 4</v>
      </c>
      <c r="AB218" t="str">
        <f t="shared" si="56"/>
        <v>Telangana Website</v>
      </c>
      <c r="AC218">
        <f t="shared" si="57"/>
        <v>2</v>
      </c>
      <c r="AD218" t="e">
        <f t="shared" si="58"/>
        <v>#VALUE!</v>
      </c>
      <c r="AE218" t="str">
        <f t="shared" si="59"/>
        <v>Telapna Website</v>
      </c>
      <c r="AF218" t="s">
        <v>129</v>
      </c>
      <c r="AG218" t="s">
        <v>132</v>
      </c>
      <c r="AH218" t="s">
        <v>132</v>
      </c>
    </row>
    <row r="219" spans="1:34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t="s">
        <v>45</v>
      </c>
      <c r="Q219" t="str">
        <f t="shared" si="45"/>
        <v>UPI</v>
      </c>
      <c r="R219" t="str">
        <f t="shared" si="46"/>
        <v>umbb</v>
      </c>
      <c r="S219">
        <f t="shared" si="47"/>
        <v>9</v>
      </c>
      <c r="T219" t="str">
        <f t="shared" si="48"/>
        <v>Dumbbells</v>
      </c>
      <c r="U219">
        <f t="shared" si="49"/>
        <v>9</v>
      </c>
      <c r="V219" t="str">
        <f t="shared" si="50"/>
        <v>DUMBBELLS</v>
      </c>
      <c r="W219" t="str">
        <f t="shared" si="51"/>
        <v>dumbbells</v>
      </c>
      <c r="X219" t="str">
        <f t="shared" si="52"/>
        <v>Dumbbells</v>
      </c>
      <c r="Y219" t="str">
        <f t="shared" si="53"/>
        <v>West Bengal 2</v>
      </c>
      <c r="Z219" t="str">
        <f t="shared" si="54"/>
        <v>BrandC2</v>
      </c>
      <c r="AA219" t="str">
        <f t="shared" si="55"/>
        <v>BrandC 2</v>
      </c>
      <c r="AB219" t="str">
        <f t="shared" si="56"/>
        <v>West Bengal Mobile App</v>
      </c>
      <c r="AC219">
        <f t="shared" si="57"/>
        <v>6</v>
      </c>
      <c r="AD219">
        <f t="shared" si="58"/>
        <v>13</v>
      </c>
      <c r="AE219" t="str">
        <f t="shared" si="59"/>
        <v>Westpngal Mobile App</v>
      </c>
      <c r="AF219" t="s">
        <v>127</v>
      </c>
      <c r="AG219" t="s">
        <v>131</v>
      </c>
      <c r="AH219" t="s">
        <v>134</v>
      </c>
    </row>
    <row r="220" spans="1:34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t="s">
        <v>33</v>
      </c>
      <c r="Q220" t="str">
        <f t="shared" si="45"/>
        <v>ery</v>
      </c>
      <c r="R220" t="str">
        <f t="shared" si="46"/>
        <v xml:space="preserve">ace </v>
      </c>
      <c r="S220">
        <f t="shared" si="47"/>
        <v>10</v>
      </c>
      <c r="T220" t="str">
        <f t="shared" si="48"/>
        <v>Face Cream</v>
      </c>
      <c r="U220">
        <f t="shared" si="49"/>
        <v>10</v>
      </c>
      <c r="V220" t="str">
        <f t="shared" si="50"/>
        <v>FACE CREAM</v>
      </c>
      <c r="W220" t="str">
        <f t="shared" si="51"/>
        <v>face cream</v>
      </c>
      <c r="X220" t="str">
        <f t="shared" si="52"/>
        <v>Face Cream</v>
      </c>
      <c r="Y220" t="str">
        <f t="shared" si="53"/>
        <v>Maharashtra 6</v>
      </c>
      <c r="Z220" t="str">
        <f t="shared" si="54"/>
        <v>BrandE6</v>
      </c>
      <c r="AA220" t="str">
        <f t="shared" si="55"/>
        <v>BrandE 6</v>
      </c>
      <c r="AB220" t="str">
        <f t="shared" si="56"/>
        <v>Maharashtra Marketplace</v>
      </c>
      <c r="AC220">
        <f t="shared" si="57"/>
        <v>5</v>
      </c>
      <c r="AD220">
        <f t="shared" si="58"/>
        <v>1</v>
      </c>
      <c r="AE220" t="str">
        <f t="shared" si="59"/>
        <v>Mahaphtra Marketplace</v>
      </c>
      <c r="AF220" t="s">
        <v>130</v>
      </c>
      <c r="AG220" t="s">
        <v>133</v>
      </c>
      <c r="AH220" t="s">
        <v>133</v>
      </c>
    </row>
    <row r="221" spans="1:34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t="s">
        <v>21</v>
      </c>
      <c r="Q221" t="str">
        <f t="shared" si="45"/>
        <v>ard</v>
      </c>
      <c r="R221" t="str">
        <f t="shared" si="46"/>
        <v>urta</v>
      </c>
      <c r="S221">
        <f t="shared" si="47"/>
        <v>8</v>
      </c>
      <c r="T221" t="str">
        <f t="shared" si="48"/>
        <v>Curtains</v>
      </c>
      <c r="U221">
        <f t="shared" si="49"/>
        <v>8</v>
      </c>
      <c r="V221" t="str">
        <f t="shared" si="50"/>
        <v>CURTAINS</v>
      </c>
      <c r="W221" t="str">
        <f t="shared" si="51"/>
        <v>curtains</v>
      </c>
      <c r="X221" t="str">
        <f t="shared" si="52"/>
        <v>Curtains</v>
      </c>
      <c r="Y221" t="str">
        <f t="shared" si="53"/>
        <v>Delhi 8</v>
      </c>
      <c r="Z221" t="str">
        <f t="shared" si="54"/>
        <v>BrandA8</v>
      </c>
      <c r="AA221" t="str">
        <f t="shared" si="55"/>
        <v>BrandA 8</v>
      </c>
      <c r="AB221" t="str">
        <f t="shared" si="56"/>
        <v>Delhi Website</v>
      </c>
      <c r="AC221">
        <f t="shared" si="57"/>
        <v>2</v>
      </c>
      <c r="AD221" t="e">
        <f t="shared" si="58"/>
        <v>#VALUE!</v>
      </c>
      <c r="AE221" t="str">
        <f t="shared" si="59"/>
        <v>Delhpebsite</v>
      </c>
      <c r="AF221" t="s">
        <v>125</v>
      </c>
      <c r="AG221" t="s">
        <v>132</v>
      </c>
      <c r="AH221" t="s">
        <v>132</v>
      </c>
    </row>
    <row r="222" spans="1:34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t="s">
        <v>33</v>
      </c>
      <c r="Q222" t="str">
        <f t="shared" si="45"/>
        <v>ard</v>
      </c>
      <c r="R222" t="str">
        <f t="shared" si="46"/>
        <v>ixer</v>
      </c>
      <c r="S222">
        <f t="shared" si="47"/>
        <v>13</v>
      </c>
      <c r="T222" t="str">
        <f t="shared" si="48"/>
        <v>Mixer Grinder</v>
      </c>
      <c r="U222">
        <f t="shared" si="49"/>
        <v>13</v>
      </c>
      <c r="V222" t="str">
        <f t="shared" si="50"/>
        <v>MIXER GRINDER</v>
      </c>
      <c r="W222" t="str">
        <f t="shared" si="51"/>
        <v>mixer grinder</v>
      </c>
      <c r="X222" t="str">
        <f t="shared" si="52"/>
        <v>Mixer Grinder</v>
      </c>
      <c r="Y222" t="str">
        <f t="shared" si="53"/>
        <v>Tamil Nadu 8</v>
      </c>
      <c r="Z222" t="str">
        <f t="shared" si="54"/>
        <v>BrandE8</v>
      </c>
      <c r="AA222" t="str">
        <f t="shared" si="55"/>
        <v>BrandE 8</v>
      </c>
      <c r="AB222" t="str">
        <f t="shared" si="56"/>
        <v>Tamil Nadu Mobile App</v>
      </c>
      <c r="AC222">
        <f t="shared" si="57"/>
        <v>6</v>
      </c>
      <c r="AD222">
        <f t="shared" si="58"/>
        <v>3</v>
      </c>
      <c r="AE222" t="str">
        <f t="shared" si="59"/>
        <v>Tamipadu Mobile App</v>
      </c>
      <c r="AF222" t="s">
        <v>126</v>
      </c>
      <c r="AG222" t="s">
        <v>131</v>
      </c>
      <c r="AH222" t="s">
        <v>134</v>
      </c>
    </row>
    <row r="223" spans="1:34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t="s">
        <v>21</v>
      </c>
      <c r="Q223" t="str">
        <f t="shared" si="45"/>
        <v>UPI</v>
      </c>
      <c r="R223" t="str">
        <f t="shared" si="46"/>
        <v>mart</v>
      </c>
      <c r="S223">
        <f t="shared" si="47"/>
        <v>10</v>
      </c>
      <c r="T223" t="str">
        <f t="shared" si="48"/>
        <v>Smartwatch</v>
      </c>
      <c r="U223">
        <f t="shared" si="49"/>
        <v>10</v>
      </c>
      <c r="V223" t="str">
        <f t="shared" si="50"/>
        <v>SMARTWATCH</v>
      </c>
      <c r="W223" t="str">
        <f t="shared" si="51"/>
        <v>smartwatch</v>
      </c>
      <c r="X223" t="str">
        <f t="shared" si="52"/>
        <v>Smartwatch</v>
      </c>
      <c r="Y223" t="str">
        <f t="shared" si="53"/>
        <v>Delhi 7</v>
      </c>
      <c r="Z223" t="str">
        <f t="shared" si="54"/>
        <v>BrandA7</v>
      </c>
      <c r="AA223" t="str">
        <f t="shared" si="55"/>
        <v>BrandA 7</v>
      </c>
      <c r="AB223" t="str">
        <f t="shared" si="56"/>
        <v>Delhi Website</v>
      </c>
      <c r="AC223">
        <f t="shared" si="57"/>
        <v>2</v>
      </c>
      <c r="AD223" t="e">
        <f t="shared" si="58"/>
        <v>#VALUE!</v>
      </c>
      <c r="AE223" t="str">
        <f t="shared" si="59"/>
        <v>Delhpebsite</v>
      </c>
      <c r="AF223" t="s">
        <v>125</v>
      </c>
      <c r="AG223" t="s">
        <v>132</v>
      </c>
      <c r="AH223" t="s">
        <v>132</v>
      </c>
    </row>
    <row r="224" spans="1:34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t="s">
        <v>47</v>
      </c>
      <c r="Q224" t="str">
        <f t="shared" si="45"/>
        <v>ard</v>
      </c>
      <c r="R224" t="str">
        <f t="shared" si="46"/>
        <v>omic</v>
      </c>
      <c r="S224">
        <f t="shared" si="47"/>
        <v>6</v>
      </c>
      <c r="T224" t="str">
        <f t="shared" si="48"/>
        <v>Comics</v>
      </c>
      <c r="U224">
        <f t="shared" si="49"/>
        <v>6</v>
      </c>
      <c r="V224" t="str">
        <f t="shared" si="50"/>
        <v>COMICS</v>
      </c>
      <c r="W224" t="str">
        <f t="shared" si="51"/>
        <v>comics</v>
      </c>
      <c r="X224" t="str">
        <f t="shared" si="52"/>
        <v>Comics</v>
      </c>
      <c r="Y224" t="str">
        <f t="shared" si="53"/>
        <v>Maharashtra 6</v>
      </c>
      <c r="Z224" t="str">
        <f t="shared" si="54"/>
        <v>BrandB6</v>
      </c>
      <c r="AA224" t="str">
        <f t="shared" si="55"/>
        <v>BrandB 6</v>
      </c>
      <c r="AB224" t="str">
        <f t="shared" si="56"/>
        <v>Maharashtra Mobile App</v>
      </c>
      <c r="AC224">
        <f t="shared" si="57"/>
        <v>6</v>
      </c>
      <c r="AD224">
        <f t="shared" si="58"/>
        <v>1</v>
      </c>
      <c r="AE224" t="str">
        <f t="shared" si="59"/>
        <v>Mahaphtra Mobile App</v>
      </c>
      <c r="AF224" t="s">
        <v>130</v>
      </c>
      <c r="AG224" t="s">
        <v>131</v>
      </c>
      <c r="AH224" t="s">
        <v>134</v>
      </c>
    </row>
    <row r="225" spans="1:34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t="s">
        <v>21</v>
      </c>
      <c r="Q225" t="str">
        <f t="shared" si="45"/>
        <v>ard</v>
      </c>
      <c r="R225" t="str">
        <f t="shared" si="46"/>
        <v>icti</v>
      </c>
      <c r="S225">
        <f t="shared" si="47"/>
        <v>13</v>
      </c>
      <c r="T225" t="str">
        <f t="shared" si="48"/>
        <v>Fiction Novel</v>
      </c>
      <c r="U225">
        <f t="shared" si="49"/>
        <v>13</v>
      </c>
      <c r="V225" t="str">
        <f t="shared" si="50"/>
        <v>FICTION NOVEL</v>
      </c>
      <c r="W225" t="str">
        <f t="shared" si="51"/>
        <v>fiction novel</v>
      </c>
      <c r="X225" t="str">
        <f t="shared" si="52"/>
        <v>Fiction Novel</v>
      </c>
      <c r="Y225" t="str">
        <f t="shared" si="53"/>
        <v>Tamil Nadu 2</v>
      </c>
      <c r="Z225" t="str">
        <f t="shared" si="54"/>
        <v>BrandA2</v>
      </c>
      <c r="AA225" t="str">
        <f t="shared" si="55"/>
        <v>BrandA 2</v>
      </c>
      <c r="AB225" t="str">
        <f t="shared" si="56"/>
        <v>Tamil Nadu Marketplace</v>
      </c>
      <c r="AC225">
        <f t="shared" si="57"/>
        <v>5</v>
      </c>
      <c r="AD225">
        <f t="shared" si="58"/>
        <v>3</v>
      </c>
      <c r="AE225" t="str">
        <f t="shared" si="59"/>
        <v>Tamipadu Marketplace</v>
      </c>
      <c r="AF225" t="s">
        <v>126</v>
      </c>
      <c r="AG225" t="s">
        <v>133</v>
      </c>
      <c r="AH225" t="s">
        <v>133</v>
      </c>
    </row>
    <row r="226" spans="1:34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t="s">
        <v>28</v>
      </c>
      <c r="Q226" t="str">
        <f t="shared" si="45"/>
        <v>ing</v>
      </c>
      <c r="R226" t="str">
        <f t="shared" si="46"/>
        <v>hamp</v>
      </c>
      <c r="S226">
        <f t="shared" si="47"/>
        <v>7</v>
      </c>
      <c r="T226" t="str">
        <f t="shared" si="48"/>
        <v>Shampoo</v>
      </c>
      <c r="U226">
        <f t="shared" si="49"/>
        <v>7</v>
      </c>
      <c r="V226" t="str">
        <f t="shared" si="50"/>
        <v>SHAMPOO</v>
      </c>
      <c r="W226" t="str">
        <f t="shared" si="51"/>
        <v>shampoo</v>
      </c>
      <c r="X226" t="str">
        <f t="shared" si="52"/>
        <v>Shampoo</v>
      </c>
      <c r="Y226" t="str">
        <f t="shared" si="53"/>
        <v>Delhi 7</v>
      </c>
      <c r="Z226" t="str">
        <f t="shared" si="54"/>
        <v>BrandD7</v>
      </c>
      <c r="AA226" t="str">
        <f t="shared" si="55"/>
        <v>BrandD 7</v>
      </c>
      <c r="AB226" t="str">
        <f t="shared" si="56"/>
        <v>Delhi Marketplace</v>
      </c>
      <c r="AC226">
        <f t="shared" si="57"/>
        <v>5</v>
      </c>
      <c r="AD226">
        <f t="shared" si="58"/>
        <v>7</v>
      </c>
      <c r="AE226" t="str">
        <f t="shared" si="59"/>
        <v>Delhparketplace</v>
      </c>
      <c r="AF226" t="s">
        <v>125</v>
      </c>
      <c r="AG226" t="s">
        <v>133</v>
      </c>
      <c r="AH226" t="s">
        <v>133</v>
      </c>
    </row>
    <row r="227" spans="1:34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t="s">
        <v>45</v>
      </c>
      <c r="Q227" t="str">
        <f t="shared" si="45"/>
        <v>ing</v>
      </c>
      <c r="R227" t="str">
        <f t="shared" si="46"/>
        <v>apto</v>
      </c>
      <c r="S227">
        <f t="shared" si="47"/>
        <v>6</v>
      </c>
      <c r="T227" t="str">
        <f t="shared" si="48"/>
        <v>Laptop</v>
      </c>
      <c r="U227">
        <f t="shared" si="49"/>
        <v>6</v>
      </c>
      <c r="V227" t="str">
        <f t="shared" si="50"/>
        <v>LAPTOP</v>
      </c>
      <c r="W227" t="str">
        <f t="shared" si="51"/>
        <v>laptop</v>
      </c>
      <c r="X227" t="str">
        <f t="shared" si="52"/>
        <v>Laptop</v>
      </c>
      <c r="Y227" t="str">
        <f t="shared" si="53"/>
        <v>Karnataka 5</v>
      </c>
      <c r="Z227" t="str">
        <f t="shared" si="54"/>
        <v>BrandC5</v>
      </c>
      <c r="AA227" t="str">
        <f t="shared" si="55"/>
        <v>BrandC 5</v>
      </c>
      <c r="AB227" t="str">
        <f t="shared" si="56"/>
        <v>Karnataka Mobile App</v>
      </c>
      <c r="AC227">
        <f t="shared" si="57"/>
        <v>6</v>
      </c>
      <c r="AD227">
        <f t="shared" si="58"/>
        <v>11</v>
      </c>
      <c r="AE227" t="str">
        <f t="shared" si="59"/>
        <v>Karnpka Mobile App</v>
      </c>
      <c r="AF227" t="s">
        <v>128</v>
      </c>
      <c r="AG227" t="s">
        <v>131</v>
      </c>
      <c r="AH227" t="s">
        <v>134</v>
      </c>
    </row>
    <row r="228" spans="1:34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t="s">
        <v>47</v>
      </c>
      <c r="Q228" t="str">
        <f t="shared" si="45"/>
        <v>UPI</v>
      </c>
      <c r="R228" t="str">
        <f t="shared" si="46"/>
        <v>urta</v>
      </c>
      <c r="S228">
        <f t="shared" si="47"/>
        <v>8</v>
      </c>
      <c r="T228" t="str">
        <f t="shared" si="48"/>
        <v>Curtains</v>
      </c>
      <c r="U228">
        <f t="shared" si="49"/>
        <v>8</v>
      </c>
      <c r="V228" t="str">
        <f t="shared" si="50"/>
        <v>CURTAINS</v>
      </c>
      <c r="W228" t="str">
        <f t="shared" si="51"/>
        <v>curtains</v>
      </c>
      <c r="X228" t="str">
        <f t="shared" si="52"/>
        <v>Curtains</v>
      </c>
      <c r="Y228" t="str">
        <f t="shared" si="53"/>
        <v>Maharashtra 6</v>
      </c>
      <c r="Z228" t="str">
        <f t="shared" si="54"/>
        <v>BrandB6</v>
      </c>
      <c r="AA228" t="str">
        <f t="shared" si="55"/>
        <v>BrandB 6</v>
      </c>
      <c r="AB228" t="str">
        <f t="shared" si="56"/>
        <v>Maharashtra Mobile App</v>
      </c>
      <c r="AC228">
        <f t="shared" si="57"/>
        <v>6</v>
      </c>
      <c r="AD228">
        <f t="shared" si="58"/>
        <v>1</v>
      </c>
      <c r="AE228" t="str">
        <f t="shared" si="59"/>
        <v>Mahaphtra Mobile App</v>
      </c>
      <c r="AF228" t="s">
        <v>130</v>
      </c>
      <c r="AG228" t="s">
        <v>131</v>
      </c>
      <c r="AH228" t="s">
        <v>134</v>
      </c>
    </row>
    <row r="229" spans="1:34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t="s">
        <v>21</v>
      </c>
      <c r="Q229" t="str">
        <f t="shared" si="45"/>
        <v>ery</v>
      </c>
      <c r="R229" t="str">
        <f t="shared" si="46"/>
        <v>extb</v>
      </c>
      <c r="S229">
        <f t="shared" si="47"/>
        <v>8</v>
      </c>
      <c r="T229" t="str">
        <f t="shared" si="48"/>
        <v>Textbook</v>
      </c>
      <c r="U229">
        <f t="shared" si="49"/>
        <v>8</v>
      </c>
      <c r="V229" t="str">
        <f t="shared" si="50"/>
        <v>TEXTBOOK</v>
      </c>
      <c r="W229" t="str">
        <f t="shared" si="51"/>
        <v>textbook</v>
      </c>
      <c r="X229" t="str">
        <f t="shared" si="52"/>
        <v>Textbook</v>
      </c>
      <c r="Y229" t="str">
        <f t="shared" si="53"/>
        <v>Maharashtra 8</v>
      </c>
      <c r="Z229" t="str">
        <f t="shared" si="54"/>
        <v>BrandA8</v>
      </c>
      <c r="AA229" t="str">
        <f t="shared" si="55"/>
        <v>BrandA 8</v>
      </c>
      <c r="AB229" t="str">
        <f t="shared" si="56"/>
        <v>Maharashtra Mobile App</v>
      </c>
      <c r="AC229">
        <f t="shared" si="57"/>
        <v>6</v>
      </c>
      <c r="AD229">
        <f t="shared" si="58"/>
        <v>1</v>
      </c>
      <c r="AE229" t="str">
        <f t="shared" si="59"/>
        <v>Mahaphtra Mobile App</v>
      </c>
      <c r="AF229" t="s">
        <v>130</v>
      </c>
      <c r="AG229" t="s">
        <v>131</v>
      </c>
      <c r="AH229" t="s">
        <v>134</v>
      </c>
    </row>
    <row r="230" spans="1:34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t="s">
        <v>33</v>
      </c>
      <c r="Q230" t="str">
        <f t="shared" si="45"/>
        <v>UPI</v>
      </c>
      <c r="R230" t="str">
        <f t="shared" si="46"/>
        <v>mart</v>
      </c>
      <c r="S230">
        <f t="shared" si="47"/>
        <v>10</v>
      </c>
      <c r="T230" t="str">
        <f t="shared" si="48"/>
        <v>Smartphone</v>
      </c>
      <c r="U230">
        <f t="shared" si="49"/>
        <v>10</v>
      </c>
      <c r="V230" t="str">
        <f t="shared" si="50"/>
        <v>SMARTPHONE</v>
      </c>
      <c r="W230" t="str">
        <f t="shared" si="51"/>
        <v>smartphone</v>
      </c>
      <c r="X230" t="str">
        <f t="shared" si="52"/>
        <v>Smartphone</v>
      </c>
      <c r="Y230" t="str">
        <f t="shared" si="53"/>
        <v>Maharashtra 8</v>
      </c>
      <c r="Z230" t="str">
        <f t="shared" si="54"/>
        <v>BrandE8</v>
      </c>
      <c r="AA230" t="str">
        <f t="shared" si="55"/>
        <v>BrandE 8</v>
      </c>
      <c r="AB230" t="str">
        <f t="shared" si="56"/>
        <v>Maharashtra Marketplace</v>
      </c>
      <c r="AC230">
        <f t="shared" si="57"/>
        <v>5</v>
      </c>
      <c r="AD230">
        <f t="shared" si="58"/>
        <v>1</v>
      </c>
      <c r="AE230" t="str">
        <f t="shared" si="59"/>
        <v>Mahaphtra Marketplace</v>
      </c>
      <c r="AF230" t="s">
        <v>130</v>
      </c>
      <c r="AG230" t="s">
        <v>133</v>
      </c>
      <c r="AH230" t="s">
        <v>133</v>
      </c>
    </row>
    <row r="231" spans="1:34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t="s">
        <v>47</v>
      </c>
      <c r="Q231" t="str">
        <f t="shared" si="45"/>
        <v>ery</v>
      </c>
      <c r="R231" t="str">
        <f t="shared" si="46"/>
        <v>extb</v>
      </c>
      <c r="S231">
        <f t="shared" si="47"/>
        <v>8</v>
      </c>
      <c r="T231" t="str">
        <f t="shared" si="48"/>
        <v>Textbook</v>
      </c>
      <c r="U231">
        <f t="shared" si="49"/>
        <v>8</v>
      </c>
      <c r="V231" t="str">
        <f t="shared" si="50"/>
        <v>TEXTBOOK</v>
      </c>
      <c r="W231" t="str">
        <f t="shared" si="51"/>
        <v>textbook</v>
      </c>
      <c r="X231" t="str">
        <f t="shared" si="52"/>
        <v>Textbook</v>
      </c>
      <c r="Y231" t="str">
        <f t="shared" si="53"/>
        <v>Karnataka 3</v>
      </c>
      <c r="Z231" t="str">
        <f t="shared" si="54"/>
        <v>BrandB3</v>
      </c>
      <c r="AA231" t="str">
        <f t="shared" si="55"/>
        <v>BrandB 3</v>
      </c>
      <c r="AB231" t="str">
        <f t="shared" si="56"/>
        <v>Karnataka Website</v>
      </c>
      <c r="AC231">
        <f t="shared" si="57"/>
        <v>2</v>
      </c>
      <c r="AD231" t="e">
        <f t="shared" si="58"/>
        <v>#VALUE!</v>
      </c>
      <c r="AE231" t="str">
        <f t="shared" si="59"/>
        <v>Karnpka Website</v>
      </c>
      <c r="AF231" t="s">
        <v>128</v>
      </c>
      <c r="AG231" t="s">
        <v>132</v>
      </c>
      <c r="AH231" t="s">
        <v>132</v>
      </c>
    </row>
    <row r="232" spans="1:34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t="s">
        <v>47</v>
      </c>
      <c r="Q232" t="str">
        <f t="shared" si="45"/>
        <v>ard</v>
      </c>
      <c r="R232" t="str">
        <f t="shared" si="46"/>
        <v xml:space="preserve">oga </v>
      </c>
      <c r="S232">
        <f t="shared" si="47"/>
        <v>8</v>
      </c>
      <c r="T232" t="str">
        <f t="shared" si="48"/>
        <v>Yoga Mat</v>
      </c>
      <c r="U232">
        <f t="shared" si="49"/>
        <v>8</v>
      </c>
      <c r="V232" t="str">
        <f t="shared" si="50"/>
        <v>YOGA MAT</v>
      </c>
      <c r="W232" t="str">
        <f t="shared" si="51"/>
        <v>yoga mat</v>
      </c>
      <c r="X232" t="str">
        <f t="shared" si="52"/>
        <v>Yoga Mat</v>
      </c>
      <c r="Y232" t="str">
        <f t="shared" si="53"/>
        <v>Karnataka 7</v>
      </c>
      <c r="Z232" t="str">
        <f t="shared" si="54"/>
        <v>BrandB7</v>
      </c>
      <c r="AA232" t="str">
        <f t="shared" si="55"/>
        <v>BrandB 7</v>
      </c>
      <c r="AB232" t="str">
        <f t="shared" si="56"/>
        <v>Karnataka Marketplace</v>
      </c>
      <c r="AC232">
        <f t="shared" si="57"/>
        <v>5</v>
      </c>
      <c r="AD232">
        <f t="shared" si="58"/>
        <v>11</v>
      </c>
      <c r="AE232" t="str">
        <f t="shared" si="59"/>
        <v>Karnpka Marketplace</v>
      </c>
      <c r="AF232" t="s">
        <v>128</v>
      </c>
      <c r="AG232" t="s">
        <v>133</v>
      </c>
      <c r="AH232" t="s">
        <v>133</v>
      </c>
    </row>
    <row r="233" spans="1:34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t="s">
        <v>21</v>
      </c>
      <c r="Q233" t="str">
        <f t="shared" si="45"/>
        <v>ard</v>
      </c>
      <c r="R233" t="str">
        <f t="shared" si="46"/>
        <v>omic</v>
      </c>
      <c r="S233">
        <f t="shared" si="47"/>
        <v>6</v>
      </c>
      <c r="T233" t="str">
        <f t="shared" si="48"/>
        <v>Comics</v>
      </c>
      <c r="U233">
        <f t="shared" si="49"/>
        <v>6</v>
      </c>
      <c r="V233" t="str">
        <f t="shared" si="50"/>
        <v>COMICS</v>
      </c>
      <c r="W233" t="str">
        <f t="shared" si="51"/>
        <v>comics</v>
      </c>
      <c r="X233" t="str">
        <f t="shared" si="52"/>
        <v>Comics</v>
      </c>
      <c r="Y233" t="str">
        <f t="shared" si="53"/>
        <v>West Bengal 1</v>
      </c>
      <c r="Z233" t="str">
        <f t="shared" si="54"/>
        <v>BrandA1</v>
      </c>
      <c r="AA233" t="str">
        <f t="shared" si="55"/>
        <v>BrandA 1</v>
      </c>
      <c r="AB233" t="str">
        <f t="shared" si="56"/>
        <v>West Bengal Mobile App</v>
      </c>
      <c r="AC233">
        <f t="shared" si="57"/>
        <v>6</v>
      </c>
      <c r="AD233">
        <f t="shared" si="58"/>
        <v>13</v>
      </c>
      <c r="AE233" t="str">
        <f t="shared" si="59"/>
        <v>Westpngal Mobile App</v>
      </c>
      <c r="AF233" t="s">
        <v>127</v>
      </c>
      <c r="AG233" t="s">
        <v>131</v>
      </c>
      <c r="AH233" t="s">
        <v>134</v>
      </c>
    </row>
    <row r="234" spans="1:34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t="s">
        <v>47</v>
      </c>
      <c r="Q234" t="str">
        <f t="shared" si="45"/>
        <v>UPI</v>
      </c>
      <c r="R234" t="str">
        <f t="shared" si="46"/>
        <v>urta</v>
      </c>
      <c r="S234">
        <f t="shared" si="47"/>
        <v>8</v>
      </c>
      <c r="T234" t="str">
        <f t="shared" si="48"/>
        <v>Curtains</v>
      </c>
      <c r="U234">
        <f t="shared" si="49"/>
        <v>8</v>
      </c>
      <c r="V234" t="str">
        <f t="shared" si="50"/>
        <v>CURTAINS</v>
      </c>
      <c r="W234" t="str">
        <f t="shared" si="51"/>
        <v>curtains</v>
      </c>
      <c r="X234" t="str">
        <f t="shared" si="52"/>
        <v>Curtains</v>
      </c>
      <c r="Y234" t="str">
        <f t="shared" si="53"/>
        <v>Telangana 1</v>
      </c>
      <c r="Z234" t="str">
        <f t="shared" si="54"/>
        <v>BrandB1</v>
      </c>
      <c r="AA234" t="str">
        <f t="shared" si="55"/>
        <v>BrandB 1</v>
      </c>
      <c r="AB234" t="str">
        <f t="shared" si="56"/>
        <v>Telangana Mobile App</v>
      </c>
      <c r="AC234">
        <f t="shared" si="57"/>
        <v>6</v>
      </c>
      <c r="AD234">
        <f t="shared" si="58"/>
        <v>11</v>
      </c>
      <c r="AE234" t="str">
        <f t="shared" si="59"/>
        <v>Telapna Mobile App</v>
      </c>
      <c r="AF234" t="s">
        <v>129</v>
      </c>
      <c r="AG234" t="s">
        <v>131</v>
      </c>
      <c r="AH234" t="s">
        <v>134</v>
      </c>
    </row>
    <row r="235" spans="1:34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t="s">
        <v>33</v>
      </c>
      <c r="Q235" t="str">
        <f t="shared" si="45"/>
        <v>UPI</v>
      </c>
      <c r="R235" t="str">
        <f t="shared" si="46"/>
        <v>-Shi</v>
      </c>
      <c r="S235">
        <f t="shared" si="47"/>
        <v>7</v>
      </c>
      <c r="T235" t="str">
        <f t="shared" si="48"/>
        <v>T-Shirt</v>
      </c>
      <c r="U235">
        <f t="shared" si="49"/>
        <v>7</v>
      </c>
      <c r="V235" t="str">
        <f t="shared" si="50"/>
        <v>T-SHIRT</v>
      </c>
      <c r="W235" t="str">
        <f t="shared" si="51"/>
        <v>t-shirt</v>
      </c>
      <c r="X235" t="str">
        <f t="shared" si="52"/>
        <v>T-Shirt</v>
      </c>
      <c r="Y235" t="str">
        <f t="shared" si="53"/>
        <v>Delhi 7</v>
      </c>
      <c r="Z235" t="str">
        <f t="shared" si="54"/>
        <v>BrandE7</v>
      </c>
      <c r="AA235" t="str">
        <f t="shared" si="55"/>
        <v>BrandE 7</v>
      </c>
      <c r="AB235" t="str">
        <f t="shared" si="56"/>
        <v>Delhi Marketplace</v>
      </c>
      <c r="AC235">
        <f t="shared" si="57"/>
        <v>5</v>
      </c>
      <c r="AD235">
        <f t="shared" si="58"/>
        <v>7</v>
      </c>
      <c r="AE235" t="str">
        <f t="shared" si="59"/>
        <v>Delhparketplace</v>
      </c>
      <c r="AF235" t="s">
        <v>125</v>
      </c>
      <c r="AG235" t="s">
        <v>133</v>
      </c>
      <c r="AH235" t="s">
        <v>133</v>
      </c>
    </row>
    <row r="236" spans="1:34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t="s">
        <v>47</v>
      </c>
      <c r="Q236" t="str">
        <f t="shared" si="45"/>
        <v>ery</v>
      </c>
      <c r="R236" t="str">
        <f t="shared" si="46"/>
        <v>erfu</v>
      </c>
      <c r="S236">
        <f t="shared" si="47"/>
        <v>7</v>
      </c>
      <c r="T236" t="str">
        <f t="shared" si="48"/>
        <v>Perfume</v>
      </c>
      <c r="U236">
        <f t="shared" si="49"/>
        <v>7</v>
      </c>
      <c r="V236" t="str">
        <f t="shared" si="50"/>
        <v>PERFUME</v>
      </c>
      <c r="W236" t="str">
        <f t="shared" si="51"/>
        <v>perfume</v>
      </c>
      <c r="X236" t="str">
        <f t="shared" si="52"/>
        <v>Perfume</v>
      </c>
      <c r="Y236" t="str">
        <f t="shared" si="53"/>
        <v>West Bengal 9</v>
      </c>
      <c r="Z236" t="str">
        <f t="shared" si="54"/>
        <v>BrandB9</v>
      </c>
      <c r="AA236" t="str">
        <f t="shared" si="55"/>
        <v>BrandB 9</v>
      </c>
      <c r="AB236" t="str">
        <f t="shared" si="56"/>
        <v>West Bengal Mobile App</v>
      </c>
      <c r="AC236">
        <f t="shared" si="57"/>
        <v>6</v>
      </c>
      <c r="AD236">
        <f t="shared" si="58"/>
        <v>13</v>
      </c>
      <c r="AE236" t="str">
        <f t="shared" si="59"/>
        <v>Westpngal Mobile App</v>
      </c>
      <c r="AF236" t="s">
        <v>127</v>
      </c>
      <c r="AG236" t="s">
        <v>131</v>
      </c>
      <c r="AH236" t="s">
        <v>134</v>
      </c>
    </row>
    <row r="237" spans="1:34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t="s">
        <v>33</v>
      </c>
      <c r="Q237" t="str">
        <f t="shared" si="45"/>
        <v>ard</v>
      </c>
      <c r="R237" t="str">
        <f t="shared" si="46"/>
        <v>erfu</v>
      </c>
      <c r="S237">
        <f t="shared" si="47"/>
        <v>7</v>
      </c>
      <c r="T237" t="str">
        <f t="shared" si="48"/>
        <v>Perfume</v>
      </c>
      <c r="U237">
        <f t="shared" si="49"/>
        <v>7</v>
      </c>
      <c r="V237" t="str">
        <f t="shared" si="50"/>
        <v>PERFUME</v>
      </c>
      <c r="W237" t="str">
        <f t="shared" si="51"/>
        <v>perfume</v>
      </c>
      <c r="X237" t="str">
        <f t="shared" si="52"/>
        <v>Perfume</v>
      </c>
      <c r="Y237" t="str">
        <f t="shared" si="53"/>
        <v>Delhi 7</v>
      </c>
      <c r="Z237" t="str">
        <f t="shared" si="54"/>
        <v>BrandE7</v>
      </c>
      <c r="AA237" t="str">
        <f t="shared" si="55"/>
        <v>BrandE 7</v>
      </c>
      <c r="AB237" t="str">
        <f t="shared" si="56"/>
        <v>Delhi Marketplace</v>
      </c>
      <c r="AC237">
        <f t="shared" si="57"/>
        <v>5</v>
      </c>
      <c r="AD237">
        <f t="shared" si="58"/>
        <v>7</v>
      </c>
      <c r="AE237" t="str">
        <f t="shared" si="59"/>
        <v>Delhparketplace</v>
      </c>
      <c r="AF237" t="s">
        <v>125</v>
      </c>
      <c r="AG237" t="s">
        <v>133</v>
      </c>
      <c r="AH237" t="s">
        <v>133</v>
      </c>
    </row>
    <row r="238" spans="1:34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t="s">
        <v>21</v>
      </c>
      <c r="Q238" t="str">
        <f t="shared" si="45"/>
        <v>ard</v>
      </c>
      <c r="R238" t="str">
        <f t="shared" si="46"/>
        <v>ixer</v>
      </c>
      <c r="S238">
        <f t="shared" si="47"/>
        <v>13</v>
      </c>
      <c r="T238" t="str">
        <f t="shared" si="48"/>
        <v>Mixer Grinder</v>
      </c>
      <c r="U238">
        <f t="shared" si="49"/>
        <v>13</v>
      </c>
      <c r="V238" t="str">
        <f t="shared" si="50"/>
        <v>MIXER GRINDER</v>
      </c>
      <c r="W238" t="str">
        <f t="shared" si="51"/>
        <v>mixer grinder</v>
      </c>
      <c r="X238" t="str">
        <f t="shared" si="52"/>
        <v>Mixer Grinder</v>
      </c>
      <c r="Y238" t="str">
        <f t="shared" si="53"/>
        <v>Telangana 5</v>
      </c>
      <c r="Z238" t="str">
        <f t="shared" si="54"/>
        <v>BrandA5</v>
      </c>
      <c r="AA238" t="str">
        <f t="shared" si="55"/>
        <v>BrandA 5</v>
      </c>
      <c r="AB238" t="str">
        <f t="shared" si="56"/>
        <v>Telangana Mobile App</v>
      </c>
      <c r="AC238">
        <f t="shared" si="57"/>
        <v>6</v>
      </c>
      <c r="AD238">
        <f t="shared" si="58"/>
        <v>11</v>
      </c>
      <c r="AE238" t="str">
        <f t="shared" si="59"/>
        <v>Telapna Mobile App</v>
      </c>
      <c r="AF238" t="s">
        <v>129</v>
      </c>
      <c r="AG238" t="s">
        <v>131</v>
      </c>
      <c r="AH238" t="s">
        <v>134</v>
      </c>
    </row>
    <row r="239" spans="1:34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t="s">
        <v>45</v>
      </c>
      <c r="Q239" t="str">
        <f t="shared" si="45"/>
        <v>ery</v>
      </c>
      <c r="R239" t="str">
        <f t="shared" si="46"/>
        <v>extb</v>
      </c>
      <c r="S239">
        <f t="shared" si="47"/>
        <v>8</v>
      </c>
      <c r="T239" t="str">
        <f t="shared" si="48"/>
        <v>Textbook</v>
      </c>
      <c r="U239">
        <f t="shared" si="49"/>
        <v>8</v>
      </c>
      <c r="V239" t="str">
        <f t="shared" si="50"/>
        <v>TEXTBOOK</v>
      </c>
      <c r="W239" t="str">
        <f t="shared" si="51"/>
        <v>textbook</v>
      </c>
      <c r="X239" t="str">
        <f t="shared" si="52"/>
        <v>Textbook</v>
      </c>
      <c r="Y239" t="str">
        <f t="shared" si="53"/>
        <v>Karnataka 8</v>
      </c>
      <c r="Z239" t="str">
        <f t="shared" si="54"/>
        <v>BrandC8</v>
      </c>
      <c r="AA239" t="str">
        <f t="shared" si="55"/>
        <v>BrandC 8</v>
      </c>
      <c r="AB239" t="str">
        <f t="shared" si="56"/>
        <v>Karnataka Website</v>
      </c>
      <c r="AC239">
        <f t="shared" si="57"/>
        <v>2</v>
      </c>
      <c r="AD239" t="e">
        <f t="shared" si="58"/>
        <v>#VALUE!</v>
      </c>
      <c r="AE239" t="str">
        <f t="shared" si="59"/>
        <v>Karnpka Website</v>
      </c>
      <c r="AF239" t="s">
        <v>128</v>
      </c>
      <c r="AG239" t="s">
        <v>132</v>
      </c>
      <c r="AH239" t="s">
        <v>132</v>
      </c>
    </row>
    <row r="240" spans="1:34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t="s">
        <v>47</v>
      </c>
      <c r="Q240" t="str">
        <f t="shared" si="45"/>
        <v>ard</v>
      </c>
      <c r="R240" t="str">
        <f t="shared" si="46"/>
        <v>apto</v>
      </c>
      <c r="S240">
        <f t="shared" si="47"/>
        <v>6</v>
      </c>
      <c r="T240" t="str">
        <f t="shared" si="48"/>
        <v>Laptop</v>
      </c>
      <c r="U240">
        <f t="shared" si="49"/>
        <v>6</v>
      </c>
      <c r="V240" t="str">
        <f t="shared" si="50"/>
        <v>LAPTOP</v>
      </c>
      <c r="W240" t="str">
        <f t="shared" si="51"/>
        <v>laptop</v>
      </c>
      <c r="X240" t="str">
        <f t="shared" si="52"/>
        <v>Laptop</v>
      </c>
      <c r="Y240" t="str">
        <f t="shared" si="53"/>
        <v>Telangana 2</v>
      </c>
      <c r="Z240" t="str">
        <f t="shared" si="54"/>
        <v>BrandB2</v>
      </c>
      <c r="AA240" t="str">
        <f t="shared" si="55"/>
        <v>BrandB 2</v>
      </c>
      <c r="AB240" t="str">
        <f t="shared" si="56"/>
        <v>Telangana Website</v>
      </c>
      <c r="AC240">
        <f t="shared" si="57"/>
        <v>2</v>
      </c>
      <c r="AD240" t="e">
        <f t="shared" si="58"/>
        <v>#VALUE!</v>
      </c>
      <c r="AE240" t="str">
        <f t="shared" si="59"/>
        <v>Telapna Website</v>
      </c>
      <c r="AF240" t="s">
        <v>129</v>
      </c>
      <c r="AG240" t="s">
        <v>132</v>
      </c>
      <c r="AH240" t="s">
        <v>132</v>
      </c>
    </row>
    <row r="241" spans="1:34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t="s">
        <v>45</v>
      </c>
      <c r="Q241" t="str">
        <f t="shared" si="45"/>
        <v>ing</v>
      </c>
      <c r="R241" t="str">
        <f t="shared" si="46"/>
        <v>iogr</v>
      </c>
      <c r="S241">
        <f t="shared" si="47"/>
        <v>9</v>
      </c>
      <c r="T241" t="str">
        <f t="shared" si="48"/>
        <v>Biography</v>
      </c>
      <c r="U241">
        <f t="shared" si="49"/>
        <v>9</v>
      </c>
      <c r="V241" t="str">
        <f t="shared" si="50"/>
        <v>BIOGRAPHY</v>
      </c>
      <c r="W241" t="str">
        <f t="shared" si="51"/>
        <v>biography</v>
      </c>
      <c r="X241" t="str">
        <f t="shared" si="52"/>
        <v>Biography</v>
      </c>
      <c r="Y241" t="str">
        <f t="shared" si="53"/>
        <v>Karnataka 9</v>
      </c>
      <c r="Z241" t="str">
        <f t="shared" si="54"/>
        <v>BrandC9</v>
      </c>
      <c r="AA241" t="str">
        <f t="shared" si="55"/>
        <v>BrandC 9</v>
      </c>
      <c r="AB241" t="str">
        <f t="shared" si="56"/>
        <v>Karnataka Mobile App</v>
      </c>
      <c r="AC241">
        <f t="shared" si="57"/>
        <v>6</v>
      </c>
      <c r="AD241">
        <f t="shared" si="58"/>
        <v>11</v>
      </c>
      <c r="AE241" t="str">
        <f t="shared" si="59"/>
        <v>Karnpka Mobile App</v>
      </c>
      <c r="AF241" t="s">
        <v>128</v>
      </c>
      <c r="AG241" t="s">
        <v>131</v>
      </c>
      <c r="AH241" t="s">
        <v>134</v>
      </c>
    </row>
    <row r="242" spans="1:34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t="s">
        <v>33</v>
      </c>
      <c r="Q242" t="str">
        <f t="shared" si="45"/>
        <v>ard</v>
      </c>
      <c r="R242" t="str">
        <f t="shared" si="46"/>
        <v>ookw</v>
      </c>
      <c r="S242">
        <f t="shared" si="47"/>
        <v>12</v>
      </c>
      <c r="T242" t="str">
        <f t="shared" si="48"/>
        <v>Cookware Set</v>
      </c>
      <c r="U242">
        <f t="shared" si="49"/>
        <v>12</v>
      </c>
      <c r="V242" t="str">
        <f t="shared" si="50"/>
        <v>COOKWARE SET</v>
      </c>
      <c r="W242" t="str">
        <f t="shared" si="51"/>
        <v>cookware set</v>
      </c>
      <c r="X242" t="str">
        <f t="shared" si="52"/>
        <v>Cookware Set</v>
      </c>
      <c r="Y242" t="str">
        <f t="shared" si="53"/>
        <v>Telangana 6</v>
      </c>
      <c r="Z242" t="str">
        <f t="shared" si="54"/>
        <v>BrandE6</v>
      </c>
      <c r="AA242" t="str">
        <f t="shared" si="55"/>
        <v>BrandE 6</v>
      </c>
      <c r="AB242" t="str">
        <f t="shared" si="56"/>
        <v>Telangana Marketplace</v>
      </c>
      <c r="AC242">
        <f t="shared" si="57"/>
        <v>5</v>
      </c>
      <c r="AD242">
        <f t="shared" si="58"/>
        <v>11</v>
      </c>
      <c r="AE242" t="str">
        <f t="shared" si="59"/>
        <v>Telapna Marketplace</v>
      </c>
      <c r="AF242" t="s">
        <v>129</v>
      </c>
      <c r="AG242" t="s">
        <v>133</v>
      </c>
      <c r="AH242" t="s">
        <v>133</v>
      </c>
    </row>
    <row r="243" spans="1:34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t="s">
        <v>47</v>
      </c>
      <c r="Q243" t="str">
        <f t="shared" si="45"/>
        <v>UPI</v>
      </c>
      <c r="R243" t="str">
        <f t="shared" si="46"/>
        <v xml:space="preserve">ace </v>
      </c>
      <c r="S243">
        <f t="shared" si="47"/>
        <v>10</v>
      </c>
      <c r="T243" t="str">
        <f t="shared" si="48"/>
        <v>Face Cream</v>
      </c>
      <c r="U243">
        <f t="shared" si="49"/>
        <v>10</v>
      </c>
      <c r="V243" t="str">
        <f t="shared" si="50"/>
        <v>FACE CREAM</v>
      </c>
      <c r="W243" t="str">
        <f t="shared" si="51"/>
        <v>face cream</v>
      </c>
      <c r="X243" t="str">
        <f t="shared" si="52"/>
        <v>Face Cream</v>
      </c>
      <c r="Y243" t="str">
        <f t="shared" si="53"/>
        <v>West Bengal 9</v>
      </c>
      <c r="Z243" t="str">
        <f t="shared" si="54"/>
        <v>BrandB9</v>
      </c>
      <c r="AA243" t="str">
        <f t="shared" si="55"/>
        <v>BrandB 9</v>
      </c>
      <c r="AB243" t="str">
        <f t="shared" si="56"/>
        <v>West Bengal Website</v>
      </c>
      <c r="AC243">
        <f t="shared" si="57"/>
        <v>2</v>
      </c>
      <c r="AD243" t="e">
        <f t="shared" si="58"/>
        <v>#VALUE!</v>
      </c>
      <c r="AE243" t="str">
        <f t="shared" si="59"/>
        <v>Westpngal Website</v>
      </c>
      <c r="AF243" t="s">
        <v>127</v>
      </c>
      <c r="AG243" t="s">
        <v>132</v>
      </c>
      <c r="AH243" t="s">
        <v>132</v>
      </c>
    </row>
    <row r="244" spans="1:34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t="s">
        <v>28</v>
      </c>
      <c r="Q244" t="str">
        <f t="shared" si="45"/>
        <v>ard</v>
      </c>
      <c r="R244" t="str">
        <f t="shared" si="46"/>
        <v>omic</v>
      </c>
      <c r="S244">
        <f t="shared" si="47"/>
        <v>6</v>
      </c>
      <c r="T244" t="str">
        <f t="shared" si="48"/>
        <v>Comics</v>
      </c>
      <c r="U244">
        <f t="shared" si="49"/>
        <v>6</v>
      </c>
      <c r="V244" t="str">
        <f t="shared" si="50"/>
        <v>COMICS</v>
      </c>
      <c r="W244" t="str">
        <f t="shared" si="51"/>
        <v>comics</v>
      </c>
      <c r="X244" t="str">
        <f t="shared" si="52"/>
        <v>Comics</v>
      </c>
      <c r="Y244" t="str">
        <f t="shared" si="53"/>
        <v>Tamil Nadu 2</v>
      </c>
      <c r="Z244" t="str">
        <f t="shared" si="54"/>
        <v>BrandD2</v>
      </c>
      <c r="AA244" t="str">
        <f t="shared" si="55"/>
        <v>BrandD 2</v>
      </c>
      <c r="AB244" t="str">
        <f t="shared" si="56"/>
        <v>Tamil Nadu Marketplace</v>
      </c>
      <c r="AC244">
        <f t="shared" si="57"/>
        <v>5</v>
      </c>
      <c r="AD244">
        <f t="shared" si="58"/>
        <v>3</v>
      </c>
      <c r="AE244" t="str">
        <f t="shared" si="59"/>
        <v>Tamipadu Marketplace</v>
      </c>
      <c r="AF244" t="s">
        <v>126</v>
      </c>
      <c r="AG244" t="s">
        <v>133</v>
      </c>
      <c r="AH244" t="s">
        <v>133</v>
      </c>
    </row>
    <row r="245" spans="1:34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t="s">
        <v>45</v>
      </c>
      <c r="Q245" t="str">
        <f t="shared" si="45"/>
        <v>UPI</v>
      </c>
      <c r="R245" t="str">
        <f t="shared" si="46"/>
        <v>hamp</v>
      </c>
      <c r="S245">
        <f t="shared" si="47"/>
        <v>7</v>
      </c>
      <c r="T245" t="str">
        <f t="shared" si="48"/>
        <v>Shampoo</v>
      </c>
      <c r="U245">
        <f t="shared" si="49"/>
        <v>7</v>
      </c>
      <c r="V245" t="str">
        <f t="shared" si="50"/>
        <v>SHAMPOO</v>
      </c>
      <c r="W245" t="str">
        <f t="shared" si="51"/>
        <v>shampoo</v>
      </c>
      <c r="X245" t="str">
        <f t="shared" si="52"/>
        <v>Shampoo</v>
      </c>
      <c r="Y245" t="str">
        <f t="shared" si="53"/>
        <v>West Bengal 3</v>
      </c>
      <c r="Z245" t="str">
        <f t="shared" si="54"/>
        <v>BrandC3</v>
      </c>
      <c r="AA245" t="str">
        <f t="shared" si="55"/>
        <v>BrandC 3</v>
      </c>
      <c r="AB245" t="str">
        <f t="shared" si="56"/>
        <v>West Bengal Mobile App</v>
      </c>
      <c r="AC245">
        <f t="shared" si="57"/>
        <v>6</v>
      </c>
      <c r="AD245">
        <f t="shared" si="58"/>
        <v>13</v>
      </c>
      <c r="AE245" t="str">
        <f t="shared" si="59"/>
        <v>Westpngal Mobile App</v>
      </c>
      <c r="AF245" t="s">
        <v>127</v>
      </c>
      <c r="AG245" t="s">
        <v>131</v>
      </c>
      <c r="AH245" t="s">
        <v>134</v>
      </c>
    </row>
    <row r="246" spans="1:34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t="s">
        <v>47</v>
      </c>
      <c r="Q246" t="str">
        <f t="shared" si="45"/>
        <v>ing</v>
      </c>
      <c r="R246" t="str">
        <f t="shared" si="46"/>
        <v>mart</v>
      </c>
      <c r="S246">
        <f t="shared" si="47"/>
        <v>10</v>
      </c>
      <c r="T246" t="str">
        <f t="shared" si="48"/>
        <v>Smartwatch</v>
      </c>
      <c r="U246">
        <f t="shared" si="49"/>
        <v>10</v>
      </c>
      <c r="V246" t="str">
        <f t="shared" si="50"/>
        <v>SMARTWATCH</v>
      </c>
      <c r="W246" t="str">
        <f t="shared" si="51"/>
        <v>smartwatch</v>
      </c>
      <c r="X246" t="str">
        <f t="shared" si="52"/>
        <v>Smartwatch</v>
      </c>
      <c r="Y246" t="str">
        <f t="shared" si="53"/>
        <v>Delhi 8</v>
      </c>
      <c r="Z246" t="str">
        <f t="shared" si="54"/>
        <v>BrandB8</v>
      </c>
      <c r="AA246" t="str">
        <f t="shared" si="55"/>
        <v>BrandB 8</v>
      </c>
      <c r="AB246" t="str">
        <f t="shared" si="56"/>
        <v>Delhi Marketplace</v>
      </c>
      <c r="AC246">
        <f t="shared" si="57"/>
        <v>5</v>
      </c>
      <c r="AD246">
        <f t="shared" si="58"/>
        <v>7</v>
      </c>
      <c r="AE246" t="str">
        <f t="shared" si="59"/>
        <v>Delhparketplace</v>
      </c>
      <c r="AF246" t="s">
        <v>125</v>
      </c>
      <c r="AG246" t="s">
        <v>133</v>
      </c>
      <c r="AH246" t="s">
        <v>133</v>
      </c>
    </row>
    <row r="247" spans="1:34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t="s">
        <v>45</v>
      </c>
      <c r="Q247" t="str">
        <f t="shared" si="45"/>
        <v>ard</v>
      </c>
      <c r="R247" t="str">
        <f t="shared" si="46"/>
        <v>hamp</v>
      </c>
      <c r="S247">
        <f t="shared" si="47"/>
        <v>7</v>
      </c>
      <c r="T247" t="str">
        <f t="shared" si="48"/>
        <v>Shampoo</v>
      </c>
      <c r="U247">
        <f t="shared" si="49"/>
        <v>7</v>
      </c>
      <c r="V247" t="str">
        <f t="shared" si="50"/>
        <v>SHAMPOO</v>
      </c>
      <c r="W247" t="str">
        <f t="shared" si="51"/>
        <v>shampoo</v>
      </c>
      <c r="X247" t="str">
        <f t="shared" si="52"/>
        <v>Shampoo</v>
      </c>
      <c r="Y247" t="str">
        <f t="shared" si="53"/>
        <v>West Bengal 1</v>
      </c>
      <c r="Z247" t="str">
        <f t="shared" si="54"/>
        <v>BrandC1</v>
      </c>
      <c r="AA247" t="str">
        <f t="shared" si="55"/>
        <v>BrandC 1</v>
      </c>
      <c r="AB247" t="str">
        <f t="shared" si="56"/>
        <v>West Bengal Website</v>
      </c>
      <c r="AC247">
        <f t="shared" si="57"/>
        <v>2</v>
      </c>
      <c r="AD247" t="e">
        <f t="shared" si="58"/>
        <v>#VALUE!</v>
      </c>
      <c r="AE247" t="str">
        <f t="shared" si="59"/>
        <v>Westpngal Website</v>
      </c>
      <c r="AF247" t="s">
        <v>127</v>
      </c>
      <c r="AG247" t="s">
        <v>132</v>
      </c>
      <c r="AH247" t="s">
        <v>132</v>
      </c>
    </row>
    <row r="248" spans="1:34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t="s">
        <v>47</v>
      </c>
      <c r="Q248" t="str">
        <f t="shared" si="45"/>
        <v>ery</v>
      </c>
      <c r="R248" t="str">
        <f t="shared" si="46"/>
        <v xml:space="preserve">ace </v>
      </c>
      <c r="S248">
        <f t="shared" si="47"/>
        <v>10</v>
      </c>
      <c r="T248" t="str">
        <f t="shared" si="48"/>
        <v>Face Cream</v>
      </c>
      <c r="U248">
        <f t="shared" si="49"/>
        <v>10</v>
      </c>
      <c r="V248" t="str">
        <f t="shared" si="50"/>
        <v>FACE CREAM</v>
      </c>
      <c r="W248" t="str">
        <f t="shared" si="51"/>
        <v>face cream</v>
      </c>
      <c r="X248" t="str">
        <f t="shared" si="52"/>
        <v>Face Cream</v>
      </c>
      <c r="Y248" t="str">
        <f t="shared" si="53"/>
        <v>Maharashtra 7</v>
      </c>
      <c r="Z248" t="str">
        <f t="shared" si="54"/>
        <v>BrandB7</v>
      </c>
      <c r="AA248" t="str">
        <f t="shared" si="55"/>
        <v>BrandB 7</v>
      </c>
      <c r="AB248" t="str">
        <f t="shared" si="56"/>
        <v>Maharashtra Marketplace</v>
      </c>
      <c r="AC248">
        <f t="shared" si="57"/>
        <v>5</v>
      </c>
      <c r="AD248">
        <f t="shared" si="58"/>
        <v>1</v>
      </c>
      <c r="AE248" t="str">
        <f t="shared" si="59"/>
        <v>Mahaphtra Marketplace</v>
      </c>
      <c r="AF248" t="s">
        <v>130</v>
      </c>
      <c r="AG248" t="s">
        <v>133</v>
      </c>
      <c r="AH248" t="s">
        <v>133</v>
      </c>
    </row>
    <row r="249" spans="1:34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t="s">
        <v>21</v>
      </c>
      <c r="Q249" t="str">
        <f t="shared" si="45"/>
        <v>ing</v>
      </c>
      <c r="R249" t="str">
        <f t="shared" si="46"/>
        <v>acke</v>
      </c>
      <c r="S249">
        <f t="shared" si="47"/>
        <v>6</v>
      </c>
      <c r="T249" t="str">
        <f t="shared" si="48"/>
        <v>Jacket</v>
      </c>
      <c r="U249">
        <f t="shared" si="49"/>
        <v>6</v>
      </c>
      <c r="V249" t="str">
        <f t="shared" si="50"/>
        <v>JACKET</v>
      </c>
      <c r="W249" t="str">
        <f t="shared" si="51"/>
        <v>jacket</v>
      </c>
      <c r="X249" t="str">
        <f t="shared" si="52"/>
        <v>Jacket</v>
      </c>
      <c r="Y249" t="str">
        <f t="shared" si="53"/>
        <v>Delhi 7</v>
      </c>
      <c r="Z249" t="str">
        <f t="shared" si="54"/>
        <v>BrandA7</v>
      </c>
      <c r="AA249" t="str">
        <f t="shared" si="55"/>
        <v>BrandA 7</v>
      </c>
      <c r="AB249" t="str">
        <f t="shared" si="56"/>
        <v>Delhi Marketplace</v>
      </c>
      <c r="AC249">
        <f t="shared" si="57"/>
        <v>5</v>
      </c>
      <c r="AD249">
        <f t="shared" si="58"/>
        <v>7</v>
      </c>
      <c r="AE249" t="str">
        <f t="shared" si="59"/>
        <v>Delhparketplace</v>
      </c>
      <c r="AF249" t="s">
        <v>125</v>
      </c>
      <c r="AG249" t="s">
        <v>133</v>
      </c>
      <c r="AH249" t="s">
        <v>133</v>
      </c>
    </row>
    <row r="250" spans="1:34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t="s">
        <v>45</v>
      </c>
      <c r="Q250" t="str">
        <f t="shared" si="45"/>
        <v>ard</v>
      </c>
      <c r="R250" t="str">
        <f t="shared" si="46"/>
        <v>eans</v>
      </c>
      <c r="S250">
        <f t="shared" si="47"/>
        <v>5</v>
      </c>
      <c r="T250" t="str">
        <f t="shared" si="48"/>
        <v>Jeans</v>
      </c>
      <c r="U250">
        <f t="shared" si="49"/>
        <v>5</v>
      </c>
      <c r="V250" t="str">
        <f t="shared" si="50"/>
        <v>JEANS</v>
      </c>
      <c r="W250" t="str">
        <f t="shared" si="51"/>
        <v>jeans</v>
      </c>
      <c r="X250" t="str">
        <f t="shared" si="52"/>
        <v>Jeans</v>
      </c>
      <c r="Y250" t="str">
        <f t="shared" si="53"/>
        <v>Telangana 1</v>
      </c>
      <c r="Z250" t="str">
        <f t="shared" si="54"/>
        <v>BrandC1</v>
      </c>
      <c r="AA250" t="str">
        <f t="shared" si="55"/>
        <v>BrandC 1</v>
      </c>
      <c r="AB250" t="str">
        <f t="shared" si="56"/>
        <v>Telangana Mobile App</v>
      </c>
      <c r="AC250">
        <f t="shared" si="57"/>
        <v>6</v>
      </c>
      <c r="AD250">
        <f t="shared" si="58"/>
        <v>11</v>
      </c>
      <c r="AE250" t="str">
        <f t="shared" si="59"/>
        <v>Telapna Mobile App</v>
      </c>
      <c r="AF250" t="s">
        <v>129</v>
      </c>
      <c r="AG250" t="s">
        <v>131</v>
      </c>
      <c r="AH250" t="s">
        <v>134</v>
      </c>
    </row>
    <row r="251" spans="1:34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t="s">
        <v>28</v>
      </c>
      <c r="Q251" t="str">
        <f t="shared" si="45"/>
        <v>ery</v>
      </c>
      <c r="R251" t="str">
        <f t="shared" si="46"/>
        <v>umbb</v>
      </c>
      <c r="S251">
        <f t="shared" si="47"/>
        <v>9</v>
      </c>
      <c r="T251" t="str">
        <f t="shared" si="48"/>
        <v>Dumbbells</v>
      </c>
      <c r="U251">
        <f t="shared" si="49"/>
        <v>9</v>
      </c>
      <c r="V251" t="str">
        <f t="shared" si="50"/>
        <v>DUMBBELLS</v>
      </c>
      <c r="W251" t="str">
        <f t="shared" si="51"/>
        <v>dumbbells</v>
      </c>
      <c r="X251" t="str">
        <f t="shared" si="52"/>
        <v>Dumbbells</v>
      </c>
      <c r="Y251" t="str">
        <f t="shared" si="53"/>
        <v>Delhi 9</v>
      </c>
      <c r="Z251" t="str">
        <f t="shared" si="54"/>
        <v>BrandD9</v>
      </c>
      <c r="AA251" t="str">
        <f t="shared" si="55"/>
        <v>BrandD 9</v>
      </c>
      <c r="AB251" t="str">
        <f t="shared" si="56"/>
        <v>Delhi Mobile App</v>
      </c>
      <c r="AC251">
        <f t="shared" si="57"/>
        <v>6</v>
      </c>
      <c r="AD251">
        <f t="shared" si="58"/>
        <v>7</v>
      </c>
      <c r="AE251" t="str">
        <f t="shared" si="59"/>
        <v>Delhpobile App</v>
      </c>
      <c r="AF251" t="s">
        <v>125</v>
      </c>
      <c r="AG251" t="s">
        <v>131</v>
      </c>
      <c r="AH251" t="s">
        <v>134</v>
      </c>
    </row>
    <row r="252" spans="1:34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t="s">
        <v>28</v>
      </c>
      <c r="Q252" t="str">
        <f t="shared" si="45"/>
        <v>ard</v>
      </c>
      <c r="R252" t="str">
        <f t="shared" si="46"/>
        <v>-Shi</v>
      </c>
      <c r="S252">
        <f t="shared" si="47"/>
        <v>7</v>
      </c>
      <c r="T252" t="str">
        <f t="shared" si="48"/>
        <v>T-Shirt</v>
      </c>
      <c r="U252">
        <f t="shared" si="49"/>
        <v>7</v>
      </c>
      <c r="V252" t="str">
        <f t="shared" si="50"/>
        <v>T-SHIRT</v>
      </c>
      <c r="W252" t="str">
        <f t="shared" si="51"/>
        <v>t-shirt</v>
      </c>
      <c r="X252" t="str">
        <f t="shared" si="52"/>
        <v>T-Shirt</v>
      </c>
      <c r="Y252" t="str">
        <f t="shared" si="53"/>
        <v>Tamil Nadu 8</v>
      </c>
      <c r="Z252" t="str">
        <f t="shared" si="54"/>
        <v>BrandD8</v>
      </c>
      <c r="AA252" t="str">
        <f t="shared" si="55"/>
        <v>BrandD 8</v>
      </c>
      <c r="AB252" t="str">
        <f t="shared" si="56"/>
        <v>Tamil Nadu Mobile App</v>
      </c>
      <c r="AC252">
        <f t="shared" si="57"/>
        <v>6</v>
      </c>
      <c r="AD252">
        <f t="shared" si="58"/>
        <v>3</v>
      </c>
      <c r="AE252" t="str">
        <f t="shared" si="59"/>
        <v>Tamipadu Mobile App</v>
      </c>
      <c r="AF252" t="s">
        <v>126</v>
      </c>
      <c r="AG252" t="s">
        <v>131</v>
      </c>
      <c r="AH252" t="s">
        <v>134</v>
      </c>
    </row>
    <row r="253" spans="1:34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t="s">
        <v>33</v>
      </c>
      <c r="Q253" t="str">
        <f t="shared" si="45"/>
        <v>ing</v>
      </c>
      <c r="R253" t="str">
        <f t="shared" si="46"/>
        <v>erfu</v>
      </c>
      <c r="S253">
        <f t="shared" si="47"/>
        <v>7</v>
      </c>
      <c r="T253" t="str">
        <f t="shared" si="48"/>
        <v>Perfume</v>
      </c>
      <c r="U253">
        <f t="shared" si="49"/>
        <v>7</v>
      </c>
      <c r="V253" t="str">
        <f t="shared" si="50"/>
        <v>PERFUME</v>
      </c>
      <c r="W253" t="str">
        <f t="shared" si="51"/>
        <v>perfume</v>
      </c>
      <c r="X253" t="str">
        <f t="shared" si="52"/>
        <v>Perfume</v>
      </c>
      <c r="Y253" t="str">
        <f t="shared" si="53"/>
        <v>Karnataka 4</v>
      </c>
      <c r="Z253" t="str">
        <f t="shared" si="54"/>
        <v>BrandE4</v>
      </c>
      <c r="AA253" t="str">
        <f t="shared" si="55"/>
        <v>BrandE 4</v>
      </c>
      <c r="AB253" t="str">
        <f t="shared" si="56"/>
        <v>Karnataka Website</v>
      </c>
      <c r="AC253">
        <f t="shared" si="57"/>
        <v>2</v>
      </c>
      <c r="AD253" t="e">
        <f t="shared" si="58"/>
        <v>#VALUE!</v>
      </c>
      <c r="AE253" t="str">
        <f t="shared" si="59"/>
        <v>Karnpka Website</v>
      </c>
      <c r="AF253" t="s">
        <v>128</v>
      </c>
      <c r="AG253" t="s">
        <v>132</v>
      </c>
      <c r="AH253" t="s">
        <v>132</v>
      </c>
    </row>
    <row r="254" spans="1:34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t="s">
        <v>47</v>
      </c>
      <c r="Q254" t="str">
        <f t="shared" si="45"/>
        <v>ery</v>
      </c>
      <c r="R254" t="str">
        <f t="shared" si="46"/>
        <v>ixer</v>
      </c>
      <c r="S254">
        <f t="shared" si="47"/>
        <v>13</v>
      </c>
      <c r="T254" t="str">
        <f t="shared" si="48"/>
        <v>Mixer Grinder</v>
      </c>
      <c r="U254">
        <f t="shared" si="49"/>
        <v>13</v>
      </c>
      <c r="V254" t="str">
        <f t="shared" si="50"/>
        <v>MIXER GRINDER</v>
      </c>
      <c r="W254" t="str">
        <f t="shared" si="51"/>
        <v>mixer grinder</v>
      </c>
      <c r="X254" t="str">
        <f t="shared" si="52"/>
        <v>Mixer Grinder</v>
      </c>
      <c r="Y254" t="str">
        <f t="shared" si="53"/>
        <v>Telangana 5</v>
      </c>
      <c r="Z254" t="str">
        <f t="shared" si="54"/>
        <v>BrandB5</v>
      </c>
      <c r="AA254" t="str">
        <f t="shared" si="55"/>
        <v>BrandB 5</v>
      </c>
      <c r="AB254" t="str">
        <f t="shared" si="56"/>
        <v>Telangana Website</v>
      </c>
      <c r="AC254">
        <f t="shared" si="57"/>
        <v>2</v>
      </c>
      <c r="AD254" t="e">
        <f t="shared" si="58"/>
        <v>#VALUE!</v>
      </c>
      <c r="AE254" t="str">
        <f t="shared" si="59"/>
        <v>Telapna Website</v>
      </c>
      <c r="AF254" t="s">
        <v>129</v>
      </c>
      <c r="AG254" t="s">
        <v>132</v>
      </c>
      <c r="AH254" t="s">
        <v>132</v>
      </c>
    </row>
    <row r="255" spans="1:34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t="s">
        <v>45</v>
      </c>
      <c r="Q255" t="str">
        <f t="shared" si="45"/>
        <v>ing</v>
      </c>
      <c r="R255" t="str">
        <f t="shared" si="46"/>
        <v xml:space="preserve">ace </v>
      </c>
      <c r="S255">
        <f t="shared" si="47"/>
        <v>10</v>
      </c>
      <c r="T255" t="str">
        <f t="shared" si="48"/>
        <v>Face Cream</v>
      </c>
      <c r="U255">
        <f t="shared" si="49"/>
        <v>10</v>
      </c>
      <c r="V255" t="str">
        <f t="shared" si="50"/>
        <v>FACE CREAM</v>
      </c>
      <c r="W255" t="str">
        <f t="shared" si="51"/>
        <v>face cream</v>
      </c>
      <c r="X255" t="str">
        <f t="shared" si="52"/>
        <v>Face Cream</v>
      </c>
      <c r="Y255" t="str">
        <f t="shared" si="53"/>
        <v>Delhi 2</v>
      </c>
      <c r="Z255" t="str">
        <f t="shared" si="54"/>
        <v>BrandC2</v>
      </c>
      <c r="AA255" t="str">
        <f t="shared" si="55"/>
        <v>BrandC 2</v>
      </c>
      <c r="AB255" t="str">
        <f t="shared" si="56"/>
        <v>Delhi Mobile App</v>
      </c>
      <c r="AC255">
        <f t="shared" si="57"/>
        <v>6</v>
      </c>
      <c r="AD255">
        <f t="shared" si="58"/>
        <v>7</v>
      </c>
      <c r="AE255" t="str">
        <f t="shared" si="59"/>
        <v>Delhpobile App</v>
      </c>
      <c r="AF255" t="s">
        <v>125</v>
      </c>
      <c r="AG255" t="s">
        <v>131</v>
      </c>
      <c r="AH255" t="s">
        <v>134</v>
      </c>
    </row>
    <row r="256" spans="1:34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t="s">
        <v>33</v>
      </c>
      <c r="Q256" t="str">
        <f t="shared" si="45"/>
        <v>ing</v>
      </c>
      <c r="R256" t="str">
        <f t="shared" si="46"/>
        <v>ixer</v>
      </c>
      <c r="S256">
        <f t="shared" si="47"/>
        <v>13</v>
      </c>
      <c r="T256" t="str">
        <f t="shared" si="48"/>
        <v>Mixer Grinder</v>
      </c>
      <c r="U256">
        <f t="shared" si="49"/>
        <v>13</v>
      </c>
      <c r="V256" t="str">
        <f t="shared" si="50"/>
        <v>MIXER GRINDER</v>
      </c>
      <c r="W256" t="str">
        <f t="shared" si="51"/>
        <v>mixer grinder</v>
      </c>
      <c r="X256" t="str">
        <f t="shared" si="52"/>
        <v>Mixer Grinder</v>
      </c>
      <c r="Y256" t="str">
        <f t="shared" si="53"/>
        <v>Telangana 9</v>
      </c>
      <c r="Z256" t="str">
        <f t="shared" si="54"/>
        <v>BrandE9</v>
      </c>
      <c r="AA256" t="str">
        <f t="shared" si="55"/>
        <v>BrandE 9</v>
      </c>
      <c r="AB256" t="str">
        <f t="shared" si="56"/>
        <v>Telangana Mobile App</v>
      </c>
      <c r="AC256">
        <f t="shared" si="57"/>
        <v>6</v>
      </c>
      <c r="AD256">
        <f t="shared" si="58"/>
        <v>11</v>
      </c>
      <c r="AE256" t="str">
        <f t="shared" si="59"/>
        <v>Telapna Mobile App</v>
      </c>
      <c r="AF256" t="s">
        <v>129</v>
      </c>
      <c r="AG256" t="s">
        <v>131</v>
      </c>
      <c r="AH256" t="s">
        <v>134</v>
      </c>
    </row>
    <row r="257" spans="1:34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t="s">
        <v>45</v>
      </c>
      <c r="Q257" t="str">
        <f t="shared" si="45"/>
        <v>ard</v>
      </c>
      <c r="R257" t="str">
        <f t="shared" si="46"/>
        <v>ixer</v>
      </c>
      <c r="S257">
        <f t="shared" si="47"/>
        <v>13</v>
      </c>
      <c r="T257" t="str">
        <f t="shared" si="48"/>
        <v>Mixer Grinder</v>
      </c>
      <c r="U257">
        <f t="shared" si="49"/>
        <v>13</v>
      </c>
      <c r="V257" t="str">
        <f t="shared" si="50"/>
        <v>MIXER GRINDER</v>
      </c>
      <c r="W257" t="str">
        <f t="shared" si="51"/>
        <v>mixer grinder</v>
      </c>
      <c r="X257" t="str">
        <f t="shared" si="52"/>
        <v>Mixer Grinder</v>
      </c>
      <c r="Y257" t="str">
        <f t="shared" si="53"/>
        <v>Telangana 6</v>
      </c>
      <c r="Z257" t="str">
        <f t="shared" si="54"/>
        <v>BrandC6</v>
      </c>
      <c r="AA257" t="str">
        <f t="shared" si="55"/>
        <v>BrandC 6</v>
      </c>
      <c r="AB257" t="str">
        <f t="shared" si="56"/>
        <v>Telangana Website</v>
      </c>
      <c r="AC257">
        <f t="shared" si="57"/>
        <v>2</v>
      </c>
      <c r="AD257" t="e">
        <f t="shared" si="58"/>
        <v>#VALUE!</v>
      </c>
      <c r="AE257" t="str">
        <f t="shared" si="59"/>
        <v>Telapna Website</v>
      </c>
      <c r="AF257" t="s">
        <v>129</v>
      </c>
      <c r="AG257" t="s">
        <v>132</v>
      </c>
      <c r="AH257" t="s">
        <v>132</v>
      </c>
    </row>
    <row r="258" spans="1:34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t="s">
        <v>47</v>
      </c>
      <c r="Q258" t="str">
        <f t="shared" si="45"/>
        <v>UPI</v>
      </c>
      <c r="R258" t="str">
        <f t="shared" si="46"/>
        <v>neak</v>
      </c>
      <c r="S258">
        <f t="shared" si="47"/>
        <v>8</v>
      </c>
      <c r="T258" t="str">
        <f t="shared" si="48"/>
        <v>Sneakers</v>
      </c>
      <c r="U258">
        <f t="shared" si="49"/>
        <v>8</v>
      </c>
      <c r="V258" t="str">
        <f t="shared" si="50"/>
        <v>SNEAKERS</v>
      </c>
      <c r="W258" t="str">
        <f t="shared" si="51"/>
        <v>sneakers</v>
      </c>
      <c r="X258" t="str">
        <f t="shared" si="52"/>
        <v>Sneakers</v>
      </c>
      <c r="Y258" t="str">
        <f t="shared" si="53"/>
        <v>Telangana 3</v>
      </c>
      <c r="Z258" t="str">
        <f t="shared" si="54"/>
        <v>BrandB3</v>
      </c>
      <c r="AA258" t="str">
        <f t="shared" si="55"/>
        <v>BrandB 3</v>
      </c>
      <c r="AB258" t="str">
        <f t="shared" si="56"/>
        <v>Telangana Website</v>
      </c>
      <c r="AC258">
        <f t="shared" si="57"/>
        <v>2</v>
      </c>
      <c r="AD258" t="e">
        <f t="shared" si="58"/>
        <v>#VALUE!</v>
      </c>
      <c r="AE258" t="str">
        <f t="shared" si="59"/>
        <v>Telapna Website</v>
      </c>
      <c r="AF258" t="s">
        <v>129</v>
      </c>
      <c r="AG258" t="s">
        <v>132</v>
      </c>
      <c r="AH258" t="s">
        <v>132</v>
      </c>
    </row>
    <row r="259" spans="1:34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t="s">
        <v>28</v>
      </c>
      <c r="Q259" t="str">
        <f t="shared" ref="Q259:Q322" si="60">RIGHT(H259,3)</f>
        <v>ery</v>
      </c>
      <c r="R259" t="str">
        <f t="shared" ref="R259:R322" si="61">MID(J259,2,4)</f>
        <v>omic</v>
      </c>
      <c r="S259">
        <f t="shared" ref="S259:S322" si="62">LEN(J259)</f>
        <v>6</v>
      </c>
      <c r="T259" t="str">
        <f t="shared" ref="T259:T322" si="63">TRIM(J259)</f>
        <v>Comics</v>
      </c>
      <c r="U259">
        <f t="shared" ref="U259:U322" si="64">LEN(T259)</f>
        <v>6</v>
      </c>
      <c r="V259" t="str">
        <f t="shared" ref="V259:V322" si="65">UPPER(T259)</f>
        <v>COMICS</v>
      </c>
      <c r="W259" t="str">
        <f t="shared" ref="W259:W322" si="66">LOWER(V259)</f>
        <v>comics</v>
      </c>
      <c r="X259" t="str">
        <f t="shared" ref="X259:X322" si="67">PROPER(W259)</f>
        <v>Comics</v>
      </c>
      <c r="Y259" t="str">
        <f t="shared" ref="Y259:Y322" si="68">_xlfn.CONCAT(F259," ",L259)</f>
        <v>Karnataka 7</v>
      </c>
      <c r="Z259" t="str">
        <f t="shared" ref="Z259:Z322" si="69">_xlfn.CONCAT(K259:L259)</f>
        <v>BrandD7</v>
      </c>
      <c r="AA259" t="str">
        <f t="shared" ref="AA259:AA322" si="70">CONCATENATE(K259," ",L259)</f>
        <v>BrandD 7</v>
      </c>
      <c r="AB259" t="str">
        <f t="shared" ref="AB259:AB322" si="71">_xlfn.TEXTJOIN(" ",TRUE,F259:G259)</f>
        <v>Karnataka Website</v>
      </c>
      <c r="AC259">
        <f t="shared" ref="AC259:AC322" si="72">FIND("e",G259)</f>
        <v>2</v>
      </c>
      <c r="AD259" t="e">
        <f t="shared" ref="AD259:AD322" si="73">SEARCH("M",AB259)</f>
        <v>#VALUE!</v>
      </c>
      <c r="AE259" t="str">
        <f t="shared" ref="AE259:AE322" si="74">REPLACE(AB259,5,3,"p")</f>
        <v>Karnpka Website</v>
      </c>
      <c r="AF259" t="s">
        <v>128</v>
      </c>
      <c r="AG259" t="s">
        <v>132</v>
      </c>
      <c r="AH259" t="s">
        <v>132</v>
      </c>
    </row>
    <row r="260" spans="1:34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t="s">
        <v>21</v>
      </c>
      <c r="Q260" t="str">
        <f t="shared" si="60"/>
        <v>ard</v>
      </c>
      <c r="R260" t="str">
        <f t="shared" si="61"/>
        <v>mart</v>
      </c>
      <c r="S260">
        <f t="shared" si="62"/>
        <v>10</v>
      </c>
      <c r="T260" t="str">
        <f t="shared" si="63"/>
        <v>Smartwatch</v>
      </c>
      <c r="U260">
        <f t="shared" si="64"/>
        <v>10</v>
      </c>
      <c r="V260" t="str">
        <f t="shared" si="65"/>
        <v>SMARTWATCH</v>
      </c>
      <c r="W260" t="str">
        <f t="shared" si="66"/>
        <v>smartwatch</v>
      </c>
      <c r="X260" t="str">
        <f t="shared" si="67"/>
        <v>Smartwatch</v>
      </c>
      <c r="Y260" t="str">
        <f t="shared" si="68"/>
        <v>West Bengal 9</v>
      </c>
      <c r="Z260" t="str">
        <f t="shared" si="69"/>
        <v>BrandA9</v>
      </c>
      <c r="AA260" t="str">
        <f t="shared" si="70"/>
        <v>BrandA 9</v>
      </c>
      <c r="AB260" t="str">
        <f t="shared" si="71"/>
        <v>West Bengal Website</v>
      </c>
      <c r="AC260">
        <f t="shared" si="72"/>
        <v>2</v>
      </c>
      <c r="AD260" t="e">
        <f t="shared" si="73"/>
        <v>#VALUE!</v>
      </c>
      <c r="AE260" t="str">
        <f t="shared" si="74"/>
        <v>Westpngal Website</v>
      </c>
      <c r="AF260" t="s">
        <v>127</v>
      </c>
      <c r="AG260" t="s">
        <v>132</v>
      </c>
      <c r="AH260" t="s">
        <v>132</v>
      </c>
    </row>
    <row r="261" spans="1:34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t="s">
        <v>28</v>
      </c>
      <c r="Q261" t="str">
        <f t="shared" si="60"/>
        <v>ing</v>
      </c>
      <c r="R261" t="str">
        <f t="shared" si="61"/>
        <v>eans</v>
      </c>
      <c r="S261">
        <f t="shared" si="62"/>
        <v>5</v>
      </c>
      <c r="T261" t="str">
        <f t="shared" si="63"/>
        <v>Jeans</v>
      </c>
      <c r="U261">
        <f t="shared" si="64"/>
        <v>5</v>
      </c>
      <c r="V261" t="str">
        <f t="shared" si="65"/>
        <v>JEANS</v>
      </c>
      <c r="W261" t="str">
        <f t="shared" si="66"/>
        <v>jeans</v>
      </c>
      <c r="X261" t="str">
        <f t="shared" si="67"/>
        <v>Jeans</v>
      </c>
      <c r="Y261" t="str">
        <f t="shared" si="68"/>
        <v>Telangana 3</v>
      </c>
      <c r="Z261" t="str">
        <f t="shared" si="69"/>
        <v>BrandD3</v>
      </c>
      <c r="AA261" t="str">
        <f t="shared" si="70"/>
        <v>BrandD 3</v>
      </c>
      <c r="AB261" t="str">
        <f t="shared" si="71"/>
        <v>Telangana Mobile App</v>
      </c>
      <c r="AC261">
        <f t="shared" si="72"/>
        <v>6</v>
      </c>
      <c r="AD261">
        <f t="shared" si="73"/>
        <v>11</v>
      </c>
      <c r="AE261" t="str">
        <f t="shared" si="74"/>
        <v>Telapna Mobile App</v>
      </c>
      <c r="AF261" t="s">
        <v>129</v>
      </c>
      <c r="AG261" t="s">
        <v>131</v>
      </c>
      <c r="AH261" t="s">
        <v>134</v>
      </c>
    </row>
    <row r="262" spans="1:34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t="s">
        <v>33</v>
      </c>
      <c r="Q262" t="str">
        <f t="shared" si="60"/>
        <v>ard</v>
      </c>
      <c r="R262" t="str">
        <f t="shared" si="61"/>
        <v>neak</v>
      </c>
      <c r="S262">
        <f t="shared" si="62"/>
        <v>8</v>
      </c>
      <c r="T262" t="str">
        <f t="shared" si="63"/>
        <v>Sneakers</v>
      </c>
      <c r="U262">
        <f t="shared" si="64"/>
        <v>8</v>
      </c>
      <c r="V262" t="str">
        <f t="shared" si="65"/>
        <v>SNEAKERS</v>
      </c>
      <c r="W262" t="str">
        <f t="shared" si="66"/>
        <v>sneakers</v>
      </c>
      <c r="X262" t="str">
        <f t="shared" si="67"/>
        <v>Sneakers</v>
      </c>
      <c r="Y262" t="str">
        <f t="shared" si="68"/>
        <v>Maharashtra 2</v>
      </c>
      <c r="Z262" t="str">
        <f t="shared" si="69"/>
        <v>BrandE2</v>
      </c>
      <c r="AA262" t="str">
        <f t="shared" si="70"/>
        <v>BrandE 2</v>
      </c>
      <c r="AB262" t="str">
        <f t="shared" si="71"/>
        <v>Maharashtra Website</v>
      </c>
      <c r="AC262">
        <f t="shared" si="72"/>
        <v>2</v>
      </c>
      <c r="AD262">
        <f t="shared" si="73"/>
        <v>1</v>
      </c>
      <c r="AE262" t="str">
        <f t="shared" si="74"/>
        <v>Mahaphtra Website</v>
      </c>
      <c r="AF262" t="s">
        <v>130</v>
      </c>
      <c r="AG262" t="s">
        <v>132</v>
      </c>
      <c r="AH262" t="s">
        <v>132</v>
      </c>
    </row>
    <row r="263" spans="1:34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t="s">
        <v>21</v>
      </c>
      <c r="Q263" t="str">
        <f t="shared" si="60"/>
        <v>UPI</v>
      </c>
      <c r="R263" t="str">
        <f t="shared" si="61"/>
        <v>omic</v>
      </c>
      <c r="S263">
        <f t="shared" si="62"/>
        <v>6</v>
      </c>
      <c r="T263" t="str">
        <f t="shared" si="63"/>
        <v>Comics</v>
      </c>
      <c r="U263">
        <f t="shared" si="64"/>
        <v>6</v>
      </c>
      <c r="V263" t="str">
        <f t="shared" si="65"/>
        <v>COMICS</v>
      </c>
      <c r="W263" t="str">
        <f t="shared" si="66"/>
        <v>comics</v>
      </c>
      <c r="X263" t="str">
        <f t="shared" si="67"/>
        <v>Comics</v>
      </c>
      <c r="Y263" t="str">
        <f t="shared" si="68"/>
        <v>Tamil Nadu 7</v>
      </c>
      <c r="Z263" t="str">
        <f t="shared" si="69"/>
        <v>BrandA7</v>
      </c>
      <c r="AA263" t="str">
        <f t="shared" si="70"/>
        <v>BrandA 7</v>
      </c>
      <c r="AB263" t="str">
        <f t="shared" si="71"/>
        <v>Tamil Nadu Mobile App</v>
      </c>
      <c r="AC263">
        <f t="shared" si="72"/>
        <v>6</v>
      </c>
      <c r="AD263">
        <f t="shared" si="73"/>
        <v>3</v>
      </c>
      <c r="AE263" t="str">
        <f t="shared" si="74"/>
        <v>Tamipadu Mobile App</v>
      </c>
      <c r="AF263" t="s">
        <v>126</v>
      </c>
      <c r="AG263" t="s">
        <v>131</v>
      </c>
      <c r="AH263" t="s">
        <v>134</v>
      </c>
    </row>
    <row r="264" spans="1:34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t="s">
        <v>33</v>
      </c>
      <c r="Q264" t="str">
        <f t="shared" si="60"/>
        <v>ery</v>
      </c>
      <c r="R264" t="str">
        <f t="shared" si="61"/>
        <v>apto</v>
      </c>
      <c r="S264">
        <f t="shared" si="62"/>
        <v>6</v>
      </c>
      <c r="T264" t="str">
        <f t="shared" si="63"/>
        <v>Laptop</v>
      </c>
      <c r="U264">
        <f t="shared" si="64"/>
        <v>6</v>
      </c>
      <c r="V264" t="str">
        <f t="shared" si="65"/>
        <v>LAPTOP</v>
      </c>
      <c r="W264" t="str">
        <f t="shared" si="66"/>
        <v>laptop</v>
      </c>
      <c r="X264" t="str">
        <f t="shared" si="67"/>
        <v>Laptop</v>
      </c>
      <c r="Y264" t="str">
        <f t="shared" si="68"/>
        <v>Karnataka 7</v>
      </c>
      <c r="Z264" t="str">
        <f t="shared" si="69"/>
        <v>BrandE7</v>
      </c>
      <c r="AA264" t="str">
        <f t="shared" si="70"/>
        <v>BrandE 7</v>
      </c>
      <c r="AB264" t="str">
        <f t="shared" si="71"/>
        <v>Karnataka Marketplace</v>
      </c>
      <c r="AC264">
        <f t="shared" si="72"/>
        <v>5</v>
      </c>
      <c r="AD264">
        <f t="shared" si="73"/>
        <v>11</v>
      </c>
      <c r="AE264" t="str">
        <f t="shared" si="74"/>
        <v>Karnpka Marketplace</v>
      </c>
      <c r="AF264" t="s">
        <v>128</v>
      </c>
      <c r="AG264" t="s">
        <v>133</v>
      </c>
      <c r="AH264" t="s">
        <v>133</v>
      </c>
    </row>
    <row r="265" spans="1:34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t="s">
        <v>47</v>
      </c>
      <c r="Q265" t="str">
        <f t="shared" si="60"/>
        <v>UPI</v>
      </c>
      <c r="R265" t="str">
        <f t="shared" si="61"/>
        <v>erfu</v>
      </c>
      <c r="S265">
        <f t="shared" si="62"/>
        <v>7</v>
      </c>
      <c r="T265" t="str">
        <f t="shared" si="63"/>
        <v>Perfume</v>
      </c>
      <c r="U265">
        <f t="shared" si="64"/>
        <v>7</v>
      </c>
      <c r="V265" t="str">
        <f t="shared" si="65"/>
        <v>PERFUME</v>
      </c>
      <c r="W265" t="str">
        <f t="shared" si="66"/>
        <v>perfume</v>
      </c>
      <c r="X265" t="str">
        <f t="shared" si="67"/>
        <v>Perfume</v>
      </c>
      <c r="Y265" t="str">
        <f t="shared" si="68"/>
        <v>Delhi 4</v>
      </c>
      <c r="Z265" t="str">
        <f t="shared" si="69"/>
        <v>BrandB4</v>
      </c>
      <c r="AA265" t="str">
        <f t="shared" si="70"/>
        <v>BrandB 4</v>
      </c>
      <c r="AB265" t="str">
        <f t="shared" si="71"/>
        <v>Delhi Marketplace</v>
      </c>
      <c r="AC265">
        <f t="shared" si="72"/>
        <v>5</v>
      </c>
      <c r="AD265">
        <f t="shared" si="73"/>
        <v>7</v>
      </c>
      <c r="AE265" t="str">
        <f t="shared" si="74"/>
        <v>Delhparketplace</v>
      </c>
      <c r="AF265" t="s">
        <v>125</v>
      </c>
      <c r="AG265" t="s">
        <v>133</v>
      </c>
      <c r="AH265" t="s">
        <v>133</v>
      </c>
    </row>
    <row r="266" spans="1:34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t="s">
        <v>21</v>
      </c>
      <c r="Q266" t="str">
        <f t="shared" si="60"/>
        <v>ard</v>
      </c>
      <c r="R266" t="str">
        <f t="shared" si="61"/>
        <v>rick</v>
      </c>
      <c r="S266">
        <f t="shared" si="62"/>
        <v>11</v>
      </c>
      <c r="T266" t="str">
        <f t="shared" si="63"/>
        <v>Cricket Bat</v>
      </c>
      <c r="U266">
        <f t="shared" si="64"/>
        <v>11</v>
      </c>
      <c r="V266" t="str">
        <f t="shared" si="65"/>
        <v>CRICKET BAT</v>
      </c>
      <c r="W266" t="str">
        <f t="shared" si="66"/>
        <v>cricket bat</v>
      </c>
      <c r="X266" t="str">
        <f t="shared" si="67"/>
        <v>Cricket Bat</v>
      </c>
      <c r="Y266" t="str">
        <f t="shared" si="68"/>
        <v>Karnataka 9</v>
      </c>
      <c r="Z266" t="str">
        <f t="shared" si="69"/>
        <v>BrandA9</v>
      </c>
      <c r="AA266" t="str">
        <f t="shared" si="70"/>
        <v>BrandA 9</v>
      </c>
      <c r="AB266" t="str">
        <f t="shared" si="71"/>
        <v>Karnataka Website</v>
      </c>
      <c r="AC266">
        <f t="shared" si="72"/>
        <v>2</v>
      </c>
      <c r="AD266" t="e">
        <f t="shared" si="73"/>
        <v>#VALUE!</v>
      </c>
      <c r="AE266" t="str">
        <f t="shared" si="74"/>
        <v>Karnpka Website</v>
      </c>
      <c r="AF266" t="s">
        <v>128</v>
      </c>
      <c r="AG266" t="s">
        <v>132</v>
      </c>
      <c r="AH266" t="s">
        <v>132</v>
      </c>
    </row>
    <row r="267" spans="1:34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t="s">
        <v>33</v>
      </c>
      <c r="Q267" t="str">
        <f t="shared" si="60"/>
        <v>ery</v>
      </c>
      <c r="R267" t="str">
        <f t="shared" si="61"/>
        <v>rick</v>
      </c>
      <c r="S267">
        <f t="shared" si="62"/>
        <v>11</v>
      </c>
      <c r="T267" t="str">
        <f t="shared" si="63"/>
        <v>Cricket Bat</v>
      </c>
      <c r="U267">
        <f t="shared" si="64"/>
        <v>11</v>
      </c>
      <c r="V267" t="str">
        <f t="shared" si="65"/>
        <v>CRICKET BAT</v>
      </c>
      <c r="W267" t="str">
        <f t="shared" si="66"/>
        <v>cricket bat</v>
      </c>
      <c r="X267" t="str">
        <f t="shared" si="67"/>
        <v>Cricket Bat</v>
      </c>
      <c r="Y267" t="str">
        <f t="shared" si="68"/>
        <v>Delhi 8</v>
      </c>
      <c r="Z267" t="str">
        <f t="shared" si="69"/>
        <v>BrandE8</v>
      </c>
      <c r="AA267" t="str">
        <f t="shared" si="70"/>
        <v>BrandE 8</v>
      </c>
      <c r="AB267" t="str">
        <f t="shared" si="71"/>
        <v>Delhi Marketplace</v>
      </c>
      <c r="AC267">
        <f t="shared" si="72"/>
        <v>5</v>
      </c>
      <c r="AD267">
        <f t="shared" si="73"/>
        <v>7</v>
      </c>
      <c r="AE267" t="str">
        <f t="shared" si="74"/>
        <v>Delhparketplace</v>
      </c>
      <c r="AF267" t="s">
        <v>125</v>
      </c>
      <c r="AG267" t="s">
        <v>133</v>
      </c>
      <c r="AH267" t="s">
        <v>133</v>
      </c>
    </row>
    <row r="268" spans="1:34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t="s">
        <v>47</v>
      </c>
      <c r="Q268" t="str">
        <f t="shared" si="60"/>
        <v>UPI</v>
      </c>
      <c r="R268" t="str">
        <f t="shared" si="61"/>
        <v>hamp</v>
      </c>
      <c r="S268">
        <f t="shared" si="62"/>
        <v>7</v>
      </c>
      <c r="T268" t="str">
        <f t="shared" si="63"/>
        <v>Shampoo</v>
      </c>
      <c r="U268">
        <f t="shared" si="64"/>
        <v>7</v>
      </c>
      <c r="V268" t="str">
        <f t="shared" si="65"/>
        <v>SHAMPOO</v>
      </c>
      <c r="W268" t="str">
        <f t="shared" si="66"/>
        <v>shampoo</v>
      </c>
      <c r="X268" t="str">
        <f t="shared" si="67"/>
        <v>Shampoo</v>
      </c>
      <c r="Y268" t="str">
        <f t="shared" si="68"/>
        <v>Karnataka 1</v>
      </c>
      <c r="Z268" t="str">
        <f t="shared" si="69"/>
        <v>BrandB1</v>
      </c>
      <c r="AA268" t="str">
        <f t="shared" si="70"/>
        <v>BrandB 1</v>
      </c>
      <c r="AB268" t="str">
        <f t="shared" si="71"/>
        <v>Karnataka Marketplace</v>
      </c>
      <c r="AC268">
        <f t="shared" si="72"/>
        <v>5</v>
      </c>
      <c r="AD268">
        <f t="shared" si="73"/>
        <v>11</v>
      </c>
      <c r="AE268" t="str">
        <f t="shared" si="74"/>
        <v>Karnpka Marketplace</v>
      </c>
      <c r="AF268" t="s">
        <v>128</v>
      </c>
      <c r="AG268" t="s">
        <v>133</v>
      </c>
      <c r="AH268" t="s">
        <v>133</v>
      </c>
    </row>
    <row r="269" spans="1:34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t="s">
        <v>28</v>
      </c>
      <c r="Q269" t="str">
        <f t="shared" si="60"/>
        <v>ing</v>
      </c>
      <c r="R269" t="str">
        <f t="shared" si="61"/>
        <v>acke</v>
      </c>
      <c r="S269">
        <f t="shared" si="62"/>
        <v>6</v>
      </c>
      <c r="T269" t="str">
        <f t="shared" si="63"/>
        <v>Jacket</v>
      </c>
      <c r="U269">
        <f t="shared" si="64"/>
        <v>6</v>
      </c>
      <c r="V269" t="str">
        <f t="shared" si="65"/>
        <v>JACKET</v>
      </c>
      <c r="W269" t="str">
        <f t="shared" si="66"/>
        <v>jacket</v>
      </c>
      <c r="X269" t="str">
        <f t="shared" si="67"/>
        <v>Jacket</v>
      </c>
      <c r="Y269" t="str">
        <f t="shared" si="68"/>
        <v>Delhi 1</v>
      </c>
      <c r="Z269" t="str">
        <f t="shared" si="69"/>
        <v>BrandD1</v>
      </c>
      <c r="AA269" t="str">
        <f t="shared" si="70"/>
        <v>BrandD 1</v>
      </c>
      <c r="AB269" t="str">
        <f t="shared" si="71"/>
        <v>Delhi Marketplace</v>
      </c>
      <c r="AC269">
        <f t="shared" si="72"/>
        <v>5</v>
      </c>
      <c r="AD269">
        <f t="shared" si="73"/>
        <v>7</v>
      </c>
      <c r="AE269" t="str">
        <f t="shared" si="74"/>
        <v>Delhparketplace</v>
      </c>
      <c r="AF269" t="s">
        <v>125</v>
      </c>
      <c r="AG269" t="s">
        <v>133</v>
      </c>
      <c r="AH269" t="s">
        <v>133</v>
      </c>
    </row>
    <row r="270" spans="1:34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t="s">
        <v>47</v>
      </c>
      <c r="Q270" t="str">
        <f t="shared" si="60"/>
        <v>ery</v>
      </c>
      <c r="R270" t="str">
        <f t="shared" si="61"/>
        <v>mart</v>
      </c>
      <c r="S270">
        <f t="shared" si="62"/>
        <v>10</v>
      </c>
      <c r="T270" t="str">
        <f t="shared" si="63"/>
        <v>Smartwatch</v>
      </c>
      <c r="U270">
        <f t="shared" si="64"/>
        <v>10</v>
      </c>
      <c r="V270" t="str">
        <f t="shared" si="65"/>
        <v>SMARTWATCH</v>
      </c>
      <c r="W270" t="str">
        <f t="shared" si="66"/>
        <v>smartwatch</v>
      </c>
      <c r="X270" t="str">
        <f t="shared" si="67"/>
        <v>Smartwatch</v>
      </c>
      <c r="Y270" t="str">
        <f t="shared" si="68"/>
        <v>Telangana 5</v>
      </c>
      <c r="Z270" t="str">
        <f t="shared" si="69"/>
        <v>BrandB5</v>
      </c>
      <c r="AA270" t="str">
        <f t="shared" si="70"/>
        <v>BrandB 5</v>
      </c>
      <c r="AB270" t="str">
        <f t="shared" si="71"/>
        <v>Telangana Website</v>
      </c>
      <c r="AC270">
        <f t="shared" si="72"/>
        <v>2</v>
      </c>
      <c r="AD270" t="e">
        <f t="shared" si="73"/>
        <v>#VALUE!</v>
      </c>
      <c r="AE270" t="str">
        <f t="shared" si="74"/>
        <v>Telapna Website</v>
      </c>
      <c r="AF270" t="s">
        <v>129</v>
      </c>
      <c r="AG270" t="s">
        <v>132</v>
      </c>
      <c r="AH270" t="s">
        <v>132</v>
      </c>
    </row>
    <row r="271" spans="1:34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t="s">
        <v>45</v>
      </c>
      <c r="Q271" t="str">
        <f t="shared" si="60"/>
        <v>ery</v>
      </c>
      <c r="R271" t="str">
        <f t="shared" si="61"/>
        <v>eans</v>
      </c>
      <c r="S271">
        <f t="shared" si="62"/>
        <v>5</v>
      </c>
      <c r="T271" t="str">
        <f t="shared" si="63"/>
        <v>Jeans</v>
      </c>
      <c r="U271">
        <f t="shared" si="64"/>
        <v>5</v>
      </c>
      <c r="V271" t="str">
        <f t="shared" si="65"/>
        <v>JEANS</v>
      </c>
      <c r="W271" t="str">
        <f t="shared" si="66"/>
        <v>jeans</v>
      </c>
      <c r="X271" t="str">
        <f t="shared" si="67"/>
        <v>Jeans</v>
      </c>
      <c r="Y271" t="str">
        <f t="shared" si="68"/>
        <v>West Bengal 6</v>
      </c>
      <c r="Z271" t="str">
        <f t="shared" si="69"/>
        <v>BrandC6</v>
      </c>
      <c r="AA271" t="str">
        <f t="shared" si="70"/>
        <v>BrandC 6</v>
      </c>
      <c r="AB271" t="str">
        <f t="shared" si="71"/>
        <v>West Bengal Website</v>
      </c>
      <c r="AC271">
        <f t="shared" si="72"/>
        <v>2</v>
      </c>
      <c r="AD271" t="e">
        <f t="shared" si="73"/>
        <v>#VALUE!</v>
      </c>
      <c r="AE271" t="str">
        <f t="shared" si="74"/>
        <v>Westpngal Website</v>
      </c>
      <c r="AF271" t="s">
        <v>127</v>
      </c>
      <c r="AG271" t="s">
        <v>132</v>
      </c>
      <c r="AH271" t="s">
        <v>132</v>
      </c>
    </row>
    <row r="272" spans="1:34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t="s">
        <v>47</v>
      </c>
      <c r="Q272" t="str">
        <f t="shared" si="60"/>
        <v>ard</v>
      </c>
      <c r="R272" t="str">
        <f t="shared" si="61"/>
        <v>ookw</v>
      </c>
      <c r="S272">
        <f t="shared" si="62"/>
        <v>12</v>
      </c>
      <c r="T272" t="str">
        <f t="shared" si="63"/>
        <v>Cookware Set</v>
      </c>
      <c r="U272">
        <f t="shared" si="64"/>
        <v>12</v>
      </c>
      <c r="V272" t="str">
        <f t="shared" si="65"/>
        <v>COOKWARE SET</v>
      </c>
      <c r="W272" t="str">
        <f t="shared" si="66"/>
        <v>cookware set</v>
      </c>
      <c r="X272" t="str">
        <f t="shared" si="67"/>
        <v>Cookware Set</v>
      </c>
      <c r="Y272" t="str">
        <f t="shared" si="68"/>
        <v>Delhi 3</v>
      </c>
      <c r="Z272" t="str">
        <f t="shared" si="69"/>
        <v>BrandB3</v>
      </c>
      <c r="AA272" t="str">
        <f t="shared" si="70"/>
        <v>BrandB 3</v>
      </c>
      <c r="AB272" t="str">
        <f t="shared" si="71"/>
        <v>Delhi Marketplace</v>
      </c>
      <c r="AC272">
        <f t="shared" si="72"/>
        <v>5</v>
      </c>
      <c r="AD272">
        <f t="shared" si="73"/>
        <v>7</v>
      </c>
      <c r="AE272" t="str">
        <f t="shared" si="74"/>
        <v>Delhparketplace</v>
      </c>
      <c r="AF272" t="s">
        <v>125</v>
      </c>
      <c r="AG272" t="s">
        <v>133</v>
      </c>
      <c r="AH272" t="s">
        <v>133</v>
      </c>
    </row>
    <row r="273" spans="1:34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t="s">
        <v>47</v>
      </c>
      <c r="Q273" t="str">
        <f t="shared" si="60"/>
        <v>ing</v>
      </c>
      <c r="R273" t="str">
        <f t="shared" si="61"/>
        <v>-Shi</v>
      </c>
      <c r="S273">
        <f t="shared" si="62"/>
        <v>7</v>
      </c>
      <c r="T273" t="str">
        <f t="shared" si="63"/>
        <v>T-Shirt</v>
      </c>
      <c r="U273">
        <f t="shared" si="64"/>
        <v>7</v>
      </c>
      <c r="V273" t="str">
        <f t="shared" si="65"/>
        <v>T-SHIRT</v>
      </c>
      <c r="W273" t="str">
        <f t="shared" si="66"/>
        <v>t-shirt</v>
      </c>
      <c r="X273" t="str">
        <f t="shared" si="67"/>
        <v>T-Shirt</v>
      </c>
      <c r="Y273" t="str">
        <f t="shared" si="68"/>
        <v>Delhi 9</v>
      </c>
      <c r="Z273" t="str">
        <f t="shared" si="69"/>
        <v>BrandB9</v>
      </c>
      <c r="AA273" t="str">
        <f t="shared" si="70"/>
        <v>BrandB 9</v>
      </c>
      <c r="AB273" t="str">
        <f t="shared" si="71"/>
        <v>Delhi Mobile App</v>
      </c>
      <c r="AC273">
        <f t="shared" si="72"/>
        <v>6</v>
      </c>
      <c r="AD273">
        <f t="shared" si="73"/>
        <v>7</v>
      </c>
      <c r="AE273" t="str">
        <f t="shared" si="74"/>
        <v>Delhpobile App</v>
      </c>
      <c r="AF273" t="s">
        <v>125</v>
      </c>
      <c r="AG273" t="s">
        <v>131</v>
      </c>
      <c r="AH273" t="s">
        <v>134</v>
      </c>
    </row>
    <row r="274" spans="1:34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t="s">
        <v>45</v>
      </c>
      <c r="Q274" t="str">
        <f t="shared" si="60"/>
        <v>ard</v>
      </c>
      <c r="R274" t="str">
        <f t="shared" si="61"/>
        <v>acke</v>
      </c>
      <c r="S274">
        <f t="shared" si="62"/>
        <v>6</v>
      </c>
      <c r="T274" t="str">
        <f t="shared" si="63"/>
        <v>Jacket</v>
      </c>
      <c r="U274">
        <f t="shared" si="64"/>
        <v>6</v>
      </c>
      <c r="V274" t="str">
        <f t="shared" si="65"/>
        <v>JACKET</v>
      </c>
      <c r="W274" t="str">
        <f t="shared" si="66"/>
        <v>jacket</v>
      </c>
      <c r="X274" t="str">
        <f t="shared" si="67"/>
        <v>Jacket</v>
      </c>
      <c r="Y274" t="str">
        <f t="shared" si="68"/>
        <v>Maharashtra 6</v>
      </c>
      <c r="Z274" t="str">
        <f t="shared" si="69"/>
        <v>BrandC6</v>
      </c>
      <c r="AA274" t="str">
        <f t="shared" si="70"/>
        <v>BrandC 6</v>
      </c>
      <c r="AB274" t="str">
        <f t="shared" si="71"/>
        <v>Maharashtra Marketplace</v>
      </c>
      <c r="AC274">
        <f t="shared" si="72"/>
        <v>5</v>
      </c>
      <c r="AD274">
        <f t="shared" si="73"/>
        <v>1</v>
      </c>
      <c r="AE274" t="str">
        <f t="shared" si="74"/>
        <v>Mahaphtra Marketplace</v>
      </c>
      <c r="AF274" t="s">
        <v>130</v>
      </c>
      <c r="AG274" t="s">
        <v>133</v>
      </c>
      <c r="AH274" t="s">
        <v>133</v>
      </c>
    </row>
    <row r="275" spans="1:34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t="s">
        <v>33</v>
      </c>
      <c r="Q275" t="str">
        <f t="shared" si="60"/>
        <v>UPI</v>
      </c>
      <c r="R275" t="str">
        <f t="shared" si="61"/>
        <v>erfu</v>
      </c>
      <c r="S275">
        <f t="shared" si="62"/>
        <v>7</v>
      </c>
      <c r="T275" t="str">
        <f t="shared" si="63"/>
        <v>Perfume</v>
      </c>
      <c r="U275">
        <f t="shared" si="64"/>
        <v>7</v>
      </c>
      <c r="V275" t="str">
        <f t="shared" si="65"/>
        <v>PERFUME</v>
      </c>
      <c r="W275" t="str">
        <f t="shared" si="66"/>
        <v>perfume</v>
      </c>
      <c r="X275" t="str">
        <f t="shared" si="67"/>
        <v>Perfume</v>
      </c>
      <c r="Y275" t="str">
        <f t="shared" si="68"/>
        <v>Delhi 4</v>
      </c>
      <c r="Z275" t="str">
        <f t="shared" si="69"/>
        <v>BrandE4</v>
      </c>
      <c r="AA275" t="str">
        <f t="shared" si="70"/>
        <v>BrandE 4</v>
      </c>
      <c r="AB275" t="str">
        <f t="shared" si="71"/>
        <v>Delhi Website</v>
      </c>
      <c r="AC275">
        <f t="shared" si="72"/>
        <v>2</v>
      </c>
      <c r="AD275" t="e">
        <f t="shared" si="73"/>
        <v>#VALUE!</v>
      </c>
      <c r="AE275" t="str">
        <f t="shared" si="74"/>
        <v>Delhpebsite</v>
      </c>
      <c r="AF275" t="s">
        <v>125</v>
      </c>
      <c r="AG275" t="s">
        <v>132</v>
      </c>
      <c r="AH275" t="s">
        <v>132</v>
      </c>
    </row>
    <row r="276" spans="1:34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t="s">
        <v>33</v>
      </c>
      <c r="Q276" t="str">
        <f t="shared" si="60"/>
        <v>ard</v>
      </c>
      <c r="R276" t="str">
        <f t="shared" si="61"/>
        <v xml:space="preserve">ace </v>
      </c>
      <c r="S276">
        <f t="shared" si="62"/>
        <v>10</v>
      </c>
      <c r="T276" t="str">
        <f t="shared" si="63"/>
        <v>Face Cream</v>
      </c>
      <c r="U276">
        <f t="shared" si="64"/>
        <v>10</v>
      </c>
      <c r="V276" t="str">
        <f t="shared" si="65"/>
        <v>FACE CREAM</v>
      </c>
      <c r="W276" t="str">
        <f t="shared" si="66"/>
        <v>face cream</v>
      </c>
      <c r="X276" t="str">
        <f t="shared" si="67"/>
        <v>Face Cream</v>
      </c>
      <c r="Y276" t="str">
        <f t="shared" si="68"/>
        <v>Maharashtra 7</v>
      </c>
      <c r="Z276" t="str">
        <f t="shared" si="69"/>
        <v>BrandE7</v>
      </c>
      <c r="AA276" t="str">
        <f t="shared" si="70"/>
        <v>BrandE 7</v>
      </c>
      <c r="AB276" t="str">
        <f t="shared" si="71"/>
        <v>Maharashtra Website</v>
      </c>
      <c r="AC276">
        <f t="shared" si="72"/>
        <v>2</v>
      </c>
      <c r="AD276">
        <f t="shared" si="73"/>
        <v>1</v>
      </c>
      <c r="AE276" t="str">
        <f t="shared" si="74"/>
        <v>Mahaphtra Website</v>
      </c>
      <c r="AF276" t="s">
        <v>130</v>
      </c>
      <c r="AG276" t="s">
        <v>132</v>
      </c>
      <c r="AH276" t="s">
        <v>132</v>
      </c>
    </row>
    <row r="277" spans="1:34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t="s">
        <v>47</v>
      </c>
      <c r="Q277" t="str">
        <f t="shared" si="60"/>
        <v>UPI</v>
      </c>
      <c r="R277" t="str">
        <f t="shared" si="61"/>
        <v>hamp</v>
      </c>
      <c r="S277">
        <f t="shared" si="62"/>
        <v>7</v>
      </c>
      <c r="T277" t="str">
        <f t="shared" si="63"/>
        <v>Shampoo</v>
      </c>
      <c r="U277">
        <f t="shared" si="64"/>
        <v>7</v>
      </c>
      <c r="V277" t="str">
        <f t="shared" si="65"/>
        <v>SHAMPOO</v>
      </c>
      <c r="W277" t="str">
        <f t="shared" si="66"/>
        <v>shampoo</v>
      </c>
      <c r="X277" t="str">
        <f t="shared" si="67"/>
        <v>Shampoo</v>
      </c>
      <c r="Y277" t="str">
        <f t="shared" si="68"/>
        <v>Tamil Nadu 8</v>
      </c>
      <c r="Z277" t="str">
        <f t="shared" si="69"/>
        <v>BrandB8</v>
      </c>
      <c r="AA277" t="str">
        <f t="shared" si="70"/>
        <v>BrandB 8</v>
      </c>
      <c r="AB277" t="str">
        <f t="shared" si="71"/>
        <v>Tamil Nadu Website</v>
      </c>
      <c r="AC277">
        <f t="shared" si="72"/>
        <v>2</v>
      </c>
      <c r="AD277">
        <f t="shared" si="73"/>
        <v>3</v>
      </c>
      <c r="AE277" t="str">
        <f t="shared" si="74"/>
        <v>Tamipadu Website</v>
      </c>
      <c r="AF277" t="s">
        <v>126</v>
      </c>
      <c r="AG277" t="s">
        <v>132</v>
      </c>
      <c r="AH277" t="s">
        <v>132</v>
      </c>
    </row>
    <row r="278" spans="1:34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t="s">
        <v>45</v>
      </c>
      <c r="Q278" t="str">
        <f t="shared" si="60"/>
        <v>ard</v>
      </c>
      <c r="R278" t="str">
        <f t="shared" si="61"/>
        <v>umbb</v>
      </c>
      <c r="S278">
        <f t="shared" si="62"/>
        <v>9</v>
      </c>
      <c r="T278" t="str">
        <f t="shared" si="63"/>
        <v>Dumbbells</v>
      </c>
      <c r="U278">
        <f t="shared" si="64"/>
        <v>9</v>
      </c>
      <c r="V278" t="str">
        <f t="shared" si="65"/>
        <v>DUMBBELLS</v>
      </c>
      <c r="W278" t="str">
        <f t="shared" si="66"/>
        <v>dumbbells</v>
      </c>
      <c r="X278" t="str">
        <f t="shared" si="67"/>
        <v>Dumbbells</v>
      </c>
      <c r="Y278" t="str">
        <f t="shared" si="68"/>
        <v>Telangana 9</v>
      </c>
      <c r="Z278" t="str">
        <f t="shared" si="69"/>
        <v>BrandC9</v>
      </c>
      <c r="AA278" t="str">
        <f t="shared" si="70"/>
        <v>BrandC 9</v>
      </c>
      <c r="AB278" t="str">
        <f t="shared" si="71"/>
        <v>Telangana Marketplace</v>
      </c>
      <c r="AC278">
        <f t="shared" si="72"/>
        <v>5</v>
      </c>
      <c r="AD278">
        <f t="shared" si="73"/>
        <v>11</v>
      </c>
      <c r="AE278" t="str">
        <f t="shared" si="74"/>
        <v>Telapna Marketplace</v>
      </c>
      <c r="AF278" t="s">
        <v>129</v>
      </c>
      <c r="AG278" t="s">
        <v>133</v>
      </c>
      <c r="AH278" t="s">
        <v>133</v>
      </c>
    </row>
    <row r="279" spans="1:34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t="s">
        <v>45</v>
      </c>
      <c r="Q279" t="str">
        <f t="shared" si="60"/>
        <v>ard</v>
      </c>
      <c r="R279" t="str">
        <f t="shared" si="61"/>
        <v>edsh</v>
      </c>
      <c r="S279">
        <f t="shared" si="62"/>
        <v>8</v>
      </c>
      <c r="T279" t="str">
        <f t="shared" si="63"/>
        <v>Bedsheet</v>
      </c>
      <c r="U279">
        <f t="shared" si="64"/>
        <v>8</v>
      </c>
      <c r="V279" t="str">
        <f t="shared" si="65"/>
        <v>BEDSHEET</v>
      </c>
      <c r="W279" t="str">
        <f t="shared" si="66"/>
        <v>bedsheet</v>
      </c>
      <c r="X279" t="str">
        <f t="shared" si="67"/>
        <v>Bedsheet</v>
      </c>
      <c r="Y279" t="str">
        <f t="shared" si="68"/>
        <v>Maharashtra 6</v>
      </c>
      <c r="Z279" t="str">
        <f t="shared" si="69"/>
        <v>BrandC6</v>
      </c>
      <c r="AA279" t="str">
        <f t="shared" si="70"/>
        <v>BrandC 6</v>
      </c>
      <c r="AB279" t="str">
        <f t="shared" si="71"/>
        <v>Maharashtra Mobile App</v>
      </c>
      <c r="AC279">
        <f t="shared" si="72"/>
        <v>6</v>
      </c>
      <c r="AD279">
        <f t="shared" si="73"/>
        <v>1</v>
      </c>
      <c r="AE279" t="str">
        <f t="shared" si="74"/>
        <v>Mahaphtra Mobile App</v>
      </c>
      <c r="AF279" t="s">
        <v>130</v>
      </c>
      <c r="AG279" t="s">
        <v>131</v>
      </c>
      <c r="AH279" t="s">
        <v>134</v>
      </c>
    </row>
    <row r="280" spans="1:34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t="s">
        <v>28</v>
      </c>
      <c r="Q280" t="str">
        <f t="shared" si="60"/>
        <v>ery</v>
      </c>
      <c r="R280" t="str">
        <f t="shared" si="61"/>
        <v>erfu</v>
      </c>
      <c r="S280">
        <f t="shared" si="62"/>
        <v>7</v>
      </c>
      <c r="T280" t="str">
        <f t="shared" si="63"/>
        <v>Perfume</v>
      </c>
      <c r="U280">
        <f t="shared" si="64"/>
        <v>7</v>
      </c>
      <c r="V280" t="str">
        <f t="shared" si="65"/>
        <v>PERFUME</v>
      </c>
      <c r="W280" t="str">
        <f t="shared" si="66"/>
        <v>perfume</v>
      </c>
      <c r="X280" t="str">
        <f t="shared" si="67"/>
        <v>Perfume</v>
      </c>
      <c r="Y280" t="str">
        <f t="shared" si="68"/>
        <v>West Bengal 6</v>
      </c>
      <c r="Z280" t="str">
        <f t="shared" si="69"/>
        <v>BrandD6</v>
      </c>
      <c r="AA280" t="str">
        <f t="shared" si="70"/>
        <v>BrandD 6</v>
      </c>
      <c r="AB280" t="str">
        <f t="shared" si="71"/>
        <v>West Bengal Website</v>
      </c>
      <c r="AC280">
        <f t="shared" si="72"/>
        <v>2</v>
      </c>
      <c r="AD280" t="e">
        <f t="shared" si="73"/>
        <v>#VALUE!</v>
      </c>
      <c r="AE280" t="str">
        <f t="shared" si="74"/>
        <v>Westpngal Website</v>
      </c>
      <c r="AF280" t="s">
        <v>127</v>
      </c>
      <c r="AG280" t="s">
        <v>132</v>
      </c>
      <c r="AH280" t="s">
        <v>132</v>
      </c>
    </row>
    <row r="281" spans="1:34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t="s">
        <v>33</v>
      </c>
      <c r="Q281" t="str">
        <f t="shared" si="60"/>
        <v>ard</v>
      </c>
      <c r="R281" t="str">
        <f t="shared" si="61"/>
        <v>mart</v>
      </c>
      <c r="S281">
        <f t="shared" si="62"/>
        <v>10</v>
      </c>
      <c r="T281" t="str">
        <f t="shared" si="63"/>
        <v>Smartphone</v>
      </c>
      <c r="U281">
        <f t="shared" si="64"/>
        <v>10</v>
      </c>
      <c r="V281" t="str">
        <f t="shared" si="65"/>
        <v>SMARTPHONE</v>
      </c>
      <c r="W281" t="str">
        <f t="shared" si="66"/>
        <v>smartphone</v>
      </c>
      <c r="X281" t="str">
        <f t="shared" si="67"/>
        <v>Smartphone</v>
      </c>
      <c r="Y281" t="str">
        <f t="shared" si="68"/>
        <v>Telangana 8</v>
      </c>
      <c r="Z281" t="str">
        <f t="shared" si="69"/>
        <v>BrandE8</v>
      </c>
      <c r="AA281" t="str">
        <f t="shared" si="70"/>
        <v>BrandE 8</v>
      </c>
      <c r="AB281" t="str">
        <f t="shared" si="71"/>
        <v>Telangana Website</v>
      </c>
      <c r="AC281">
        <f t="shared" si="72"/>
        <v>2</v>
      </c>
      <c r="AD281" t="e">
        <f t="shared" si="73"/>
        <v>#VALUE!</v>
      </c>
      <c r="AE281" t="str">
        <f t="shared" si="74"/>
        <v>Telapna Website</v>
      </c>
      <c r="AF281" t="s">
        <v>129</v>
      </c>
      <c r="AG281" t="s">
        <v>132</v>
      </c>
      <c r="AH281" t="s">
        <v>132</v>
      </c>
    </row>
    <row r="282" spans="1:34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t="s">
        <v>21</v>
      </c>
      <c r="Q282" t="str">
        <f t="shared" si="60"/>
        <v>UPI</v>
      </c>
      <c r="R282" t="str">
        <f t="shared" si="61"/>
        <v>umbb</v>
      </c>
      <c r="S282">
        <f t="shared" si="62"/>
        <v>9</v>
      </c>
      <c r="T282" t="str">
        <f t="shared" si="63"/>
        <v>Dumbbells</v>
      </c>
      <c r="U282">
        <f t="shared" si="64"/>
        <v>9</v>
      </c>
      <c r="V282" t="str">
        <f t="shared" si="65"/>
        <v>DUMBBELLS</v>
      </c>
      <c r="W282" t="str">
        <f t="shared" si="66"/>
        <v>dumbbells</v>
      </c>
      <c r="X282" t="str">
        <f t="shared" si="67"/>
        <v>Dumbbells</v>
      </c>
      <c r="Y282" t="str">
        <f t="shared" si="68"/>
        <v>Maharashtra 5</v>
      </c>
      <c r="Z282" t="str">
        <f t="shared" si="69"/>
        <v>BrandA5</v>
      </c>
      <c r="AA282" t="str">
        <f t="shared" si="70"/>
        <v>BrandA 5</v>
      </c>
      <c r="AB282" t="str">
        <f t="shared" si="71"/>
        <v>Maharashtra Marketplace</v>
      </c>
      <c r="AC282">
        <f t="shared" si="72"/>
        <v>5</v>
      </c>
      <c r="AD282">
        <f t="shared" si="73"/>
        <v>1</v>
      </c>
      <c r="AE282" t="str">
        <f t="shared" si="74"/>
        <v>Mahaphtra Marketplace</v>
      </c>
      <c r="AF282" t="s">
        <v>130</v>
      </c>
      <c r="AG282" t="s">
        <v>133</v>
      </c>
      <c r="AH282" t="s">
        <v>133</v>
      </c>
    </row>
    <row r="283" spans="1:34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t="s">
        <v>33</v>
      </c>
      <c r="Q283" t="str">
        <f t="shared" si="60"/>
        <v>ing</v>
      </c>
      <c r="R283" t="str">
        <f t="shared" si="61"/>
        <v>iogr</v>
      </c>
      <c r="S283">
        <f t="shared" si="62"/>
        <v>9</v>
      </c>
      <c r="T283" t="str">
        <f t="shared" si="63"/>
        <v>Biography</v>
      </c>
      <c r="U283">
        <f t="shared" si="64"/>
        <v>9</v>
      </c>
      <c r="V283" t="str">
        <f t="shared" si="65"/>
        <v>BIOGRAPHY</v>
      </c>
      <c r="W283" t="str">
        <f t="shared" si="66"/>
        <v>biography</v>
      </c>
      <c r="X283" t="str">
        <f t="shared" si="67"/>
        <v>Biography</v>
      </c>
      <c r="Y283" t="str">
        <f t="shared" si="68"/>
        <v>Telangana 3</v>
      </c>
      <c r="Z283" t="str">
        <f t="shared" si="69"/>
        <v>BrandE3</v>
      </c>
      <c r="AA283" t="str">
        <f t="shared" si="70"/>
        <v>BrandE 3</v>
      </c>
      <c r="AB283" t="str">
        <f t="shared" si="71"/>
        <v>Telangana Mobile App</v>
      </c>
      <c r="AC283">
        <f t="shared" si="72"/>
        <v>6</v>
      </c>
      <c r="AD283">
        <f t="shared" si="73"/>
        <v>11</v>
      </c>
      <c r="AE283" t="str">
        <f t="shared" si="74"/>
        <v>Telapna Mobile App</v>
      </c>
      <c r="AF283" t="s">
        <v>129</v>
      </c>
      <c r="AG283" t="s">
        <v>131</v>
      </c>
      <c r="AH283" t="s">
        <v>134</v>
      </c>
    </row>
    <row r="284" spans="1:34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t="s">
        <v>33</v>
      </c>
      <c r="Q284" t="str">
        <f t="shared" si="60"/>
        <v>ing</v>
      </c>
      <c r="R284" t="str">
        <f t="shared" si="61"/>
        <v>apto</v>
      </c>
      <c r="S284">
        <f t="shared" si="62"/>
        <v>6</v>
      </c>
      <c r="T284" t="str">
        <f t="shared" si="63"/>
        <v>Laptop</v>
      </c>
      <c r="U284">
        <f t="shared" si="64"/>
        <v>6</v>
      </c>
      <c r="V284" t="str">
        <f t="shared" si="65"/>
        <v>LAPTOP</v>
      </c>
      <c r="W284" t="str">
        <f t="shared" si="66"/>
        <v>laptop</v>
      </c>
      <c r="X284" t="str">
        <f t="shared" si="67"/>
        <v>Laptop</v>
      </c>
      <c r="Y284" t="str">
        <f t="shared" si="68"/>
        <v>Telangana 3</v>
      </c>
      <c r="Z284" t="str">
        <f t="shared" si="69"/>
        <v>BrandE3</v>
      </c>
      <c r="AA284" t="str">
        <f t="shared" si="70"/>
        <v>BrandE 3</v>
      </c>
      <c r="AB284" t="str">
        <f t="shared" si="71"/>
        <v>Telangana Marketplace</v>
      </c>
      <c r="AC284">
        <f t="shared" si="72"/>
        <v>5</v>
      </c>
      <c r="AD284">
        <f t="shared" si="73"/>
        <v>11</v>
      </c>
      <c r="AE284" t="str">
        <f t="shared" si="74"/>
        <v>Telapna Marketplace</v>
      </c>
      <c r="AF284" t="s">
        <v>129</v>
      </c>
      <c r="AG284" t="s">
        <v>133</v>
      </c>
      <c r="AH284" t="s">
        <v>133</v>
      </c>
    </row>
    <row r="285" spans="1:34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t="s">
        <v>28</v>
      </c>
      <c r="Q285" t="str">
        <f t="shared" si="60"/>
        <v>ery</v>
      </c>
      <c r="R285" t="str">
        <f t="shared" si="61"/>
        <v>mart</v>
      </c>
      <c r="S285">
        <f t="shared" si="62"/>
        <v>10</v>
      </c>
      <c r="T285" t="str">
        <f t="shared" si="63"/>
        <v>Smartwatch</v>
      </c>
      <c r="U285">
        <f t="shared" si="64"/>
        <v>10</v>
      </c>
      <c r="V285" t="str">
        <f t="shared" si="65"/>
        <v>SMARTWATCH</v>
      </c>
      <c r="W285" t="str">
        <f t="shared" si="66"/>
        <v>smartwatch</v>
      </c>
      <c r="X285" t="str">
        <f t="shared" si="67"/>
        <v>Smartwatch</v>
      </c>
      <c r="Y285" t="str">
        <f t="shared" si="68"/>
        <v>Telangana 6</v>
      </c>
      <c r="Z285" t="str">
        <f t="shared" si="69"/>
        <v>BrandD6</v>
      </c>
      <c r="AA285" t="str">
        <f t="shared" si="70"/>
        <v>BrandD 6</v>
      </c>
      <c r="AB285" t="str">
        <f t="shared" si="71"/>
        <v>Telangana Website</v>
      </c>
      <c r="AC285">
        <f t="shared" si="72"/>
        <v>2</v>
      </c>
      <c r="AD285" t="e">
        <f t="shared" si="73"/>
        <v>#VALUE!</v>
      </c>
      <c r="AE285" t="str">
        <f t="shared" si="74"/>
        <v>Telapna Website</v>
      </c>
      <c r="AF285" t="s">
        <v>129</v>
      </c>
      <c r="AG285" t="s">
        <v>132</v>
      </c>
      <c r="AH285" t="s">
        <v>132</v>
      </c>
    </row>
    <row r="286" spans="1:34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t="s">
        <v>21</v>
      </c>
      <c r="Q286" t="str">
        <f t="shared" si="60"/>
        <v>UPI</v>
      </c>
      <c r="R286" t="str">
        <f t="shared" si="61"/>
        <v>ipst</v>
      </c>
      <c r="S286">
        <f t="shared" si="62"/>
        <v>8</v>
      </c>
      <c r="T286" t="str">
        <f t="shared" si="63"/>
        <v>Lipstick</v>
      </c>
      <c r="U286">
        <f t="shared" si="64"/>
        <v>8</v>
      </c>
      <c r="V286" t="str">
        <f t="shared" si="65"/>
        <v>LIPSTICK</v>
      </c>
      <c r="W286" t="str">
        <f t="shared" si="66"/>
        <v>lipstick</v>
      </c>
      <c r="X286" t="str">
        <f t="shared" si="67"/>
        <v>Lipstick</v>
      </c>
      <c r="Y286" t="str">
        <f t="shared" si="68"/>
        <v>Tamil Nadu 2</v>
      </c>
      <c r="Z286" t="str">
        <f t="shared" si="69"/>
        <v>BrandA2</v>
      </c>
      <c r="AA286" t="str">
        <f t="shared" si="70"/>
        <v>BrandA 2</v>
      </c>
      <c r="AB286" t="str">
        <f t="shared" si="71"/>
        <v>Tamil Nadu Mobile App</v>
      </c>
      <c r="AC286">
        <f t="shared" si="72"/>
        <v>6</v>
      </c>
      <c r="AD286">
        <f t="shared" si="73"/>
        <v>3</v>
      </c>
      <c r="AE286" t="str">
        <f t="shared" si="74"/>
        <v>Tamipadu Mobile App</v>
      </c>
      <c r="AF286" t="s">
        <v>126</v>
      </c>
      <c r="AG286" t="s">
        <v>131</v>
      </c>
      <c r="AH286" t="s">
        <v>134</v>
      </c>
    </row>
    <row r="287" spans="1:34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t="s">
        <v>28</v>
      </c>
      <c r="Q287" t="str">
        <f t="shared" si="60"/>
        <v>UPI</v>
      </c>
      <c r="R287" t="str">
        <f t="shared" si="61"/>
        <v>icti</v>
      </c>
      <c r="S287">
        <f t="shared" si="62"/>
        <v>13</v>
      </c>
      <c r="T287" t="str">
        <f t="shared" si="63"/>
        <v>Fiction Novel</v>
      </c>
      <c r="U287">
        <f t="shared" si="64"/>
        <v>13</v>
      </c>
      <c r="V287" t="str">
        <f t="shared" si="65"/>
        <v>FICTION NOVEL</v>
      </c>
      <c r="W287" t="str">
        <f t="shared" si="66"/>
        <v>fiction novel</v>
      </c>
      <c r="X287" t="str">
        <f t="shared" si="67"/>
        <v>Fiction Novel</v>
      </c>
      <c r="Y287" t="str">
        <f t="shared" si="68"/>
        <v>West Bengal 6</v>
      </c>
      <c r="Z287" t="str">
        <f t="shared" si="69"/>
        <v>BrandD6</v>
      </c>
      <c r="AA287" t="str">
        <f t="shared" si="70"/>
        <v>BrandD 6</v>
      </c>
      <c r="AB287" t="str">
        <f t="shared" si="71"/>
        <v>West Bengal Mobile App</v>
      </c>
      <c r="AC287">
        <f t="shared" si="72"/>
        <v>6</v>
      </c>
      <c r="AD287">
        <f t="shared" si="73"/>
        <v>13</v>
      </c>
      <c r="AE287" t="str">
        <f t="shared" si="74"/>
        <v>Westpngal Mobile App</v>
      </c>
      <c r="AF287" t="s">
        <v>127</v>
      </c>
      <c r="AG287" t="s">
        <v>131</v>
      </c>
      <c r="AH287" t="s">
        <v>134</v>
      </c>
    </row>
    <row r="288" spans="1:34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t="s">
        <v>21</v>
      </c>
      <c r="Q288" t="str">
        <f t="shared" si="60"/>
        <v>ard</v>
      </c>
      <c r="R288" t="str">
        <f t="shared" si="61"/>
        <v>iogr</v>
      </c>
      <c r="S288">
        <f t="shared" si="62"/>
        <v>9</v>
      </c>
      <c r="T288" t="str">
        <f t="shared" si="63"/>
        <v>Biography</v>
      </c>
      <c r="U288">
        <f t="shared" si="64"/>
        <v>9</v>
      </c>
      <c r="V288" t="str">
        <f t="shared" si="65"/>
        <v>BIOGRAPHY</v>
      </c>
      <c r="W288" t="str">
        <f t="shared" si="66"/>
        <v>biography</v>
      </c>
      <c r="X288" t="str">
        <f t="shared" si="67"/>
        <v>Biography</v>
      </c>
      <c r="Y288" t="str">
        <f t="shared" si="68"/>
        <v>Karnataka 6</v>
      </c>
      <c r="Z288" t="str">
        <f t="shared" si="69"/>
        <v>BrandA6</v>
      </c>
      <c r="AA288" t="str">
        <f t="shared" si="70"/>
        <v>BrandA 6</v>
      </c>
      <c r="AB288" t="str">
        <f t="shared" si="71"/>
        <v>Karnataka Website</v>
      </c>
      <c r="AC288">
        <f t="shared" si="72"/>
        <v>2</v>
      </c>
      <c r="AD288" t="e">
        <f t="shared" si="73"/>
        <v>#VALUE!</v>
      </c>
      <c r="AE288" t="str">
        <f t="shared" si="74"/>
        <v>Karnpka Website</v>
      </c>
      <c r="AF288" t="s">
        <v>128</v>
      </c>
      <c r="AG288" t="s">
        <v>132</v>
      </c>
      <c r="AH288" t="s">
        <v>132</v>
      </c>
    </row>
    <row r="289" spans="1:34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t="s">
        <v>47</v>
      </c>
      <c r="Q289" t="str">
        <f t="shared" si="60"/>
        <v>UPI</v>
      </c>
      <c r="R289" t="str">
        <f t="shared" si="61"/>
        <v xml:space="preserve">oga </v>
      </c>
      <c r="S289">
        <f t="shared" si="62"/>
        <v>8</v>
      </c>
      <c r="T289" t="str">
        <f t="shared" si="63"/>
        <v>Yoga Mat</v>
      </c>
      <c r="U289">
        <f t="shared" si="64"/>
        <v>8</v>
      </c>
      <c r="V289" t="str">
        <f t="shared" si="65"/>
        <v>YOGA MAT</v>
      </c>
      <c r="W289" t="str">
        <f t="shared" si="66"/>
        <v>yoga mat</v>
      </c>
      <c r="X289" t="str">
        <f t="shared" si="67"/>
        <v>Yoga Mat</v>
      </c>
      <c r="Y289" t="str">
        <f t="shared" si="68"/>
        <v>Karnataka 8</v>
      </c>
      <c r="Z289" t="str">
        <f t="shared" si="69"/>
        <v>BrandB8</v>
      </c>
      <c r="AA289" t="str">
        <f t="shared" si="70"/>
        <v>BrandB 8</v>
      </c>
      <c r="AB289" t="str">
        <f t="shared" si="71"/>
        <v>Karnataka Mobile App</v>
      </c>
      <c r="AC289">
        <f t="shared" si="72"/>
        <v>6</v>
      </c>
      <c r="AD289">
        <f t="shared" si="73"/>
        <v>11</v>
      </c>
      <c r="AE289" t="str">
        <f t="shared" si="74"/>
        <v>Karnpka Mobile App</v>
      </c>
      <c r="AF289" t="s">
        <v>128</v>
      </c>
      <c r="AG289" t="s">
        <v>131</v>
      </c>
      <c r="AH289" t="s">
        <v>134</v>
      </c>
    </row>
    <row r="290" spans="1:34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t="s">
        <v>21</v>
      </c>
      <c r="Q290" t="str">
        <f t="shared" si="60"/>
        <v>ard</v>
      </c>
      <c r="R290" t="str">
        <f t="shared" si="61"/>
        <v>icti</v>
      </c>
      <c r="S290">
        <f t="shared" si="62"/>
        <v>13</v>
      </c>
      <c r="T290" t="str">
        <f t="shared" si="63"/>
        <v>Fiction Novel</v>
      </c>
      <c r="U290">
        <f t="shared" si="64"/>
        <v>13</v>
      </c>
      <c r="V290" t="str">
        <f t="shared" si="65"/>
        <v>FICTION NOVEL</v>
      </c>
      <c r="W290" t="str">
        <f t="shared" si="66"/>
        <v>fiction novel</v>
      </c>
      <c r="X290" t="str">
        <f t="shared" si="67"/>
        <v>Fiction Novel</v>
      </c>
      <c r="Y290" t="str">
        <f t="shared" si="68"/>
        <v>Maharashtra 7</v>
      </c>
      <c r="Z290" t="str">
        <f t="shared" si="69"/>
        <v>BrandA7</v>
      </c>
      <c r="AA290" t="str">
        <f t="shared" si="70"/>
        <v>BrandA 7</v>
      </c>
      <c r="AB290" t="str">
        <f t="shared" si="71"/>
        <v>Maharashtra Mobile App</v>
      </c>
      <c r="AC290">
        <f t="shared" si="72"/>
        <v>6</v>
      </c>
      <c r="AD290">
        <f t="shared" si="73"/>
        <v>1</v>
      </c>
      <c r="AE290" t="str">
        <f t="shared" si="74"/>
        <v>Mahaphtra Mobile App</v>
      </c>
      <c r="AF290" t="s">
        <v>130</v>
      </c>
      <c r="AG290" t="s">
        <v>131</v>
      </c>
      <c r="AH290" t="s">
        <v>134</v>
      </c>
    </row>
    <row r="291" spans="1:34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t="s">
        <v>28</v>
      </c>
      <c r="Q291" t="str">
        <f t="shared" si="60"/>
        <v>ard</v>
      </c>
      <c r="R291" t="str">
        <f t="shared" si="61"/>
        <v>ixer</v>
      </c>
      <c r="S291">
        <f t="shared" si="62"/>
        <v>13</v>
      </c>
      <c r="T291" t="str">
        <f t="shared" si="63"/>
        <v>Mixer Grinder</v>
      </c>
      <c r="U291">
        <f t="shared" si="64"/>
        <v>13</v>
      </c>
      <c r="V291" t="str">
        <f t="shared" si="65"/>
        <v>MIXER GRINDER</v>
      </c>
      <c r="W291" t="str">
        <f t="shared" si="66"/>
        <v>mixer grinder</v>
      </c>
      <c r="X291" t="str">
        <f t="shared" si="67"/>
        <v>Mixer Grinder</v>
      </c>
      <c r="Y291" t="str">
        <f t="shared" si="68"/>
        <v>Telangana 8</v>
      </c>
      <c r="Z291" t="str">
        <f t="shared" si="69"/>
        <v>BrandD8</v>
      </c>
      <c r="AA291" t="str">
        <f t="shared" si="70"/>
        <v>BrandD 8</v>
      </c>
      <c r="AB291" t="str">
        <f t="shared" si="71"/>
        <v>Telangana Marketplace</v>
      </c>
      <c r="AC291">
        <f t="shared" si="72"/>
        <v>5</v>
      </c>
      <c r="AD291">
        <f t="shared" si="73"/>
        <v>11</v>
      </c>
      <c r="AE291" t="str">
        <f t="shared" si="74"/>
        <v>Telapna Marketplace</v>
      </c>
      <c r="AF291" t="s">
        <v>129</v>
      </c>
      <c r="AG291" t="s">
        <v>133</v>
      </c>
      <c r="AH291" t="s">
        <v>133</v>
      </c>
    </row>
    <row r="292" spans="1:34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t="s">
        <v>33</v>
      </c>
      <c r="Q292" t="str">
        <f t="shared" si="60"/>
        <v>ard</v>
      </c>
      <c r="R292" t="str">
        <f t="shared" si="61"/>
        <v>hamp</v>
      </c>
      <c r="S292">
        <f t="shared" si="62"/>
        <v>7</v>
      </c>
      <c r="T292" t="str">
        <f t="shared" si="63"/>
        <v>Shampoo</v>
      </c>
      <c r="U292">
        <f t="shared" si="64"/>
        <v>7</v>
      </c>
      <c r="V292" t="str">
        <f t="shared" si="65"/>
        <v>SHAMPOO</v>
      </c>
      <c r="W292" t="str">
        <f t="shared" si="66"/>
        <v>shampoo</v>
      </c>
      <c r="X292" t="str">
        <f t="shared" si="67"/>
        <v>Shampoo</v>
      </c>
      <c r="Y292" t="str">
        <f t="shared" si="68"/>
        <v>Maharashtra 9</v>
      </c>
      <c r="Z292" t="str">
        <f t="shared" si="69"/>
        <v>BrandE9</v>
      </c>
      <c r="AA292" t="str">
        <f t="shared" si="70"/>
        <v>BrandE 9</v>
      </c>
      <c r="AB292" t="str">
        <f t="shared" si="71"/>
        <v>Maharashtra Website</v>
      </c>
      <c r="AC292">
        <f t="shared" si="72"/>
        <v>2</v>
      </c>
      <c r="AD292">
        <f t="shared" si="73"/>
        <v>1</v>
      </c>
      <c r="AE292" t="str">
        <f t="shared" si="74"/>
        <v>Mahaphtra Website</v>
      </c>
      <c r="AF292" t="s">
        <v>130</v>
      </c>
      <c r="AG292" t="s">
        <v>132</v>
      </c>
      <c r="AH292" t="s">
        <v>132</v>
      </c>
    </row>
    <row r="293" spans="1:34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t="s">
        <v>21</v>
      </c>
      <c r="Q293" t="str">
        <f t="shared" si="60"/>
        <v>ery</v>
      </c>
      <c r="R293" t="str">
        <f t="shared" si="61"/>
        <v>iogr</v>
      </c>
      <c r="S293">
        <f t="shared" si="62"/>
        <v>9</v>
      </c>
      <c r="T293" t="str">
        <f t="shared" si="63"/>
        <v>Biography</v>
      </c>
      <c r="U293">
        <f t="shared" si="64"/>
        <v>9</v>
      </c>
      <c r="V293" t="str">
        <f t="shared" si="65"/>
        <v>BIOGRAPHY</v>
      </c>
      <c r="W293" t="str">
        <f t="shared" si="66"/>
        <v>biography</v>
      </c>
      <c r="X293" t="str">
        <f t="shared" si="67"/>
        <v>Biography</v>
      </c>
      <c r="Y293" t="str">
        <f t="shared" si="68"/>
        <v>Tamil Nadu 6</v>
      </c>
      <c r="Z293" t="str">
        <f t="shared" si="69"/>
        <v>BrandA6</v>
      </c>
      <c r="AA293" t="str">
        <f t="shared" si="70"/>
        <v>BrandA 6</v>
      </c>
      <c r="AB293" t="str">
        <f t="shared" si="71"/>
        <v>Tamil Nadu Website</v>
      </c>
      <c r="AC293">
        <f t="shared" si="72"/>
        <v>2</v>
      </c>
      <c r="AD293">
        <f t="shared" si="73"/>
        <v>3</v>
      </c>
      <c r="AE293" t="str">
        <f t="shared" si="74"/>
        <v>Tamipadu Website</v>
      </c>
      <c r="AF293" t="s">
        <v>126</v>
      </c>
      <c r="AG293" t="s">
        <v>132</v>
      </c>
      <c r="AH293" t="s">
        <v>132</v>
      </c>
    </row>
    <row r="294" spans="1:34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t="s">
        <v>21</v>
      </c>
      <c r="Q294" t="str">
        <f t="shared" si="60"/>
        <v>ing</v>
      </c>
      <c r="R294" t="str">
        <f t="shared" si="61"/>
        <v>ootb</v>
      </c>
      <c r="S294">
        <f t="shared" si="62"/>
        <v>8</v>
      </c>
      <c r="T294" t="str">
        <f t="shared" si="63"/>
        <v>Football</v>
      </c>
      <c r="U294">
        <f t="shared" si="64"/>
        <v>8</v>
      </c>
      <c r="V294" t="str">
        <f t="shared" si="65"/>
        <v>FOOTBALL</v>
      </c>
      <c r="W294" t="str">
        <f t="shared" si="66"/>
        <v>football</v>
      </c>
      <c r="X294" t="str">
        <f t="shared" si="67"/>
        <v>Football</v>
      </c>
      <c r="Y294" t="str">
        <f t="shared" si="68"/>
        <v>Tamil Nadu 3</v>
      </c>
      <c r="Z294" t="str">
        <f t="shared" si="69"/>
        <v>BrandA3</v>
      </c>
      <c r="AA294" t="str">
        <f t="shared" si="70"/>
        <v>BrandA 3</v>
      </c>
      <c r="AB294" t="str">
        <f t="shared" si="71"/>
        <v>Tamil Nadu Website</v>
      </c>
      <c r="AC294">
        <f t="shared" si="72"/>
        <v>2</v>
      </c>
      <c r="AD294">
        <f t="shared" si="73"/>
        <v>3</v>
      </c>
      <c r="AE294" t="str">
        <f t="shared" si="74"/>
        <v>Tamipadu Website</v>
      </c>
      <c r="AF294" t="s">
        <v>126</v>
      </c>
      <c r="AG294" t="s">
        <v>132</v>
      </c>
      <c r="AH294" t="s">
        <v>132</v>
      </c>
    </row>
    <row r="295" spans="1:34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t="s">
        <v>45</v>
      </c>
      <c r="Q295" t="str">
        <f t="shared" si="60"/>
        <v>ery</v>
      </c>
      <c r="R295" t="str">
        <f t="shared" si="61"/>
        <v>edsh</v>
      </c>
      <c r="S295">
        <f t="shared" si="62"/>
        <v>8</v>
      </c>
      <c r="T295" t="str">
        <f t="shared" si="63"/>
        <v>Bedsheet</v>
      </c>
      <c r="U295">
        <f t="shared" si="64"/>
        <v>8</v>
      </c>
      <c r="V295" t="str">
        <f t="shared" si="65"/>
        <v>BEDSHEET</v>
      </c>
      <c r="W295" t="str">
        <f t="shared" si="66"/>
        <v>bedsheet</v>
      </c>
      <c r="X295" t="str">
        <f t="shared" si="67"/>
        <v>Bedsheet</v>
      </c>
      <c r="Y295" t="str">
        <f t="shared" si="68"/>
        <v>Delhi 3</v>
      </c>
      <c r="Z295" t="str">
        <f t="shared" si="69"/>
        <v>BrandC3</v>
      </c>
      <c r="AA295" t="str">
        <f t="shared" si="70"/>
        <v>BrandC 3</v>
      </c>
      <c r="AB295" t="str">
        <f t="shared" si="71"/>
        <v>Delhi Website</v>
      </c>
      <c r="AC295">
        <f t="shared" si="72"/>
        <v>2</v>
      </c>
      <c r="AD295" t="e">
        <f t="shared" si="73"/>
        <v>#VALUE!</v>
      </c>
      <c r="AE295" t="str">
        <f t="shared" si="74"/>
        <v>Delhpebsite</v>
      </c>
      <c r="AF295" t="s">
        <v>125</v>
      </c>
      <c r="AG295" t="s">
        <v>132</v>
      </c>
      <c r="AH295" t="s">
        <v>132</v>
      </c>
    </row>
    <row r="296" spans="1:34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t="s">
        <v>33</v>
      </c>
      <c r="Q296" t="str">
        <f t="shared" si="60"/>
        <v>ing</v>
      </c>
      <c r="R296" t="str">
        <f t="shared" si="61"/>
        <v>-Shi</v>
      </c>
      <c r="S296">
        <f t="shared" si="62"/>
        <v>7</v>
      </c>
      <c r="T296" t="str">
        <f t="shared" si="63"/>
        <v>T-Shirt</v>
      </c>
      <c r="U296">
        <f t="shared" si="64"/>
        <v>7</v>
      </c>
      <c r="V296" t="str">
        <f t="shared" si="65"/>
        <v>T-SHIRT</v>
      </c>
      <c r="W296" t="str">
        <f t="shared" si="66"/>
        <v>t-shirt</v>
      </c>
      <c r="X296" t="str">
        <f t="shared" si="67"/>
        <v>T-Shirt</v>
      </c>
      <c r="Y296" t="str">
        <f t="shared" si="68"/>
        <v>Tamil Nadu 1</v>
      </c>
      <c r="Z296" t="str">
        <f t="shared" si="69"/>
        <v>BrandE1</v>
      </c>
      <c r="AA296" t="str">
        <f t="shared" si="70"/>
        <v>BrandE 1</v>
      </c>
      <c r="AB296" t="str">
        <f t="shared" si="71"/>
        <v>Tamil Nadu Website</v>
      </c>
      <c r="AC296">
        <f t="shared" si="72"/>
        <v>2</v>
      </c>
      <c r="AD296">
        <f t="shared" si="73"/>
        <v>3</v>
      </c>
      <c r="AE296" t="str">
        <f t="shared" si="74"/>
        <v>Tamipadu Website</v>
      </c>
      <c r="AF296" t="s">
        <v>126</v>
      </c>
      <c r="AG296" t="s">
        <v>132</v>
      </c>
      <c r="AH296" t="s">
        <v>132</v>
      </c>
    </row>
    <row r="297" spans="1:34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t="s">
        <v>47</v>
      </c>
      <c r="Q297" t="str">
        <f t="shared" si="60"/>
        <v>ery</v>
      </c>
      <c r="R297" t="str">
        <f t="shared" si="61"/>
        <v>-Shi</v>
      </c>
      <c r="S297">
        <f t="shared" si="62"/>
        <v>7</v>
      </c>
      <c r="T297" t="str">
        <f t="shared" si="63"/>
        <v>T-Shirt</v>
      </c>
      <c r="U297">
        <f t="shared" si="64"/>
        <v>7</v>
      </c>
      <c r="V297" t="str">
        <f t="shared" si="65"/>
        <v>T-SHIRT</v>
      </c>
      <c r="W297" t="str">
        <f t="shared" si="66"/>
        <v>t-shirt</v>
      </c>
      <c r="X297" t="str">
        <f t="shared" si="67"/>
        <v>T-Shirt</v>
      </c>
      <c r="Y297" t="str">
        <f t="shared" si="68"/>
        <v>Delhi 5</v>
      </c>
      <c r="Z297" t="str">
        <f t="shared" si="69"/>
        <v>BrandB5</v>
      </c>
      <c r="AA297" t="str">
        <f t="shared" si="70"/>
        <v>BrandB 5</v>
      </c>
      <c r="AB297" t="str">
        <f t="shared" si="71"/>
        <v>Delhi Mobile App</v>
      </c>
      <c r="AC297">
        <f t="shared" si="72"/>
        <v>6</v>
      </c>
      <c r="AD297">
        <f t="shared" si="73"/>
        <v>7</v>
      </c>
      <c r="AE297" t="str">
        <f t="shared" si="74"/>
        <v>Delhpobile App</v>
      </c>
      <c r="AF297" t="s">
        <v>125</v>
      </c>
      <c r="AG297" t="s">
        <v>131</v>
      </c>
      <c r="AH297" t="s">
        <v>134</v>
      </c>
    </row>
    <row r="298" spans="1:34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t="s">
        <v>28</v>
      </c>
      <c r="Q298" t="str">
        <f t="shared" si="60"/>
        <v>UPI</v>
      </c>
      <c r="R298" t="str">
        <f t="shared" si="61"/>
        <v>ixer</v>
      </c>
      <c r="S298">
        <f t="shared" si="62"/>
        <v>13</v>
      </c>
      <c r="T298" t="str">
        <f t="shared" si="63"/>
        <v>Mixer Grinder</v>
      </c>
      <c r="U298">
        <f t="shared" si="64"/>
        <v>13</v>
      </c>
      <c r="V298" t="str">
        <f t="shared" si="65"/>
        <v>MIXER GRINDER</v>
      </c>
      <c r="W298" t="str">
        <f t="shared" si="66"/>
        <v>mixer grinder</v>
      </c>
      <c r="X298" t="str">
        <f t="shared" si="67"/>
        <v>Mixer Grinder</v>
      </c>
      <c r="Y298" t="str">
        <f t="shared" si="68"/>
        <v>West Bengal 4</v>
      </c>
      <c r="Z298" t="str">
        <f t="shared" si="69"/>
        <v>BrandD4</v>
      </c>
      <c r="AA298" t="str">
        <f t="shared" si="70"/>
        <v>BrandD 4</v>
      </c>
      <c r="AB298" t="str">
        <f t="shared" si="71"/>
        <v>West Bengal Marketplace</v>
      </c>
      <c r="AC298">
        <f t="shared" si="72"/>
        <v>5</v>
      </c>
      <c r="AD298">
        <f t="shared" si="73"/>
        <v>13</v>
      </c>
      <c r="AE298" t="str">
        <f t="shared" si="74"/>
        <v>Westpngal Marketplace</v>
      </c>
      <c r="AF298" t="s">
        <v>127</v>
      </c>
      <c r="AG298" t="s">
        <v>133</v>
      </c>
      <c r="AH298" t="s">
        <v>133</v>
      </c>
    </row>
    <row r="299" spans="1:34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t="s">
        <v>47</v>
      </c>
      <c r="Q299" t="str">
        <f t="shared" si="60"/>
        <v>ard</v>
      </c>
      <c r="R299" t="str">
        <f t="shared" si="61"/>
        <v xml:space="preserve">oga </v>
      </c>
      <c r="S299">
        <f t="shared" si="62"/>
        <v>8</v>
      </c>
      <c r="T299" t="str">
        <f t="shared" si="63"/>
        <v>Yoga Mat</v>
      </c>
      <c r="U299">
        <f t="shared" si="64"/>
        <v>8</v>
      </c>
      <c r="V299" t="str">
        <f t="shared" si="65"/>
        <v>YOGA MAT</v>
      </c>
      <c r="W299" t="str">
        <f t="shared" si="66"/>
        <v>yoga mat</v>
      </c>
      <c r="X299" t="str">
        <f t="shared" si="67"/>
        <v>Yoga Mat</v>
      </c>
      <c r="Y299" t="str">
        <f t="shared" si="68"/>
        <v>Maharashtra 9</v>
      </c>
      <c r="Z299" t="str">
        <f t="shared" si="69"/>
        <v>BrandB9</v>
      </c>
      <c r="AA299" t="str">
        <f t="shared" si="70"/>
        <v>BrandB 9</v>
      </c>
      <c r="AB299" t="str">
        <f t="shared" si="71"/>
        <v>Maharashtra Website</v>
      </c>
      <c r="AC299">
        <f t="shared" si="72"/>
        <v>2</v>
      </c>
      <c r="AD299">
        <f t="shared" si="73"/>
        <v>1</v>
      </c>
      <c r="AE299" t="str">
        <f t="shared" si="74"/>
        <v>Mahaphtra Website</v>
      </c>
      <c r="AF299" t="s">
        <v>130</v>
      </c>
      <c r="AG299" t="s">
        <v>132</v>
      </c>
      <c r="AH299" t="s">
        <v>132</v>
      </c>
    </row>
    <row r="300" spans="1:34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t="s">
        <v>33</v>
      </c>
      <c r="Q300" t="str">
        <f t="shared" si="60"/>
        <v>ing</v>
      </c>
      <c r="R300" t="str">
        <f t="shared" si="61"/>
        <v>edsh</v>
      </c>
      <c r="S300">
        <f t="shared" si="62"/>
        <v>8</v>
      </c>
      <c r="T300" t="str">
        <f t="shared" si="63"/>
        <v>Bedsheet</v>
      </c>
      <c r="U300">
        <f t="shared" si="64"/>
        <v>8</v>
      </c>
      <c r="V300" t="str">
        <f t="shared" si="65"/>
        <v>BEDSHEET</v>
      </c>
      <c r="W300" t="str">
        <f t="shared" si="66"/>
        <v>bedsheet</v>
      </c>
      <c r="X300" t="str">
        <f t="shared" si="67"/>
        <v>Bedsheet</v>
      </c>
      <c r="Y300" t="str">
        <f t="shared" si="68"/>
        <v>West Bengal 9</v>
      </c>
      <c r="Z300" t="str">
        <f t="shared" si="69"/>
        <v>BrandE9</v>
      </c>
      <c r="AA300" t="str">
        <f t="shared" si="70"/>
        <v>BrandE 9</v>
      </c>
      <c r="AB300" t="str">
        <f t="shared" si="71"/>
        <v>West Bengal Marketplace</v>
      </c>
      <c r="AC300">
        <f t="shared" si="72"/>
        <v>5</v>
      </c>
      <c r="AD300">
        <f t="shared" si="73"/>
        <v>13</v>
      </c>
      <c r="AE300" t="str">
        <f t="shared" si="74"/>
        <v>Westpngal Marketplace</v>
      </c>
      <c r="AF300" t="s">
        <v>127</v>
      </c>
      <c r="AG300" t="s">
        <v>133</v>
      </c>
      <c r="AH300" t="s">
        <v>133</v>
      </c>
    </row>
    <row r="301" spans="1:34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t="s">
        <v>21</v>
      </c>
      <c r="Q301" t="str">
        <f t="shared" si="60"/>
        <v>ard</v>
      </c>
      <c r="R301" t="str">
        <f t="shared" si="61"/>
        <v>hamp</v>
      </c>
      <c r="S301">
        <f t="shared" si="62"/>
        <v>7</v>
      </c>
      <c r="T301" t="str">
        <f t="shared" si="63"/>
        <v>Shampoo</v>
      </c>
      <c r="U301">
        <f t="shared" si="64"/>
        <v>7</v>
      </c>
      <c r="V301" t="str">
        <f t="shared" si="65"/>
        <v>SHAMPOO</v>
      </c>
      <c r="W301" t="str">
        <f t="shared" si="66"/>
        <v>shampoo</v>
      </c>
      <c r="X301" t="str">
        <f t="shared" si="67"/>
        <v>Shampoo</v>
      </c>
      <c r="Y301" t="str">
        <f t="shared" si="68"/>
        <v>Tamil Nadu 5</v>
      </c>
      <c r="Z301" t="str">
        <f t="shared" si="69"/>
        <v>BrandA5</v>
      </c>
      <c r="AA301" t="str">
        <f t="shared" si="70"/>
        <v>BrandA 5</v>
      </c>
      <c r="AB301" t="str">
        <f t="shared" si="71"/>
        <v>Tamil Nadu Marketplace</v>
      </c>
      <c r="AC301">
        <f t="shared" si="72"/>
        <v>5</v>
      </c>
      <c r="AD301">
        <f t="shared" si="73"/>
        <v>3</v>
      </c>
      <c r="AE301" t="str">
        <f t="shared" si="74"/>
        <v>Tamipadu Marketplace</v>
      </c>
      <c r="AF301" t="s">
        <v>126</v>
      </c>
      <c r="AG301" t="s">
        <v>133</v>
      </c>
      <c r="AH301" t="s">
        <v>133</v>
      </c>
    </row>
    <row r="302" spans="1:34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t="s">
        <v>21</v>
      </c>
      <c r="Q302" t="str">
        <f t="shared" si="60"/>
        <v>ard</v>
      </c>
      <c r="R302" t="str">
        <f t="shared" si="61"/>
        <v>hamp</v>
      </c>
      <c r="S302">
        <f t="shared" si="62"/>
        <v>7</v>
      </c>
      <c r="T302" t="str">
        <f t="shared" si="63"/>
        <v>Shampoo</v>
      </c>
      <c r="U302">
        <f t="shared" si="64"/>
        <v>7</v>
      </c>
      <c r="V302" t="str">
        <f t="shared" si="65"/>
        <v>SHAMPOO</v>
      </c>
      <c r="W302" t="str">
        <f t="shared" si="66"/>
        <v>shampoo</v>
      </c>
      <c r="X302" t="str">
        <f t="shared" si="67"/>
        <v>Shampoo</v>
      </c>
      <c r="Y302" t="str">
        <f t="shared" si="68"/>
        <v>West Bengal 4</v>
      </c>
      <c r="Z302" t="str">
        <f t="shared" si="69"/>
        <v>BrandA4</v>
      </c>
      <c r="AA302" t="str">
        <f t="shared" si="70"/>
        <v>BrandA 4</v>
      </c>
      <c r="AB302" t="str">
        <f t="shared" si="71"/>
        <v>West Bengal Mobile App</v>
      </c>
      <c r="AC302">
        <f t="shared" si="72"/>
        <v>6</v>
      </c>
      <c r="AD302">
        <f t="shared" si="73"/>
        <v>13</v>
      </c>
      <c r="AE302" t="str">
        <f t="shared" si="74"/>
        <v>Westpngal Mobile App</v>
      </c>
      <c r="AF302" t="s">
        <v>127</v>
      </c>
      <c r="AG302" t="s">
        <v>131</v>
      </c>
      <c r="AH302" t="s">
        <v>134</v>
      </c>
    </row>
    <row r="303" spans="1:34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t="s">
        <v>33</v>
      </c>
      <c r="Q303" t="str">
        <f t="shared" si="60"/>
        <v>ard</v>
      </c>
      <c r="R303" t="str">
        <f t="shared" si="61"/>
        <v>eans</v>
      </c>
      <c r="S303">
        <f t="shared" si="62"/>
        <v>5</v>
      </c>
      <c r="T303" t="str">
        <f t="shared" si="63"/>
        <v>Jeans</v>
      </c>
      <c r="U303">
        <f t="shared" si="64"/>
        <v>5</v>
      </c>
      <c r="V303" t="str">
        <f t="shared" si="65"/>
        <v>JEANS</v>
      </c>
      <c r="W303" t="str">
        <f t="shared" si="66"/>
        <v>jeans</v>
      </c>
      <c r="X303" t="str">
        <f t="shared" si="67"/>
        <v>Jeans</v>
      </c>
      <c r="Y303" t="str">
        <f t="shared" si="68"/>
        <v>West Bengal 7</v>
      </c>
      <c r="Z303" t="str">
        <f t="shared" si="69"/>
        <v>BrandE7</v>
      </c>
      <c r="AA303" t="str">
        <f t="shared" si="70"/>
        <v>BrandE 7</v>
      </c>
      <c r="AB303" t="str">
        <f t="shared" si="71"/>
        <v>West Bengal Website</v>
      </c>
      <c r="AC303">
        <f t="shared" si="72"/>
        <v>2</v>
      </c>
      <c r="AD303" t="e">
        <f t="shared" si="73"/>
        <v>#VALUE!</v>
      </c>
      <c r="AE303" t="str">
        <f t="shared" si="74"/>
        <v>Westpngal Website</v>
      </c>
      <c r="AF303" t="s">
        <v>127</v>
      </c>
      <c r="AG303" t="s">
        <v>132</v>
      </c>
      <c r="AH303" t="s">
        <v>132</v>
      </c>
    </row>
    <row r="304" spans="1:34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t="s">
        <v>21</v>
      </c>
      <c r="Q304" t="str">
        <f t="shared" si="60"/>
        <v>ard</v>
      </c>
      <c r="R304" t="str">
        <f t="shared" si="61"/>
        <v>iogr</v>
      </c>
      <c r="S304">
        <f t="shared" si="62"/>
        <v>9</v>
      </c>
      <c r="T304" t="str">
        <f t="shared" si="63"/>
        <v>Biography</v>
      </c>
      <c r="U304">
        <f t="shared" si="64"/>
        <v>9</v>
      </c>
      <c r="V304" t="str">
        <f t="shared" si="65"/>
        <v>BIOGRAPHY</v>
      </c>
      <c r="W304" t="str">
        <f t="shared" si="66"/>
        <v>biography</v>
      </c>
      <c r="X304" t="str">
        <f t="shared" si="67"/>
        <v>Biography</v>
      </c>
      <c r="Y304" t="str">
        <f t="shared" si="68"/>
        <v>West Bengal 6</v>
      </c>
      <c r="Z304" t="str">
        <f t="shared" si="69"/>
        <v>BrandA6</v>
      </c>
      <c r="AA304" t="str">
        <f t="shared" si="70"/>
        <v>BrandA 6</v>
      </c>
      <c r="AB304" t="str">
        <f t="shared" si="71"/>
        <v>West Bengal Mobile App</v>
      </c>
      <c r="AC304">
        <f t="shared" si="72"/>
        <v>6</v>
      </c>
      <c r="AD304">
        <f t="shared" si="73"/>
        <v>13</v>
      </c>
      <c r="AE304" t="str">
        <f t="shared" si="74"/>
        <v>Westpngal Mobile App</v>
      </c>
      <c r="AF304" t="s">
        <v>127</v>
      </c>
      <c r="AG304" t="s">
        <v>131</v>
      </c>
      <c r="AH304" t="s">
        <v>134</v>
      </c>
    </row>
    <row r="305" spans="1:34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t="s">
        <v>21</v>
      </c>
      <c r="Q305" t="str">
        <f t="shared" si="60"/>
        <v>ard</v>
      </c>
      <c r="R305" t="str">
        <f t="shared" si="61"/>
        <v>rick</v>
      </c>
      <c r="S305">
        <f t="shared" si="62"/>
        <v>11</v>
      </c>
      <c r="T305" t="str">
        <f t="shared" si="63"/>
        <v>Cricket Bat</v>
      </c>
      <c r="U305">
        <f t="shared" si="64"/>
        <v>11</v>
      </c>
      <c r="V305" t="str">
        <f t="shared" si="65"/>
        <v>CRICKET BAT</v>
      </c>
      <c r="W305" t="str">
        <f t="shared" si="66"/>
        <v>cricket bat</v>
      </c>
      <c r="X305" t="str">
        <f t="shared" si="67"/>
        <v>Cricket Bat</v>
      </c>
      <c r="Y305" t="str">
        <f t="shared" si="68"/>
        <v>Tamil Nadu 4</v>
      </c>
      <c r="Z305" t="str">
        <f t="shared" si="69"/>
        <v>BrandA4</v>
      </c>
      <c r="AA305" t="str">
        <f t="shared" si="70"/>
        <v>BrandA 4</v>
      </c>
      <c r="AB305" t="str">
        <f t="shared" si="71"/>
        <v>Tamil Nadu Website</v>
      </c>
      <c r="AC305">
        <f t="shared" si="72"/>
        <v>2</v>
      </c>
      <c r="AD305">
        <f t="shared" si="73"/>
        <v>3</v>
      </c>
      <c r="AE305" t="str">
        <f t="shared" si="74"/>
        <v>Tamipadu Website</v>
      </c>
      <c r="AF305" t="s">
        <v>126</v>
      </c>
      <c r="AG305" t="s">
        <v>132</v>
      </c>
      <c r="AH305" t="s">
        <v>132</v>
      </c>
    </row>
    <row r="306" spans="1:34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t="s">
        <v>21</v>
      </c>
      <c r="Q306" t="str">
        <f t="shared" si="60"/>
        <v>ery</v>
      </c>
      <c r="R306" t="str">
        <f t="shared" si="61"/>
        <v>-Shi</v>
      </c>
      <c r="S306">
        <f t="shared" si="62"/>
        <v>7</v>
      </c>
      <c r="T306" t="str">
        <f t="shared" si="63"/>
        <v>T-Shirt</v>
      </c>
      <c r="U306">
        <f t="shared" si="64"/>
        <v>7</v>
      </c>
      <c r="V306" t="str">
        <f t="shared" si="65"/>
        <v>T-SHIRT</v>
      </c>
      <c r="W306" t="str">
        <f t="shared" si="66"/>
        <v>t-shirt</v>
      </c>
      <c r="X306" t="str">
        <f t="shared" si="67"/>
        <v>T-Shirt</v>
      </c>
      <c r="Y306" t="str">
        <f t="shared" si="68"/>
        <v>Telangana 2</v>
      </c>
      <c r="Z306" t="str">
        <f t="shared" si="69"/>
        <v>BrandA2</v>
      </c>
      <c r="AA306" t="str">
        <f t="shared" si="70"/>
        <v>BrandA 2</v>
      </c>
      <c r="AB306" t="str">
        <f t="shared" si="71"/>
        <v>Telangana Mobile App</v>
      </c>
      <c r="AC306">
        <f t="shared" si="72"/>
        <v>6</v>
      </c>
      <c r="AD306">
        <f t="shared" si="73"/>
        <v>11</v>
      </c>
      <c r="AE306" t="str">
        <f t="shared" si="74"/>
        <v>Telapna Mobile App</v>
      </c>
      <c r="AF306" t="s">
        <v>129</v>
      </c>
      <c r="AG306" t="s">
        <v>131</v>
      </c>
      <c r="AH306" t="s">
        <v>134</v>
      </c>
    </row>
    <row r="307" spans="1:34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t="s">
        <v>28</v>
      </c>
      <c r="Q307" t="str">
        <f t="shared" si="60"/>
        <v>ing</v>
      </c>
      <c r="R307" t="str">
        <f t="shared" si="61"/>
        <v>extb</v>
      </c>
      <c r="S307">
        <f t="shared" si="62"/>
        <v>8</v>
      </c>
      <c r="T307" t="str">
        <f t="shared" si="63"/>
        <v>Textbook</v>
      </c>
      <c r="U307">
        <f t="shared" si="64"/>
        <v>8</v>
      </c>
      <c r="V307" t="str">
        <f t="shared" si="65"/>
        <v>TEXTBOOK</v>
      </c>
      <c r="W307" t="str">
        <f t="shared" si="66"/>
        <v>textbook</v>
      </c>
      <c r="X307" t="str">
        <f t="shared" si="67"/>
        <v>Textbook</v>
      </c>
      <c r="Y307" t="str">
        <f t="shared" si="68"/>
        <v>West Bengal 1</v>
      </c>
      <c r="Z307" t="str">
        <f t="shared" si="69"/>
        <v>BrandD1</v>
      </c>
      <c r="AA307" t="str">
        <f t="shared" si="70"/>
        <v>BrandD 1</v>
      </c>
      <c r="AB307" t="str">
        <f t="shared" si="71"/>
        <v>West Bengal Marketplace</v>
      </c>
      <c r="AC307">
        <f t="shared" si="72"/>
        <v>5</v>
      </c>
      <c r="AD307">
        <f t="shared" si="73"/>
        <v>13</v>
      </c>
      <c r="AE307" t="str">
        <f t="shared" si="74"/>
        <v>Westpngal Marketplace</v>
      </c>
      <c r="AF307" t="s">
        <v>127</v>
      </c>
      <c r="AG307" t="s">
        <v>133</v>
      </c>
      <c r="AH307" t="s">
        <v>133</v>
      </c>
    </row>
    <row r="308" spans="1:34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t="s">
        <v>28</v>
      </c>
      <c r="Q308" t="str">
        <f t="shared" si="60"/>
        <v>ing</v>
      </c>
      <c r="R308" t="str">
        <f t="shared" si="61"/>
        <v>icti</v>
      </c>
      <c r="S308">
        <f t="shared" si="62"/>
        <v>13</v>
      </c>
      <c r="T308" t="str">
        <f t="shared" si="63"/>
        <v>Fiction Novel</v>
      </c>
      <c r="U308">
        <f t="shared" si="64"/>
        <v>13</v>
      </c>
      <c r="V308" t="str">
        <f t="shared" si="65"/>
        <v>FICTION NOVEL</v>
      </c>
      <c r="W308" t="str">
        <f t="shared" si="66"/>
        <v>fiction novel</v>
      </c>
      <c r="X308" t="str">
        <f t="shared" si="67"/>
        <v>Fiction Novel</v>
      </c>
      <c r="Y308" t="str">
        <f t="shared" si="68"/>
        <v>Delhi 4</v>
      </c>
      <c r="Z308" t="str">
        <f t="shared" si="69"/>
        <v>BrandD4</v>
      </c>
      <c r="AA308" t="str">
        <f t="shared" si="70"/>
        <v>BrandD 4</v>
      </c>
      <c r="AB308" t="str">
        <f t="shared" si="71"/>
        <v>Delhi Website</v>
      </c>
      <c r="AC308">
        <f t="shared" si="72"/>
        <v>2</v>
      </c>
      <c r="AD308" t="e">
        <f t="shared" si="73"/>
        <v>#VALUE!</v>
      </c>
      <c r="AE308" t="str">
        <f t="shared" si="74"/>
        <v>Delhpebsite</v>
      </c>
      <c r="AF308" t="s">
        <v>125</v>
      </c>
      <c r="AG308" t="s">
        <v>132</v>
      </c>
      <c r="AH308" t="s">
        <v>132</v>
      </c>
    </row>
    <row r="309" spans="1:34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t="s">
        <v>45</v>
      </c>
      <c r="Q309" t="str">
        <f t="shared" si="60"/>
        <v>ard</v>
      </c>
      <c r="R309" t="str">
        <f t="shared" si="61"/>
        <v>hamp</v>
      </c>
      <c r="S309">
        <f t="shared" si="62"/>
        <v>7</v>
      </c>
      <c r="T309" t="str">
        <f t="shared" si="63"/>
        <v>Shampoo</v>
      </c>
      <c r="U309">
        <f t="shared" si="64"/>
        <v>7</v>
      </c>
      <c r="V309" t="str">
        <f t="shared" si="65"/>
        <v>SHAMPOO</v>
      </c>
      <c r="W309" t="str">
        <f t="shared" si="66"/>
        <v>shampoo</v>
      </c>
      <c r="X309" t="str">
        <f t="shared" si="67"/>
        <v>Shampoo</v>
      </c>
      <c r="Y309" t="str">
        <f t="shared" si="68"/>
        <v>Tamil Nadu 4</v>
      </c>
      <c r="Z309" t="str">
        <f t="shared" si="69"/>
        <v>BrandC4</v>
      </c>
      <c r="AA309" t="str">
        <f t="shared" si="70"/>
        <v>BrandC 4</v>
      </c>
      <c r="AB309" t="str">
        <f t="shared" si="71"/>
        <v>Tamil Nadu Marketplace</v>
      </c>
      <c r="AC309">
        <f t="shared" si="72"/>
        <v>5</v>
      </c>
      <c r="AD309">
        <f t="shared" si="73"/>
        <v>3</v>
      </c>
      <c r="AE309" t="str">
        <f t="shared" si="74"/>
        <v>Tamipadu Marketplace</v>
      </c>
      <c r="AF309" t="s">
        <v>126</v>
      </c>
      <c r="AG309" t="s">
        <v>133</v>
      </c>
      <c r="AH309" t="s">
        <v>133</v>
      </c>
    </row>
    <row r="310" spans="1:34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t="s">
        <v>47</v>
      </c>
      <c r="Q310" t="str">
        <f t="shared" si="60"/>
        <v>UPI</v>
      </c>
      <c r="R310" t="str">
        <f t="shared" si="61"/>
        <v>mart</v>
      </c>
      <c r="S310">
        <f t="shared" si="62"/>
        <v>10</v>
      </c>
      <c r="T310" t="str">
        <f t="shared" si="63"/>
        <v>Smartwatch</v>
      </c>
      <c r="U310">
        <f t="shared" si="64"/>
        <v>10</v>
      </c>
      <c r="V310" t="str">
        <f t="shared" si="65"/>
        <v>SMARTWATCH</v>
      </c>
      <c r="W310" t="str">
        <f t="shared" si="66"/>
        <v>smartwatch</v>
      </c>
      <c r="X310" t="str">
        <f t="shared" si="67"/>
        <v>Smartwatch</v>
      </c>
      <c r="Y310" t="str">
        <f t="shared" si="68"/>
        <v>West Bengal 1</v>
      </c>
      <c r="Z310" t="str">
        <f t="shared" si="69"/>
        <v>BrandB1</v>
      </c>
      <c r="AA310" t="str">
        <f t="shared" si="70"/>
        <v>BrandB 1</v>
      </c>
      <c r="AB310" t="str">
        <f t="shared" si="71"/>
        <v>West Bengal Marketplace</v>
      </c>
      <c r="AC310">
        <f t="shared" si="72"/>
        <v>5</v>
      </c>
      <c r="AD310">
        <f t="shared" si="73"/>
        <v>13</v>
      </c>
      <c r="AE310" t="str">
        <f t="shared" si="74"/>
        <v>Westpngal Marketplace</v>
      </c>
      <c r="AF310" t="s">
        <v>127</v>
      </c>
      <c r="AG310" t="s">
        <v>133</v>
      </c>
      <c r="AH310" t="s">
        <v>133</v>
      </c>
    </row>
    <row r="311" spans="1:34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t="s">
        <v>33</v>
      </c>
      <c r="Q311" t="str">
        <f t="shared" si="60"/>
        <v>UPI</v>
      </c>
      <c r="R311" t="str">
        <f t="shared" si="61"/>
        <v>mart</v>
      </c>
      <c r="S311">
        <f t="shared" si="62"/>
        <v>10</v>
      </c>
      <c r="T311" t="str">
        <f t="shared" si="63"/>
        <v>Smartwatch</v>
      </c>
      <c r="U311">
        <f t="shared" si="64"/>
        <v>10</v>
      </c>
      <c r="V311" t="str">
        <f t="shared" si="65"/>
        <v>SMARTWATCH</v>
      </c>
      <c r="W311" t="str">
        <f t="shared" si="66"/>
        <v>smartwatch</v>
      </c>
      <c r="X311" t="str">
        <f t="shared" si="67"/>
        <v>Smartwatch</v>
      </c>
      <c r="Y311" t="str">
        <f t="shared" si="68"/>
        <v>Telangana 6</v>
      </c>
      <c r="Z311" t="str">
        <f t="shared" si="69"/>
        <v>BrandE6</v>
      </c>
      <c r="AA311" t="str">
        <f t="shared" si="70"/>
        <v>BrandE 6</v>
      </c>
      <c r="AB311" t="str">
        <f t="shared" si="71"/>
        <v>Telangana Mobile App</v>
      </c>
      <c r="AC311">
        <f t="shared" si="72"/>
        <v>6</v>
      </c>
      <c r="AD311">
        <f t="shared" si="73"/>
        <v>11</v>
      </c>
      <c r="AE311" t="str">
        <f t="shared" si="74"/>
        <v>Telapna Mobile App</v>
      </c>
      <c r="AF311" t="s">
        <v>129</v>
      </c>
      <c r="AG311" t="s">
        <v>131</v>
      </c>
      <c r="AH311" t="s">
        <v>134</v>
      </c>
    </row>
    <row r="312" spans="1:34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t="s">
        <v>33</v>
      </c>
      <c r="Q312" t="str">
        <f t="shared" si="60"/>
        <v>ard</v>
      </c>
      <c r="R312" t="str">
        <f t="shared" si="61"/>
        <v>edsh</v>
      </c>
      <c r="S312">
        <f t="shared" si="62"/>
        <v>8</v>
      </c>
      <c r="T312" t="str">
        <f t="shared" si="63"/>
        <v>Bedsheet</v>
      </c>
      <c r="U312">
        <f t="shared" si="64"/>
        <v>8</v>
      </c>
      <c r="V312" t="str">
        <f t="shared" si="65"/>
        <v>BEDSHEET</v>
      </c>
      <c r="W312" t="str">
        <f t="shared" si="66"/>
        <v>bedsheet</v>
      </c>
      <c r="X312" t="str">
        <f t="shared" si="67"/>
        <v>Bedsheet</v>
      </c>
      <c r="Y312" t="str">
        <f t="shared" si="68"/>
        <v>Tamil Nadu 4</v>
      </c>
      <c r="Z312" t="str">
        <f t="shared" si="69"/>
        <v>BrandE4</v>
      </c>
      <c r="AA312" t="str">
        <f t="shared" si="70"/>
        <v>BrandE 4</v>
      </c>
      <c r="AB312" t="str">
        <f t="shared" si="71"/>
        <v>Tamil Nadu Website</v>
      </c>
      <c r="AC312">
        <f t="shared" si="72"/>
        <v>2</v>
      </c>
      <c r="AD312">
        <f t="shared" si="73"/>
        <v>3</v>
      </c>
      <c r="AE312" t="str">
        <f t="shared" si="74"/>
        <v>Tamipadu Website</v>
      </c>
      <c r="AF312" t="s">
        <v>126</v>
      </c>
      <c r="AG312" t="s">
        <v>132</v>
      </c>
      <c r="AH312" t="s">
        <v>132</v>
      </c>
    </row>
    <row r="313" spans="1:34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t="s">
        <v>33</v>
      </c>
      <c r="Q313" t="str">
        <f t="shared" si="60"/>
        <v>ard</v>
      </c>
      <c r="R313" t="str">
        <f t="shared" si="61"/>
        <v>ipst</v>
      </c>
      <c r="S313">
        <f t="shared" si="62"/>
        <v>8</v>
      </c>
      <c r="T313" t="str">
        <f t="shared" si="63"/>
        <v>Lipstick</v>
      </c>
      <c r="U313">
        <f t="shared" si="64"/>
        <v>8</v>
      </c>
      <c r="V313" t="str">
        <f t="shared" si="65"/>
        <v>LIPSTICK</v>
      </c>
      <c r="W313" t="str">
        <f t="shared" si="66"/>
        <v>lipstick</v>
      </c>
      <c r="X313" t="str">
        <f t="shared" si="67"/>
        <v>Lipstick</v>
      </c>
      <c r="Y313" t="str">
        <f t="shared" si="68"/>
        <v>Karnataka 1</v>
      </c>
      <c r="Z313" t="str">
        <f t="shared" si="69"/>
        <v>BrandE1</v>
      </c>
      <c r="AA313" t="str">
        <f t="shared" si="70"/>
        <v>BrandE 1</v>
      </c>
      <c r="AB313" t="str">
        <f t="shared" si="71"/>
        <v>Karnataka Marketplace</v>
      </c>
      <c r="AC313">
        <f t="shared" si="72"/>
        <v>5</v>
      </c>
      <c r="AD313">
        <f t="shared" si="73"/>
        <v>11</v>
      </c>
      <c r="AE313" t="str">
        <f t="shared" si="74"/>
        <v>Karnpka Marketplace</v>
      </c>
      <c r="AF313" t="s">
        <v>128</v>
      </c>
      <c r="AG313" t="s">
        <v>133</v>
      </c>
      <c r="AH313" t="s">
        <v>133</v>
      </c>
    </row>
    <row r="314" spans="1:34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t="s">
        <v>45</v>
      </c>
      <c r="Q314" t="str">
        <f t="shared" si="60"/>
        <v>ery</v>
      </c>
      <c r="R314" t="str">
        <f t="shared" si="61"/>
        <v>extb</v>
      </c>
      <c r="S314">
        <f t="shared" si="62"/>
        <v>8</v>
      </c>
      <c r="T314" t="str">
        <f t="shared" si="63"/>
        <v>Textbook</v>
      </c>
      <c r="U314">
        <f t="shared" si="64"/>
        <v>8</v>
      </c>
      <c r="V314" t="str">
        <f t="shared" si="65"/>
        <v>TEXTBOOK</v>
      </c>
      <c r="W314" t="str">
        <f t="shared" si="66"/>
        <v>textbook</v>
      </c>
      <c r="X314" t="str">
        <f t="shared" si="67"/>
        <v>Textbook</v>
      </c>
      <c r="Y314" t="str">
        <f t="shared" si="68"/>
        <v>Telangana 1</v>
      </c>
      <c r="Z314" t="str">
        <f t="shared" si="69"/>
        <v>BrandC1</v>
      </c>
      <c r="AA314" t="str">
        <f t="shared" si="70"/>
        <v>BrandC 1</v>
      </c>
      <c r="AB314" t="str">
        <f t="shared" si="71"/>
        <v>Telangana Mobile App</v>
      </c>
      <c r="AC314">
        <f t="shared" si="72"/>
        <v>6</v>
      </c>
      <c r="AD314">
        <f t="shared" si="73"/>
        <v>11</v>
      </c>
      <c r="AE314" t="str">
        <f t="shared" si="74"/>
        <v>Telapna Mobile App</v>
      </c>
      <c r="AF314" t="s">
        <v>129</v>
      </c>
      <c r="AG314" t="s">
        <v>131</v>
      </c>
      <c r="AH314" t="s">
        <v>134</v>
      </c>
    </row>
    <row r="315" spans="1:34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t="s">
        <v>28</v>
      </c>
      <c r="Q315" t="str">
        <f t="shared" si="60"/>
        <v>ard</v>
      </c>
      <c r="R315" t="str">
        <f t="shared" si="61"/>
        <v>umbb</v>
      </c>
      <c r="S315">
        <f t="shared" si="62"/>
        <v>9</v>
      </c>
      <c r="T315" t="str">
        <f t="shared" si="63"/>
        <v>Dumbbells</v>
      </c>
      <c r="U315">
        <f t="shared" si="64"/>
        <v>9</v>
      </c>
      <c r="V315" t="str">
        <f t="shared" si="65"/>
        <v>DUMBBELLS</v>
      </c>
      <c r="W315" t="str">
        <f t="shared" si="66"/>
        <v>dumbbells</v>
      </c>
      <c r="X315" t="str">
        <f t="shared" si="67"/>
        <v>Dumbbells</v>
      </c>
      <c r="Y315" t="str">
        <f t="shared" si="68"/>
        <v>Delhi 1</v>
      </c>
      <c r="Z315" t="str">
        <f t="shared" si="69"/>
        <v>BrandD1</v>
      </c>
      <c r="AA315" t="str">
        <f t="shared" si="70"/>
        <v>BrandD 1</v>
      </c>
      <c r="AB315" t="str">
        <f t="shared" si="71"/>
        <v>Delhi Website</v>
      </c>
      <c r="AC315">
        <f t="shared" si="72"/>
        <v>2</v>
      </c>
      <c r="AD315" t="e">
        <f t="shared" si="73"/>
        <v>#VALUE!</v>
      </c>
      <c r="AE315" t="str">
        <f t="shared" si="74"/>
        <v>Delhpebsite</v>
      </c>
      <c r="AF315" t="s">
        <v>125</v>
      </c>
      <c r="AG315" t="s">
        <v>132</v>
      </c>
      <c r="AH315" t="s">
        <v>132</v>
      </c>
    </row>
    <row r="316" spans="1:34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t="s">
        <v>45</v>
      </c>
      <c r="Q316" t="str">
        <f t="shared" si="60"/>
        <v>ard</v>
      </c>
      <c r="R316" t="str">
        <f t="shared" si="61"/>
        <v>eadp</v>
      </c>
      <c r="S316">
        <f t="shared" si="62"/>
        <v>10</v>
      </c>
      <c r="T316" t="str">
        <f t="shared" si="63"/>
        <v>Headphones</v>
      </c>
      <c r="U316">
        <f t="shared" si="64"/>
        <v>10</v>
      </c>
      <c r="V316" t="str">
        <f t="shared" si="65"/>
        <v>HEADPHONES</v>
      </c>
      <c r="W316" t="str">
        <f t="shared" si="66"/>
        <v>headphones</v>
      </c>
      <c r="X316" t="str">
        <f t="shared" si="67"/>
        <v>Headphones</v>
      </c>
      <c r="Y316" t="str">
        <f t="shared" si="68"/>
        <v>West Bengal 8</v>
      </c>
      <c r="Z316" t="str">
        <f t="shared" si="69"/>
        <v>BrandC8</v>
      </c>
      <c r="AA316" t="str">
        <f t="shared" si="70"/>
        <v>BrandC 8</v>
      </c>
      <c r="AB316" t="str">
        <f t="shared" si="71"/>
        <v>West Bengal Website</v>
      </c>
      <c r="AC316">
        <f t="shared" si="72"/>
        <v>2</v>
      </c>
      <c r="AD316" t="e">
        <f t="shared" si="73"/>
        <v>#VALUE!</v>
      </c>
      <c r="AE316" t="str">
        <f t="shared" si="74"/>
        <v>Westpngal Website</v>
      </c>
      <c r="AF316" t="s">
        <v>127</v>
      </c>
      <c r="AG316" t="s">
        <v>132</v>
      </c>
      <c r="AH316" t="s">
        <v>132</v>
      </c>
    </row>
    <row r="317" spans="1:34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t="s">
        <v>33</v>
      </c>
      <c r="Q317" t="str">
        <f t="shared" si="60"/>
        <v>ard</v>
      </c>
      <c r="R317" t="str">
        <f t="shared" si="61"/>
        <v>icti</v>
      </c>
      <c r="S317">
        <f t="shared" si="62"/>
        <v>13</v>
      </c>
      <c r="T317" t="str">
        <f t="shared" si="63"/>
        <v>Fiction Novel</v>
      </c>
      <c r="U317">
        <f t="shared" si="64"/>
        <v>13</v>
      </c>
      <c r="V317" t="str">
        <f t="shared" si="65"/>
        <v>FICTION NOVEL</v>
      </c>
      <c r="W317" t="str">
        <f t="shared" si="66"/>
        <v>fiction novel</v>
      </c>
      <c r="X317" t="str">
        <f t="shared" si="67"/>
        <v>Fiction Novel</v>
      </c>
      <c r="Y317" t="str">
        <f t="shared" si="68"/>
        <v>Karnataka 8</v>
      </c>
      <c r="Z317" t="str">
        <f t="shared" si="69"/>
        <v>BrandE8</v>
      </c>
      <c r="AA317" t="str">
        <f t="shared" si="70"/>
        <v>BrandE 8</v>
      </c>
      <c r="AB317" t="str">
        <f t="shared" si="71"/>
        <v>Karnataka Marketplace</v>
      </c>
      <c r="AC317">
        <f t="shared" si="72"/>
        <v>5</v>
      </c>
      <c r="AD317">
        <f t="shared" si="73"/>
        <v>11</v>
      </c>
      <c r="AE317" t="str">
        <f t="shared" si="74"/>
        <v>Karnpka Marketplace</v>
      </c>
      <c r="AF317" t="s">
        <v>128</v>
      </c>
      <c r="AG317" t="s">
        <v>133</v>
      </c>
      <c r="AH317" t="s">
        <v>133</v>
      </c>
    </row>
    <row r="318" spans="1:34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t="s">
        <v>47</v>
      </c>
      <c r="Q318" t="str">
        <f t="shared" si="60"/>
        <v>ard</v>
      </c>
      <c r="R318" t="str">
        <f t="shared" si="61"/>
        <v>apto</v>
      </c>
      <c r="S318">
        <f t="shared" si="62"/>
        <v>6</v>
      </c>
      <c r="T318" t="str">
        <f t="shared" si="63"/>
        <v>Laptop</v>
      </c>
      <c r="U318">
        <f t="shared" si="64"/>
        <v>6</v>
      </c>
      <c r="V318" t="str">
        <f t="shared" si="65"/>
        <v>LAPTOP</v>
      </c>
      <c r="W318" t="str">
        <f t="shared" si="66"/>
        <v>laptop</v>
      </c>
      <c r="X318" t="str">
        <f t="shared" si="67"/>
        <v>Laptop</v>
      </c>
      <c r="Y318" t="str">
        <f t="shared" si="68"/>
        <v>Karnataka 2</v>
      </c>
      <c r="Z318" t="str">
        <f t="shared" si="69"/>
        <v>BrandB2</v>
      </c>
      <c r="AA318" t="str">
        <f t="shared" si="70"/>
        <v>BrandB 2</v>
      </c>
      <c r="AB318" t="str">
        <f t="shared" si="71"/>
        <v>Karnataka Website</v>
      </c>
      <c r="AC318">
        <f t="shared" si="72"/>
        <v>2</v>
      </c>
      <c r="AD318" t="e">
        <f t="shared" si="73"/>
        <v>#VALUE!</v>
      </c>
      <c r="AE318" t="str">
        <f t="shared" si="74"/>
        <v>Karnpka Website</v>
      </c>
      <c r="AF318" t="s">
        <v>128</v>
      </c>
      <c r="AG318" t="s">
        <v>132</v>
      </c>
      <c r="AH318" t="s">
        <v>132</v>
      </c>
    </row>
    <row r="319" spans="1:34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t="s">
        <v>21</v>
      </c>
      <c r="Q319" t="str">
        <f t="shared" si="60"/>
        <v>ery</v>
      </c>
      <c r="R319" t="str">
        <f t="shared" si="61"/>
        <v>mart</v>
      </c>
      <c r="S319">
        <f t="shared" si="62"/>
        <v>10</v>
      </c>
      <c r="T319" t="str">
        <f t="shared" si="63"/>
        <v>Smartphone</v>
      </c>
      <c r="U319">
        <f t="shared" si="64"/>
        <v>10</v>
      </c>
      <c r="V319" t="str">
        <f t="shared" si="65"/>
        <v>SMARTPHONE</v>
      </c>
      <c r="W319" t="str">
        <f t="shared" si="66"/>
        <v>smartphone</v>
      </c>
      <c r="X319" t="str">
        <f t="shared" si="67"/>
        <v>Smartphone</v>
      </c>
      <c r="Y319" t="str">
        <f t="shared" si="68"/>
        <v>Tamil Nadu 7</v>
      </c>
      <c r="Z319" t="str">
        <f t="shared" si="69"/>
        <v>BrandA7</v>
      </c>
      <c r="AA319" t="str">
        <f t="shared" si="70"/>
        <v>BrandA 7</v>
      </c>
      <c r="AB319" t="str">
        <f t="shared" si="71"/>
        <v>Tamil Nadu Marketplace</v>
      </c>
      <c r="AC319">
        <f t="shared" si="72"/>
        <v>5</v>
      </c>
      <c r="AD319">
        <f t="shared" si="73"/>
        <v>3</v>
      </c>
      <c r="AE319" t="str">
        <f t="shared" si="74"/>
        <v>Tamipadu Marketplace</v>
      </c>
      <c r="AF319" t="s">
        <v>126</v>
      </c>
      <c r="AG319" t="s">
        <v>133</v>
      </c>
      <c r="AH319" t="s">
        <v>133</v>
      </c>
    </row>
    <row r="320" spans="1:34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t="s">
        <v>28</v>
      </c>
      <c r="Q320" t="str">
        <f t="shared" si="60"/>
        <v>ard</v>
      </c>
      <c r="R320" t="str">
        <f t="shared" si="61"/>
        <v>eadp</v>
      </c>
      <c r="S320">
        <f t="shared" si="62"/>
        <v>10</v>
      </c>
      <c r="T320" t="str">
        <f t="shared" si="63"/>
        <v>Headphones</v>
      </c>
      <c r="U320">
        <f t="shared" si="64"/>
        <v>10</v>
      </c>
      <c r="V320" t="str">
        <f t="shared" si="65"/>
        <v>HEADPHONES</v>
      </c>
      <c r="W320" t="str">
        <f t="shared" si="66"/>
        <v>headphones</v>
      </c>
      <c r="X320" t="str">
        <f t="shared" si="67"/>
        <v>Headphones</v>
      </c>
      <c r="Y320" t="str">
        <f t="shared" si="68"/>
        <v>Karnataka 8</v>
      </c>
      <c r="Z320" t="str">
        <f t="shared" si="69"/>
        <v>BrandD8</v>
      </c>
      <c r="AA320" t="str">
        <f t="shared" si="70"/>
        <v>BrandD 8</v>
      </c>
      <c r="AB320" t="str">
        <f t="shared" si="71"/>
        <v>Karnataka Website</v>
      </c>
      <c r="AC320">
        <f t="shared" si="72"/>
        <v>2</v>
      </c>
      <c r="AD320" t="e">
        <f t="shared" si="73"/>
        <v>#VALUE!</v>
      </c>
      <c r="AE320" t="str">
        <f t="shared" si="74"/>
        <v>Karnpka Website</v>
      </c>
      <c r="AF320" t="s">
        <v>128</v>
      </c>
      <c r="AG320" t="s">
        <v>132</v>
      </c>
      <c r="AH320" t="s">
        <v>132</v>
      </c>
    </row>
    <row r="321" spans="1:34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t="s">
        <v>28</v>
      </c>
      <c r="Q321" t="str">
        <f t="shared" si="60"/>
        <v>ery</v>
      </c>
      <c r="R321" t="str">
        <f t="shared" si="61"/>
        <v xml:space="preserve">oga </v>
      </c>
      <c r="S321">
        <f t="shared" si="62"/>
        <v>8</v>
      </c>
      <c r="T321" t="str">
        <f t="shared" si="63"/>
        <v>Yoga Mat</v>
      </c>
      <c r="U321">
        <f t="shared" si="64"/>
        <v>8</v>
      </c>
      <c r="V321" t="str">
        <f t="shared" si="65"/>
        <v>YOGA MAT</v>
      </c>
      <c r="W321" t="str">
        <f t="shared" si="66"/>
        <v>yoga mat</v>
      </c>
      <c r="X321" t="str">
        <f t="shared" si="67"/>
        <v>Yoga Mat</v>
      </c>
      <c r="Y321" t="str">
        <f t="shared" si="68"/>
        <v>Delhi 8</v>
      </c>
      <c r="Z321" t="str">
        <f t="shared" si="69"/>
        <v>BrandD8</v>
      </c>
      <c r="AA321" t="str">
        <f t="shared" si="70"/>
        <v>BrandD 8</v>
      </c>
      <c r="AB321" t="str">
        <f t="shared" si="71"/>
        <v>Delhi Mobile App</v>
      </c>
      <c r="AC321">
        <f t="shared" si="72"/>
        <v>6</v>
      </c>
      <c r="AD321">
        <f t="shared" si="73"/>
        <v>7</v>
      </c>
      <c r="AE321" t="str">
        <f t="shared" si="74"/>
        <v>Delhpobile App</v>
      </c>
      <c r="AF321" t="s">
        <v>125</v>
      </c>
      <c r="AG321" t="s">
        <v>131</v>
      </c>
      <c r="AH321" t="s">
        <v>134</v>
      </c>
    </row>
    <row r="322" spans="1:34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t="s">
        <v>45</v>
      </c>
      <c r="Q322" t="str">
        <f t="shared" si="60"/>
        <v>ing</v>
      </c>
      <c r="R322" t="str">
        <f t="shared" si="61"/>
        <v>erfu</v>
      </c>
      <c r="S322">
        <f t="shared" si="62"/>
        <v>7</v>
      </c>
      <c r="T322" t="str">
        <f t="shared" si="63"/>
        <v>Perfume</v>
      </c>
      <c r="U322">
        <f t="shared" si="64"/>
        <v>7</v>
      </c>
      <c r="V322" t="str">
        <f t="shared" si="65"/>
        <v>PERFUME</v>
      </c>
      <c r="W322" t="str">
        <f t="shared" si="66"/>
        <v>perfume</v>
      </c>
      <c r="X322" t="str">
        <f t="shared" si="67"/>
        <v>Perfume</v>
      </c>
      <c r="Y322" t="str">
        <f t="shared" si="68"/>
        <v>Delhi 7</v>
      </c>
      <c r="Z322" t="str">
        <f t="shared" si="69"/>
        <v>BrandC7</v>
      </c>
      <c r="AA322" t="str">
        <f t="shared" si="70"/>
        <v>BrandC 7</v>
      </c>
      <c r="AB322" t="str">
        <f t="shared" si="71"/>
        <v>Delhi Marketplace</v>
      </c>
      <c r="AC322">
        <f t="shared" si="72"/>
        <v>5</v>
      </c>
      <c r="AD322">
        <f t="shared" si="73"/>
        <v>7</v>
      </c>
      <c r="AE322" t="str">
        <f t="shared" si="74"/>
        <v>Delhparketplace</v>
      </c>
      <c r="AF322" t="s">
        <v>125</v>
      </c>
      <c r="AG322" t="s">
        <v>133</v>
      </c>
      <c r="AH322" t="s">
        <v>133</v>
      </c>
    </row>
    <row r="323" spans="1:34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t="s">
        <v>28</v>
      </c>
      <c r="Q323" t="str">
        <f t="shared" ref="Q323:Q386" si="75">RIGHT(H323,3)</f>
        <v>ery</v>
      </c>
      <c r="R323" t="str">
        <f t="shared" ref="R323:R386" si="76">MID(J323,2,4)</f>
        <v>rick</v>
      </c>
      <c r="S323">
        <f t="shared" ref="S323:S386" si="77">LEN(J323)</f>
        <v>11</v>
      </c>
      <c r="T323" t="str">
        <f t="shared" ref="T323:T386" si="78">TRIM(J323)</f>
        <v>Cricket Bat</v>
      </c>
      <c r="U323">
        <f t="shared" ref="U323:U386" si="79">LEN(T323)</f>
        <v>11</v>
      </c>
      <c r="V323" t="str">
        <f t="shared" ref="V323:V386" si="80">UPPER(T323)</f>
        <v>CRICKET BAT</v>
      </c>
      <c r="W323" t="str">
        <f t="shared" ref="W323:W386" si="81">LOWER(V323)</f>
        <v>cricket bat</v>
      </c>
      <c r="X323" t="str">
        <f t="shared" ref="X323:X386" si="82">PROPER(W323)</f>
        <v>Cricket Bat</v>
      </c>
      <c r="Y323" t="str">
        <f t="shared" ref="Y323:Y386" si="83">_xlfn.CONCAT(F323," ",L323)</f>
        <v>Maharashtra 5</v>
      </c>
      <c r="Z323" t="str">
        <f t="shared" ref="Z323:Z386" si="84">_xlfn.CONCAT(K323:L323)</f>
        <v>BrandD5</v>
      </c>
      <c r="AA323" t="str">
        <f t="shared" ref="AA323:AA386" si="85">CONCATENATE(K323," ",L323)</f>
        <v>BrandD 5</v>
      </c>
      <c r="AB323" t="str">
        <f t="shared" ref="AB323:AB386" si="86">_xlfn.TEXTJOIN(" ",TRUE,F323:G323)</f>
        <v>Maharashtra Marketplace</v>
      </c>
      <c r="AC323">
        <f t="shared" ref="AC323:AC386" si="87">FIND("e",G323)</f>
        <v>5</v>
      </c>
      <c r="AD323">
        <f t="shared" ref="AD323:AD386" si="88">SEARCH("M",AB323)</f>
        <v>1</v>
      </c>
      <c r="AE323" t="str">
        <f t="shared" ref="AE323:AE386" si="89">REPLACE(AB323,5,3,"p")</f>
        <v>Mahaphtra Marketplace</v>
      </c>
      <c r="AF323" t="s">
        <v>130</v>
      </c>
      <c r="AG323" t="s">
        <v>133</v>
      </c>
      <c r="AH323" t="s">
        <v>133</v>
      </c>
    </row>
    <row r="324" spans="1:34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t="s">
        <v>33</v>
      </c>
      <c r="Q324" t="str">
        <f t="shared" si="75"/>
        <v>UPI</v>
      </c>
      <c r="R324" t="str">
        <f t="shared" si="76"/>
        <v>-Shi</v>
      </c>
      <c r="S324">
        <f t="shared" si="77"/>
        <v>7</v>
      </c>
      <c r="T324" t="str">
        <f t="shared" si="78"/>
        <v>T-Shirt</v>
      </c>
      <c r="U324">
        <f t="shared" si="79"/>
        <v>7</v>
      </c>
      <c r="V324" t="str">
        <f t="shared" si="80"/>
        <v>T-SHIRT</v>
      </c>
      <c r="W324" t="str">
        <f t="shared" si="81"/>
        <v>t-shirt</v>
      </c>
      <c r="X324" t="str">
        <f t="shared" si="82"/>
        <v>T-Shirt</v>
      </c>
      <c r="Y324" t="str">
        <f t="shared" si="83"/>
        <v>Delhi 1</v>
      </c>
      <c r="Z324" t="str">
        <f t="shared" si="84"/>
        <v>BrandE1</v>
      </c>
      <c r="AA324" t="str">
        <f t="shared" si="85"/>
        <v>BrandE 1</v>
      </c>
      <c r="AB324" t="str">
        <f t="shared" si="86"/>
        <v>Delhi Website</v>
      </c>
      <c r="AC324">
        <f t="shared" si="87"/>
        <v>2</v>
      </c>
      <c r="AD324" t="e">
        <f t="shared" si="88"/>
        <v>#VALUE!</v>
      </c>
      <c r="AE324" t="str">
        <f t="shared" si="89"/>
        <v>Delhpebsite</v>
      </c>
      <c r="AF324" t="s">
        <v>125</v>
      </c>
      <c r="AG324" t="s">
        <v>132</v>
      </c>
      <c r="AH324" t="s">
        <v>132</v>
      </c>
    </row>
    <row r="325" spans="1:34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t="s">
        <v>33</v>
      </c>
      <c r="Q325" t="str">
        <f t="shared" si="75"/>
        <v>UPI</v>
      </c>
      <c r="R325" t="str">
        <f t="shared" si="76"/>
        <v>icti</v>
      </c>
      <c r="S325">
        <f t="shared" si="77"/>
        <v>13</v>
      </c>
      <c r="T325" t="str">
        <f t="shared" si="78"/>
        <v>Fiction Novel</v>
      </c>
      <c r="U325">
        <f t="shared" si="79"/>
        <v>13</v>
      </c>
      <c r="V325" t="str">
        <f t="shared" si="80"/>
        <v>FICTION NOVEL</v>
      </c>
      <c r="W325" t="str">
        <f t="shared" si="81"/>
        <v>fiction novel</v>
      </c>
      <c r="X325" t="str">
        <f t="shared" si="82"/>
        <v>Fiction Novel</v>
      </c>
      <c r="Y325" t="str">
        <f t="shared" si="83"/>
        <v>Telangana 9</v>
      </c>
      <c r="Z325" t="str">
        <f t="shared" si="84"/>
        <v>BrandE9</v>
      </c>
      <c r="AA325" t="str">
        <f t="shared" si="85"/>
        <v>BrandE 9</v>
      </c>
      <c r="AB325" t="str">
        <f t="shared" si="86"/>
        <v>Telangana Website</v>
      </c>
      <c r="AC325">
        <f t="shared" si="87"/>
        <v>2</v>
      </c>
      <c r="AD325" t="e">
        <f t="shared" si="88"/>
        <v>#VALUE!</v>
      </c>
      <c r="AE325" t="str">
        <f t="shared" si="89"/>
        <v>Telapna Website</v>
      </c>
      <c r="AF325" t="s">
        <v>129</v>
      </c>
      <c r="AG325" t="s">
        <v>132</v>
      </c>
      <c r="AH325" t="s">
        <v>132</v>
      </c>
    </row>
    <row r="326" spans="1:34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t="s">
        <v>45</v>
      </c>
      <c r="Q326" t="str">
        <f t="shared" si="75"/>
        <v>ery</v>
      </c>
      <c r="R326" t="str">
        <f t="shared" si="76"/>
        <v xml:space="preserve">ace </v>
      </c>
      <c r="S326">
        <f t="shared" si="77"/>
        <v>10</v>
      </c>
      <c r="T326" t="str">
        <f t="shared" si="78"/>
        <v>Face Cream</v>
      </c>
      <c r="U326">
        <f t="shared" si="79"/>
        <v>10</v>
      </c>
      <c r="V326" t="str">
        <f t="shared" si="80"/>
        <v>FACE CREAM</v>
      </c>
      <c r="W326" t="str">
        <f t="shared" si="81"/>
        <v>face cream</v>
      </c>
      <c r="X326" t="str">
        <f t="shared" si="82"/>
        <v>Face Cream</v>
      </c>
      <c r="Y326" t="str">
        <f t="shared" si="83"/>
        <v>Karnataka 7</v>
      </c>
      <c r="Z326" t="str">
        <f t="shared" si="84"/>
        <v>BrandC7</v>
      </c>
      <c r="AA326" t="str">
        <f t="shared" si="85"/>
        <v>BrandC 7</v>
      </c>
      <c r="AB326" t="str">
        <f t="shared" si="86"/>
        <v>Karnataka Marketplace</v>
      </c>
      <c r="AC326">
        <f t="shared" si="87"/>
        <v>5</v>
      </c>
      <c r="AD326">
        <f t="shared" si="88"/>
        <v>11</v>
      </c>
      <c r="AE326" t="str">
        <f t="shared" si="89"/>
        <v>Karnpka Marketplace</v>
      </c>
      <c r="AF326" t="s">
        <v>128</v>
      </c>
      <c r="AG326" t="s">
        <v>133</v>
      </c>
      <c r="AH326" t="s">
        <v>133</v>
      </c>
    </row>
    <row r="327" spans="1:34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t="s">
        <v>33</v>
      </c>
      <c r="Q327" t="str">
        <f t="shared" si="75"/>
        <v>UPI</v>
      </c>
      <c r="R327" t="str">
        <f t="shared" si="76"/>
        <v>erfu</v>
      </c>
      <c r="S327">
        <f t="shared" si="77"/>
        <v>7</v>
      </c>
      <c r="T327" t="str">
        <f t="shared" si="78"/>
        <v>Perfume</v>
      </c>
      <c r="U327">
        <f t="shared" si="79"/>
        <v>7</v>
      </c>
      <c r="V327" t="str">
        <f t="shared" si="80"/>
        <v>PERFUME</v>
      </c>
      <c r="W327" t="str">
        <f t="shared" si="81"/>
        <v>perfume</v>
      </c>
      <c r="X327" t="str">
        <f t="shared" si="82"/>
        <v>Perfume</v>
      </c>
      <c r="Y327" t="str">
        <f t="shared" si="83"/>
        <v>Delhi 2</v>
      </c>
      <c r="Z327" t="str">
        <f t="shared" si="84"/>
        <v>BrandE2</v>
      </c>
      <c r="AA327" t="str">
        <f t="shared" si="85"/>
        <v>BrandE 2</v>
      </c>
      <c r="AB327" t="str">
        <f t="shared" si="86"/>
        <v>Delhi Website</v>
      </c>
      <c r="AC327">
        <f t="shared" si="87"/>
        <v>2</v>
      </c>
      <c r="AD327" t="e">
        <f t="shared" si="88"/>
        <v>#VALUE!</v>
      </c>
      <c r="AE327" t="str">
        <f t="shared" si="89"/>
        <v>Delhpebsite</v>
      </c>
      <c r="AF327" t="s">
        <v>125</v>
      </c>
      <c r="AG327" t="s">
        <v>132</v>
      </c>
      <c r="AH327" t="s">
        <v>132</v>
      </c>
    </row>
    <row r="328" spans="1:34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t="s">
        <v>47</v>
      </c>
      <c r="Q328" t="str">
        <f t="shared" si="75"/>
        <v>ing</v>
      </c>
      <c r="R328" t="str">
        <f t="shared" si="76"/>
        <v>erfu</v>
      </c>
      <c r="S328">
        <f t="shared" si="77"/>
        <v>7</v>
      </c>
      <c r="T328" t="str">
        <f t="shared" si="78"/>
        <v>Perfume</v>
      </c>
      <c r="U328">
        <f t="shared" si="79"/>
        <v>7</v>
      </c>
      <c r="V328" t="str">
        <f t="shared" si="80"/>
        <v>PERFUME</v>
      </c>
      <c r="W328" t="str">
        <f t="shared" si="81"/>
        <v>perfume</v>
      </c>
      <c r="X328" t="str">
        <f t="shared" si="82"/>
        <v>Perfume</v>
      </c>
      <c r="Y328" t="str">
        <f t="shared" si="83"/>
        <v>Tamil Nadu 6</v>
      </c>
      <c r="Z328" t="str">
        <f t="shared" si="84"/>
        <v>BrandB6</v>
      </c>
      <c r="AA328" t="str">
        <f t="shared" si="85"/>
        <v>BrandB 6</v>
      </c>
      <c r="AB328" t="str">
        <f t="shared" si="86"/>
        <v>Tamil Nadu Mobile App</v>
      </c>
      <c r="AC328">
        <f t="shared" si="87"/>
        <v>6</v>
      </c>
      <c r="AD328">
        <f t="shared" si="88"/>
        <v>3</v>
      </c>
      <c r="AE328" t="str">
        <f t="shared" si="89"/>
        <v>Tamipadu Mobile App</v>
      </c>
      <c r="AF328" t="s">
        <v>126</v>
      </c>
      <c r="AG328" t="s">
        <v>131</v>
      </c>
      <c r="AH328" t="s">
        <v>134</v>
      </c>
    </row>
    <row r="329" spans="1:34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t="s">
        <v>45</v>
      </c>
      <c r="Q329" t="str">
        <f t="shared" si="75"/>
        <v>ard</v>
      </c>
      <c r="R329" t="str">
        <f t="shared" si="76"/>
        <v>hamp</v>
      </c>
      <c r="S329">
        <f t="shared" si="77"/>
        <v>7</v>
      </c>
      <c r="T329" t="str">
        <f t="shared" si="78"/>
        <v>Shampoo</v>
      </c>
      <c r="U329">
        <f t="shared" si="79"/>
        <v>7</v>
      </c>
      <c r="V329" t="str">
        <f t="shared" si="80"/>
        <v>SHAMPOO</v>
      </c>
      <c r="W329" t="str">
        <f t="shared" si="81"/>
        <v>shampoo</v>
      </c>
      <c r="X329" t="str">
        <f t="shared" si="82"/>
        <v>Shampoo</v>
      </c>
      <c r="Y329" t="str">
        <f t="shared" si="83"/>
        <v>Maharashtra 2</v>
      </c>
      <c r="Z329" t="str">
        <f t="shared" si="84"/>
        <v>BrandC2</v>
      </c>
      <c r="AA329" t="str">
        <f t="shared" si="85"/>
        <v>BrandC 2</v>
      </c>
      <c r="AB329" t="str">
        <f t="shared" si="86"/>
        <v>Maharashtra Website</v>
      </c>
      <c r="AC329">
        <f t="shared" si="87"/>
        <v>2</v>
      </c>
      <c r="AD329">
        <f t="shared" si="88"/>
        <v>1</v>
      </c>
      <c r="AE329" t="str">
        <f t="shared" si="89"/>
        <v>Mahaphtra Website</v>
      </c>
      <c r="AF329" t="s">
        <v>130</v>
      </c>
      <c r="AG329" t="s">
        <v>132</v>
      </c>
      <c r="AH329" t="s">
        <v>132</v>
      </c>
    </row>
    <row r="330" spans="1:34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t="s">
        <v>47</v>
      </c>
      <c r="Q330" t="str">
        <f t="shared" si="75"/>
        <v>UPI</v>
      </c>
      <c r="R330" t="str">
        <f t="shared" si="76"/>
        <v>ootb</v>
      </c>
      <c r="S330">
        <f t="shared" si="77"/>
        <v>8</v>
      </c>
      <c r="T330" t="str">
        <f t="shared" si="78"/>
        <v>Football</v>
      </c>
      <c r="U330">
        <f t="shared" si="79"/>
        <v>8</v>
      </c>
      <c r="V330" t="str">
        <f t="shared" si="80"/>
        <v>FOOTBALL</v>
      </c>
      <c r="W330" t="str">
        <f t="shared" si="81"/>
        <v>football</v>
      </c>
      <c r="X330" t="str">
        <f t="shared" si="82"/>
        <v>Football</v>
      </c>
      <c r="Y330" t="str">
        <f t="shared" si="83"/>
        <v>Karnataka 1</v>
      </c>
      <c r="Z330" t="str">
        <f t="shared" si="84"/>
        <v>BrandB1</v>
      </c>
      <c r="AA330" t="str">
        <f t="shared" si="85"/>
        <v>BrandB 1</v>
      </c>
      <c r="AB330" t="str">
        <f t="shared" si="86"/>
        <v>Karnataka Mobile App</v>
      </c>
      <c r="AC330">
        <f t="shared" si="87"/>
        <v>6</v>
      </c>
      <c r="AD330">
        <f t="shared" si="88"/>
        <v>11</v>
      </c>
      <c r="AE330" t="str">
        <f t="shared" si="89"/>
        <v>Karnpka Mobile App</v>
      </c>
      <c r="AF330" t="s">
        <v>128</v>
      </c>
      <c r="AG330" t="s">
        <v>131</v>
      </c>
      <c r="AH330" t="s">
        <v>134</v>
      </c>
    </row>
    <row r="331" spans="1:34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t="s">
        <v>21</v>
      </c>
      <c r="Q331" t="str">
        <f t="shared" si="75"/>
        <v>UPI</v>
      </c>
      <c r="R331" t="str">
        <f t="shared" si="76"/>
        <v xml:space="preserve">ace </v>
      </c>
      <c r="S331">
        <f t="shared" si="77"/>
        <v>10</v>
      </c>
      <c r="T331" t="str">
        <f t="shared" si="78"/>
        <v>Face Cream</v>
      </c>
      <c r="U331">
        <f t="shared" si="79"/>
        <v>10</v>
      </c>
      <c r="V331" t="str">
        <f t="shared" si="80"/>
        <v>FACE CREAM</v>
      </c>
      <c r="W331" t="str">
        <f t="shared" si="81"/>
        <v>face cream</v>
      </c>
      <c r="X331" t="str">
        <f t="shared" si="82"/>
        <v>Face Cream</v>
      </c>
      <c r="Y331" t="str">
        <f t="shared" si="83"/>
        <v>Maharashtra 7</v>
      </c>
      <c r="Z331" t="str">
        <f t="shared" si="84"/>
        <v>BrandA7</v>
      </c>
      <c r="AA331" t="str">
        <f t="shared" si="85"/>
        <v>BrandA 7</v>
      </c>
      <c r="AB331" t="str">
        <f t="shared" si="86"/>
        <v>Maharashtra Mobile App</v>
      </c>
      <c r="AC331">
        <f t="shared" si="87"/>
        <v>6</v>
      </c>
      <c r="AD331">
        <f t="shared" si="88"/>
        <v>1</v>
      </c>
      <c r="AE331" t="str">
        <f t="shared" si="89"/>
        <v>Mahaphtra Mobile App</v>
      </c>
      <c r="AF331" t="s">
        <v>130</v>
      </c>
      <c r="AG331" t="s">
        <v>131</v>
      </c>
      <c r="AH331" t="s">
        <v>134</v>
      </c>
    </row>
    <row r="332" spans="1:34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t="s">
        <v>47</v>
      </c>
      <c r="Q332" t="str">
        <f t="shared" si="75"/>
        <v>ery</v>
      </c>
      <c r="R332" t="str">
        <f t="shared" si="76"/>
        <v>urta</v>
      </c>
      <c r="S332">
        <f t="shared" si="77"/>
        <v>8</v>
      </c>
      <c r="T332" t="str">
        <f t="shared" si="78"/>
        <v>Curtains</v>
      </c>
      <c r="U332">
        <f t="shared" si="79"/>
        <v>8</v>
      </c>
      <c r="V332" t="str">
        <f t="shared" si="80"/>
        <v>CURTAINS</v>
      </c>
      <c r="W332" t="str">
        <f t="shared" si="81"/>
        <v>curtains</v>
      </c>
      <c r="X332" t="str">
        <f t="shared" si="82"/>
        <v>Curtains</v>
      </c>
      <c r="Y332" t="str">
        <f t="shared" si="83"/>
        <v>Karnataka 2</v>
      </c>
      <c r="Z332" t="str">
        <f t="shared" si="84"/>
        <v>BrandB2</v>
      </c>
      <c r="AA332" t="str">
        <f t="shared" si="85"/>
        <v>BrandB 2</v>
      </c>
      <c r="AB332" t="str">
        <f t="shared" si="86"/>
        <v>Karnataka Mobile App</v>
      </c>
      <c r="AC332">
        <f t="shared" si="87"/>
        <v>6</v>
      </c>
      <c r="AD332">
        <f t="shared" si="88"/>
        <v>11</v>
      </c>
      <c r="AE332" t="str">
        <f t="shared" si="89"/>
        <v>Karnpka Mobile App</v>
      </c>
      <c r="AF332" t="s">
        <v>128</v>
      </c>
      <c r="AG332" t="s">
        <v>131</v>
      </c>
      <c r="AH332" t="s">
        <v>134</v>
      </c>
    </row>
    <row r="333" spans="1:34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t="s">
        <v>21</v>
      </c>
      <c r="Q333" t="str">
        <f t="shared" si="75"/>
        <v>ing</v>
      </c>
      <c r="R333" t="str">
        <f t="shared" si="76"/>
        <v>iogr</v>
      </c>
      <c r="S333">
        <f t="shared" si="77"/>
        <v>9</v>
      </c>
      <c r="T333" t="str">
        <f t="shared" si="78"/>
        <v>Biography</v>
      </c>
      <c r="U333">
        <f t="shared" si="79"/>
        <v>9</v>
      </c>
      <c r="V333" t="str">
        <f t="shared" si="80"/>
        <v>BIOGRAPHY</v>
      </c>
      <c r="W333" t="str">
        <f t="shared" si="81"/>
        <v>biography</v>
      </c>
      <c r="X333" t="str">
        <f t="shared" si="82"/>
        <v>Biography</v>
      </c>
      <c r="Y333" t="str">
        <f t="shared" si="83"/>
        <v>Tamil Nadu 2</v>
      </c>
      <c r="Z333" t="str">
        <f t="shared" si="84"/>
        <v>BrandA2</v>
      </c>
      <c r="AA333" t="str">
        <f t="shared" si="85"/>
        <v>BrandA 2</v>
      </c>
      <c r="AB333" t="str">
        <f t="shared" si="86"/>
        <v>Tamil Nadu Mobile App</v>
      </c>
      <c r="AC333">
        <f t="shared" si="87"/>
        <v>6</v>
      </c>
      <c r="AD333">
        <f t="shared" si="88"/>
        <v>3</v>
      </c>
      <c r="AE333" t="str">
        <f t="shared" si="89"/>
        <v>Tamipadu Mobile App</v>
      </c>
      <c r="AF333" t="s">
        <v>126</v>
      </c>
      <c r="AG333" t="s">
        <v>131</v>
      </c>
      <c r="AH333" t="s">
        <v>134</v>
      </c>
    </row>
    <row r="334" spans="1:34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t="s">
        <v>21</v>
      </c>
      <c r="Q334" t="str">
        <f t="shared" si="75"/>
        <v>ard</v>
      </c>
      <c r="R334" t="str">
        <f t="shared" si="76"/>
        <v>erfu</v>
      </c>
      <c r="S334">
        <f t="shared" si="77"/>
        <v>7</v>
      </c>
      <c r="T334" t="str">
        <f t="shared" si="78"/>
        <v>Perfume</v>
      </c>
      <c r="U334">
        <f t="shared" si="79"/>
        <v>7</v>
      </c>
      <c r="V334" t="str">
        <f t="shared" si="80"/>
        <v>PERFUME</v>
      </c>
      <c r="W334" t="str">
        <f t="shared" si="81"/>
        <v>perfume</v>
      </c>
      <c r="X334" t="str">
        <f t="shared" si="82"/>
        <v>Perfume</v>
      </c>
      <c r="Y334" t="str">
        <f t="shared" si="83"/>
        <v>Maharashtra 5</v>
      </c>
      <c r="Z334" t="str">
        <f t="shared" si="84"/>
        <v>BrandA5</v>
      </c>
      <c r="AA334" t="str">
        <f t="shared" si="85"/>
        <v>BrandA 5</v>
      </c>
      <c r="AB334" t="str">
        <f t="shared" si="86"/>
        <v>Maharashtra Mobile App</v>
      </c>
      <c r="AC334">
        <f t="shared" si="87"/>
        <v>6</v>
      </c>
      <c r="AD334">
        <f t="shared" si="88"/>
        <v>1</v>
      </c>
      <c r="AE334" t="str">
        <f t="shared" si="89"/>
        <v>Mahaphtra Mobile App</v>
      </c>
      <c r="AF334" t="s">
        <v>130</v>
      </c>
      <c r="AG334" t="s">
        <v>131</v>
      </c>
      <c r="AH334" t="s">
        <v>134</v>
      </c>
    </row>
    <row r="335" spans="1:34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t="s">
        <v>47</v>
      </c>
      <c r="Q335" t="str">
        <f t="shared" si="75"/>
        <v>ery</v>
      </c>
      <c r="R335" t="str">
        <f t="shared" si="76"/>
        <v>omic</v>
      </c>
      <c r="S335">
        <f t="shared" si="77"/>
        <v>6</v>
      </c>
      <c r="T335" t="str">
        <f t="shared" si="78"/>
        <v>Comics</v>
      </c>
      <c r="U335">
        <f t="shared" si="79"/>
        <v>6</v>
      </c>
      <c r="V335" t="str">
        <f t="shared" si="80"/>
        <v>COMICS</v>
      </c>
      <c r="W335" t="str">
        <f t="shared" si="81"/>
        <v>comics</v>
      </c>
      <c r="X335" t="str">
        <f t="shared" si="82"/>
        <v>Comics</v>
      </c>
      <c r="Y335" t="str">
        <f t="shared" si="83"/>
        <v>West Bengal 5</v>
      </c>
      <c r="Z335" t="str">
        <f t="shared" si="84"/>
        <v>BrandB5</v>
      </c>
      <c r="AA335" t="str">
        <f t="shared" si="85"/>
        <v>BrandB 5</v>
      </c>
      <c r="AB335" t="str">
        <f t="shared" si="86"/>
        <v>West Bengal Website</v>
      </c>
      <c r="AC335">
        <f t="shared" si="87"/>
        <v>2</v>
      </c>
      <c r="AD335" t="e">
        <f t="shared" si="88"/>
        <v>#VALUE!</v>
      </c>
      <c r="AE335" t="str">
        <f t="shared" si="89"/>
        <v>Westpngal Website</v>
      </c>
      <c r="AF335" t="s">
        <v>127</v>
      </c>
      <c r="AG335" t="s">
        <v>132</v>
      </c>
      <c r="AH335" t="s">
        <v>132</v>
      </c>
    </row>
    <row r="336" spans="1:34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t="s">
        <v>45</v>
      </c>
      <c r="Q336" t="str">
        <f t="shared" si="75"/>
        <v>ery</v>
      </c>
      <c r="R336" t="str">
        <f t="shared" si="76"/>
        <v>edsh</v>
      </c>
      <c r="S336">
        <f t="shared" si="77"/>
        <v>8</v>
      </c>
      <c r="T336" t="str">
        <f t="shared" si="78"/>
        <v>Bedsheet</v>
      </c>
      <c r="U336">
        <f t="shared" si="79"/>
        <v>8</v>
      </c>
      <c r="V336" t="str">
        <f t="shared" si="80"/>
        <v>BEDSHEET</v>
      </c>
      <c r="W336" t="str">
        <f t="shared" si="81"/>
        <v>bedsheet</v>
      </c>
      <c r="X336" t="str">
        <f t="shared" si="82"/>
        <v>Bedsheet</v>
      </c>
      <c r="Y336" t="str">
        <f t="shared" si="83"/>
        <v>Telangana 7</v>
      </c>
      <c r="Z336" t="str">
        <f t="shared" si="84"/>
        <v>BrandC7</v>
      </c>
      <c r="AA336" t="str">
        <f t="shared" si="85"/>
        <v>BrandC 7</v>
      </c>
      <c r="AB336" t="str">
        <f t="shared" si="86"/>
        <v>Telangana Mobile App</v>
      </c>
      <c r="AC336">
        <f t="shared" si="87"/>
        <v>6</v>
      </c>
      <c r="AD336">
        <f t="shared" si="88"/>
        <v>11</v>
      </c>
      <c r="AE336" t="str">
        <f t="shared" si="89"/>
        <v>Telapna Mobile App</v>
      </c>
      <c r="AF336" t="s">
        <v>129</v>
      </c>
      <c r="AG336" t="s">
        <v>131</v>
      </c>
      <c r="AH336" t="s">
        <v>134</v>
      </c>
    </row>
    <row r="337" spans="1:34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t="s">
        <v>33</v>
      </c>
      <c r="Q337" t="str">
        <f t="shared" si="75"/>
        <v>ing</v>
      </c>
      <c r="R337" t="str">
        <f t="shared" si="76"/>
        <v>ookw</v>
      </c>
      <c r="S337">
        <f t="shared" si="77"/>
        <v>12</v>
      </c>
      <c r="T337" t="str">
        <f t="shared" si="78"/>
        <v>Cookware Set</v>
      </c>
      <c r="U337">
        <f t="shared" si="79"/>
        <v>12</v>
      </c>
      <c r="V337" t="str">
        <f t="shared" si="80"/>
        <v>COOKWARE SET</v>
      </c>
      <c r="W337" t="str">
        <f t="shared" si="81"/>
        <v>cookware set</v>
      </c>
      <c r="X337" t="str">
        <f t="shared" si="82"/>
        <v>Cookware Set</v>
      </c>
      <c r="Y337" t="str">
        <f t="shared" si="83"/>
        <v>Telangana 1</v>
      </c>
      <c r="Z337" t="str">
        <f t="shared" si="84"/>
        <v>BrandE1</v>
      </c>
      <c r="AA337" t="str">
        <f t="shared" si="85"/>
        <v>BrandE 1</v>
      </c>
      <c r="AB337" t="str">
        <f t="shared" si="86"/>
        <v>Telangana Website</v>
      </c>
      <c r="AC337">
        <f t="shared" si="87"/>
        <v>2</v>
      </c>
      <c r="AD337" t="e">
        <f t="shared" si="88"/>
        <v>#VALUE!</v>
      </c>
      <c r="AE337" t="str">
        <f t="shared" si="89"/>
        <v>Telapna Website</v>
      </c>
      <c r="AF337" t="s">
        <v>129</v>
      </c>
      <c r="AG337" t="s">
        <v>132</v>
      </c>
      <c r="AH337" t="s">
        <v>132</v>
      </c>
    </row>
    <row r="338" spans="1:34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t="s">
        <v>33</v>
      </c>
      <c r="Q338" t="str">
        <f t="shared" si="75"/>
        <v>ard</v>
      </c>
      <c r="R338" t="str">
        <f t="shared" si="76"/>
        <v>extb</v>
      </c>
      <c r="S338">
        <f t="shared" si="77"/>
        <v>8</v>
      </c>
      <c r="T338" t="str">
        <f t="shared" si="78"/>
        <v>Textbook</v>
      </c>
      <c r="U338">
        <f t="shared" si="79"/>
        <v>8</v>
      </c>
      <c r="V338" t="str">
        <f t="shared" si="80"/>
        <v>TEXTBOOK</v>
      </c>
      <c r="W338" t="str">
        <f t="shared" si="81"/>
        <v>textbook</v>
      </c>
      <c r="X338" t="str">
        <f t="shared" si="82"/>
        <v>Textbook</v>
      </c>
      <c r="Y338" t="str">
        <f t="shared" si="83"/>
        <v>Karnataka 8</v>
      </c>
      <c r="Z338" t="str">
        <f t="shared" si="84"/>
        <v>BrandE8</v>
      </c>
      <c r="AA338" t="str">
        <f t="shared" si="85"/>
        <v>BrandE 8</v>
      </c>
      <c r="AB338" t="str">
        <f t="shared" si="86"/>
        <v>Karnataka Mobile App</v>
      </c>
      <c r="AC338">
        <f t="shared" si="87"/>
        <v>6</v>
      </c>
      <c r="AD338">
        <f t="shared" si="88"/>
        <v>11</v>
      </c>
      <c r="AE338" t="str">
        <f t="shared" si="89"/>
        <v>Karnpka Mobile App</v>
      </c>
      <c r="AF338" t="s">
        <v>128</v>
      </c>
      <c r="AG338" t="s">
        <v>131</v>
      </c>
      <c r="AH338" t="s">
        <v>134</v>
      </c>
    </row>
    <row r="339" spans="1:34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t="s">
        <v>21</v>
      </c>
      <c r="Q339" t="str">
        <f t="shared" si="75"/>
        <v>ing</v>
      </c>
      <c r="R339" t="str">
        <f t="shared" si="76"/>
        <v>eadp</v>
      </c>
      <c r="S339">
        <f t="shared" si="77"/>
        <v>10</v>
      </c>
      <c r="T339" t="str">
        <f t="shared" si="78"/>
        <v>Headphones</v>
      </c>
      <c r="U339">
        <f t="shared" si="79"/>
        <v>10</v>
      </c>
      <c r="V339" t="str">
        <f t="shared" si="80"/>
        <v>HEADPHONES</v>
      </c>
      <c r="W339" t="str">
        <f t="shared" si="81"/>
        <v>headphones</v>
      </c>
      <c r="X339" t="str">
        <f t="shared" si="82"/>
        <v>Headphones</v>
      </c>
      <c r="Y339" t="str">
        <f t="shared" si="83"/>
        <v>West Bengal 3</v>
      </c>
      <c r="Z339" t="str">
        <f t="shared" si="84"/>
        <v>BrandA3</v>
      </c>
      <c r="AA339" t="str">
        <f t="shared" si="85"/>
        <v>BrandA 3</v>
      </c>
      <c r="AB339" t="str">
        <f t="shared" si="86"/>
        <v>West Bengal Marketplace</v>
      </c>
      <c r="AC339">
        <f t="shared" si="87"/>
        <v>5</v>
      </c>
      <c r="AD339">
        <f t="shared" si="88"/>
        <v>13</v>
      </c>
      <c r="AE339" t="str">
        <f t="shared" si="89"/>
        <v>Westpngal Marketplace</v>
      </c>
      <c r="AF339" t="s">
        <v>127</v>
      </c>
      <c r="AG339" t="s">
        <v>133</v>
      </c>
      <c r="AH339" t="s">
        <v>133</v>
      </c>
    </row>
    <row r="340" spans="1:34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t="s">
        <v>21</v>
      </c>
      <c r="Q340" t="str">
        <f t="shared" si="75"/>
        <v>ard</v>
      </c>
      <c r="R340" t="str">
        <f t="shared" si="76"/>
        <v>neak</v>
      </c>
      <c r="S340">
        <f t="shared" si="77"/>
        <v>8</v>
      </c>
      <c r="T340" t="str">
        <f t="shared" si="78"/>
        <v>Sneakers</v>
      </c>
      <c r="U340">
        <f t="shared" si="79"/>
        <v>8</v>
      </c>
      <c r="V340" t="str">
        <f t="shared" si="80"/>
        <v>SNEAKERS</v>
      </c>
      <c r="W340" t="str">
        <f t="shared" si="81"/>
        <v>sneakers</v>
      </c>
      <c r="X340" t="str">
        <f t="shared" si="82"/>
        <v>Sneakers</v>
      </c>
      <c r="Y340" t="str">
        <f t="shared" si="83"/>
        <v>Maharashtra 4</v>
      </c>
      <c r="Z340" t="str">
        <f t="shared" si="84"/>
        <v>BrandA4</v>
      </c>
      <c r="AA340" t="str">
        <f t="shared" si="85"/>
        <v>BrandA 4</v>
      </c>
      <c r="AB340" t="str">
        <f t="shared" si="86"/>
        <v>Maharashtra Mobile App</v>
      </c>
      <c r="AC340">
        <f t="shared" si="87"/>
        <v>6</v>
      </c>
      <c r="AD340">
        <f t="shared" si="88"/>
        <v>1</v>
      </c>
      <c r="AE340" t="str">
        <f t="shared" si="89"/>
        <v>Mahaphtra Mobile App</v>
      </c>
      <c r="AF340" t="s">
        <v>130</v>
      </c>
      <c r="AG340" t="s">
        <v>131</v>
      </c>
      <c r="AH340" t="s">
        <v>134</v>
      </c>
    </row>
    <row r="341" spans="1:34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t="s">
        <v>45</v>
      </c>
      <c r="Q341" t="str">
        <f t="shared" si="75"/>
        <v>ing</v>
      </c>
      <c r="R341" t="str">
        <f t="shared" si="76"/>
        <v>eadp</v>
      </c>
      <c r="S341">
        <f t="shared" si="77"/>
        <v>10</v>
      </c>
      <c r="T341" t="str">
        <f t="shared" si="78"/>
        <v>Headphones</v>
      </c>
      <c r="U341">
        <f t="shared" si="79"/>
        <v>10</v>
      </c>
      <c r="V341" t="str">
        <f t="shared" si="80"/>
        <v>HEADPHONES</v>
      </c>
      <c r="W341" t="str">
        <f t="shared" si="81"/>
        <v>headphones</v>
      </c>
      <c r="X341" t="str">
        <f t="shared" si="82"/>
        <v>Headphones</v>
      </c>
      <c r="Y341" t="str">
        <f t="shared" si="83"/>
        <v>West Bengal 9</v>
      </c>
      <c r="Z341" t="str">
        <f t="shared" si="84"/>
        <v>BrandC9</v>
      </c>
      <c r="AA341" t="str">
        <f t="shared" si="85"/>
        <v>BrandC 9</v>
      </c>
      <c r="AB341" t="str">
        <f t="shared" si="86"/>
        <v>West Bengal Marketplace</v>
      </c>
      <c r="AC341">
        <f t="shared" si="87"/>
        <v>5</v>
      </c>
      <c r="AD341">
        <f t="shared" si="88"/>
        <v>13</v>
      </c>
      <c r="AE341" t="str">
        <f t="shared" si="89"/>
        <v>Westpngal Marketplace</v>
      </c>
      <c r="AF341" t="s">
        <v>127</v>
      </c>
      <c r="AG341" t="s">
        <v>133</v>
      </c>
      <c r="AH341" t="s">
        <v>133</v>
      </c>
    </row>
    <row r="342" spans="1:34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t="s">
        <v>28</v>
      </c>
      <c r="Q342" t="str">
        <f t="shared" si="75"/>
        <v>ery</v>
      </c>
      <c r="R342" t="str">
        <f t="shared" si="76"/>
        <v>mart</v>
      </c>
      <c r="S342">
        <f t="shared" si="77"/>
        <v>10</v>
      </c>
      <c r="T342" t="str">
        <f t="shared" si="78"/>
        <v>Smartwatch</v>
      </c>
      <c r="U342">
        <f t="shared" si="79"/>
        <v>10</v>
      </c>
      <c r="V342" t="str">
        <f t="shared" si="80"/>
        <v>SMARTWATCH</v>
      </c>
      <c r="W342" t="str">
        <f t="shared" si="81"/>
        <v>smartwatch</v>
      </c>
      <c r="X342" t="str">
        <f t="shared" si="82"/>
        <v>Smartwatch</v>
      </c>
      <c r="Y342" t="str">
        <f t="shared" si="83"/>
        <v>West Bengal 4</v>
      </c>
      <c r="Z342" t="str">
        <f t="shared" si="84"/>
        <v>BrandD4</v>
      </c>
      <c r="AA342" t="str">
        <f t="shared" si="85"/>
        <v>BrandD 4</v>
      </c>
      <c r="AB342" t="str">
        <f t="shared" si="86"/>
        <v>West Bengal Mobile App</v>
      </c>
      <c r="AC342">
        <f t="shared" si="87"/>
        <v>6</v>
      </c>
      <c r="AD342">
        <f t="shared" si="88"/>
        <v>13</v>
      </c>
      <c r="AE342" t="str">
        <f t="shared" si="89"/>
        <v>Westpngal Mobile App</v>
      </c>
      <c r="AF342" t="s">
        <v>127</v>
      </c>
      <c r="AG342" t="s">
        <v>131</v>
      </c>
      <c r="AH342" t="s">
        <v>134</v>
      </c>
    </row>
    <row r="343" spans="1:34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t="s">
        <v>47</v>
      </c>
      <c r="Q343" t="str">
        <f t="shared" si="75"/>
        <v>ery</v>
      </c>
      <c r="R343" t="str">
        <f t="shared" si="76"/>
        <v>ootb</v>
      </c>
      <c r="S343">
        <f t="shared" si="77"/>
        <v>8</v>
      </c>
      <c r="T343" t="str">
        <f t="shared" si="78"/>
        <v>Football</v>
      </c>
      <c r="U343">
        <f t="shared" si="79"/>
        <v>8</v>
      </c>
      <c r="V343" t="str">
        <f t="shared" si="80"/>
        <v>FOOTBALL</v>
      </c>
      <c r="W343" t="str">
        <f t="shared" si="81"/>
        <v>football</v>
      </c>
      <c r="X343" t="str">
        <f t="shared" si="82"/>
        <v>Football</v>
      </c>
      <c r="Y343" t="str">
        <f t="shared" si="83"/>
        <v>Maharashtra 5</v>
      </c>
      <c r="Z343" t="str">
        <f t="shared" si="84"/>
        <v>BrandB5</v>
      </c>
      <c r="AA343" t="str">
        <f t="shared" si="85"/>
        <v>BrandB 5</v>
      </c>
      <c r="AB343" t="str">
        <f t="shared" si="86"/>
        <v>Maharashtra Mobile App</v>
      </c>
      <c r="AC343">
        <f t="shared" si="87"/>
        <v>6</v>
      </c>
      <c r="AD343">
        <f t="shared" si="88"/>
        <v>1</v>
      </c>
      <c r="AE343" t="str">
        <f t="shared" si="89"/>
        <v>Mahaphtra Mobile App</v>
      </c>
      <c r="AF343" t="s">
        <v>130</v>
      </c>
      <c r="AG343" t="s">
        <v>131</v>
      </c>
      <c r="AH343" t="s">
        <v>134</v>
      </c>
    </row>
    <row r="344" spans="1:34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t="s">
        <v>21</v>
      </c>
      <c r="Q344" t="str">
        <f t="shared" si="75"/>
        <v>ard</v>
      </c>
      <c r="R344" t="str">
        <f t="shared" si="76"/>
        <v>mart</v>
      </c>
      <c r="S344">
        <f t="shared" si="77"/>
        <v>10</v>
      </c>
      <c r="T344" t="str">
        <f t="shared" si="78"/>
        <v>Smartwatch</v>
      </c>
      <c r="U344">
        <f t="shared" si="79"/>
        <v>10</v>
      </c>
      <c r="V344" t="str">
        <f t="shared" si="80"/>
        <v>SMARTWATCH</v>
      </c>
      <c r="W344" t="str">
        <f t="shared" si="81"/>
        <v>smartwatch</v>
      </c>
      <c r="X344" t="str">
        <f t="shared" si="82"/>
        <v>Smartwatch</v>
      </c>
      <c r="Y344" t="str">
        <f t="shared" si="83"/>
        <v>Tamil Nadu 7</v>
      </c>
      <c r="Z344" t="str">
        <f t="shared" si="84"/>
        <v>BrandA7</v>
      </c>
      <c r="AA344" t="str">
        <f t="shared" si="85"/>
        <v>BrandA 7</v>
      </c>
      <c r="AB344" t="str">
        <f t="shared" si="86"/>
        <v>Tamil Nadu Mobile App</v>
      </c>
      <c r="AC344">
        <f t="shared" si="87"/>
        <v>6</v>
      </c>
      <c r="AD344">
        <f t="shared" si="88"/>
        <v>3</v>
      </c>
      <c r="AE344" t="str">
        <f t="shared" si="89"/>
        <v>Tamipadu Mobile App</v>
      </c>
      <c r="AF344" t="s">
        <v>126</v>
      </c>
      <c r="AG344" t="s">
        <v>131</v>
      </c>
      <c r="AH344" t="s">
        <v>134</v>
      </c>
    </row>
    <row r="345" spans="1:34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t="s">
        <v>33</v>
      </c>
      <c r="Q345" t="str">
        <f t="shared" si="75"/>
        <v>UPI</v>
      </c>
      <c r="R345" t="str">
        <f t="shared" si="76"/>
        <v>ipst</v>
      </c>
      <c r="S345">
        <f t="shared" si="77"/>
        <v>8</v>
      </c>
      <c r="T345" t="str">
        <f t="shared" si="78"/>
        <v>Lipstick</v>
      </c>
      <c r="U345">
        <f t="shared" si="79"/>
        <v>8</v>
      </c>
      <c r="V345" t="str">
        <f t="shared" si="80"/>
        <v>LIPSTICK</v>
      </c>
      <c r="W345" t="str">
        <f t="shared" si="81"/>
        <v>lipstick</v>
      </c>
      <c r="X345" t="str">
        <f t="shared" si="82"/>
        <v>Lipstick</v>
      </c>
      <c r="Y345" t="str">
        <f t="shared" si="83"/>
        <v>West Bengal 4</v>
      </c>
      <c r="Z345" t="str">
        <f t="shared" si="84"/>
        <v>BrandE4</v>
      </c>
      <c r="AA345" t="str">
        <f t="shared" si="85"/>
        <v>BrandE 4</v>
      </c>
      <c r="AB345" t="str">
        <f t="shared" si="86"/>
        <v>West Bengal Marketplace</v>
      </c>
      <c r="AC345">
        <f t="shared" si="87"/>
        <v>5</v>
      </c>
      <c r="AD345">
        <f t="shared" si="88"/>
        <v>13</v>
      </c>
      <c r="AE345" t="str">
        <f t="shared" si="89"/>
        <v>Westpngal Marketplace</v>
      </c>
      <c r="AF345" t="s">
        <v>127</v>
      </c>
      <c r="AG345" t="s">
        <v>133</v>
      </c>
      <c r="AH345" t="s">
        <v>133</v>
      </c>
    </row>
    <row r="346" spans="1:34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t="s">
        <v>45</v>
      </c>
      <c r="Q346" t="str">
        <f t="shared" si="75"/>
        <v>ing</v>
      </c>
      <c r="R346" t="str">
        <f t="shared" si="76"/>
        <v xml:space="preserve">oga </v>
      </c>
      <c r="S346">
        <f t="shared" si="77"/>
        <v>8</v>
      </c>
      <c r="T346" t="str">
        <f t="shared" si="78"/>
        <v>Yoga Mat</v>
      </c>
      <c r="U346">
        <f t="shared" si="79"/>
        <v>8</v>
      </c>
      <c r="V346" t="str">
        <f t="shared" si="80"/>
        <v>YOGA MAT</v>
      </c>
      <c r="W346" t="str">
        <f t="shared" si="81"/>
        <v>yoga mat</v>
      </c>
      <c r="X346" t="str">
        <f t="shared" si="82"/>
        <v>Yoga Mat</v>
      </c>
      <c r="Y346" t="str">
        <f t="shared" si="83"/>
        <v>West Bengal 1</v>
      </c>
      <c r="Z346" t="str">
        <f t="shared" si="84"/>
        <v>BrandC1</v>
      </c>
      <c r="AA346" t="str">
        <f t="shared" si="85"/>
        <v>BrandC 1</v>
      </c>
      <c r="AB346" t="str">
        <f t="shared" si="86"/>
        <v>West Bengal Marketplace</v>
      </c>
      <c r="AC346">
        <f t="shared" si="87"/>
        <v>5</v>
      </c>
      <c r="AD346">
        <f t="shared" si="88"/>
        <v>13</v>
      </c>
      <c r="AE346" t="str">
        <f t="shared" si="89"/>
        <v>Westpngal Marketplace</v>
      </c>
      <c r="AF346" t="s">
        <v>127</v>
      </c>
      <c r="AG346" t="s">
        <v>133</v>
      </c>
      <c r="AH346" t="s">
        <v>133</v>
      </c>
    </row>
    <row r="347" spans="1:34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t="s">
        <v>47</v>
      </c>
      <c r="Q347" t="str">
        <f t="shared" si="75"/>
        <v>ard</v>
      </c>
      <c r="R347" t="str">
        <f t="shared" si="76"/>
        <v xml:space="preserve">oga </v>
      </c>
      <c r="S347">
        <f t="shared" si="77"/>
        <v>8</v>
      </c>
      <c r="T347" t="str">
        <f t="shared" si="78"/>
        <v>Yoga Mat</v>
      </c>
      <c r="U347">
        <f t="shared" si="79"/>
        <v>8</v>
      </c>
      <c r="V347" t="str">
        <f t="shared" si="80"/>
        <v>YOGA MAT</v>
      </c>
      <c r="W347" t="str">
        <f t="shared" si="81"/>
        <v>yoga mat</v>
      </c>
      <c r="X347" t="str">
        <f t="shared" si="82"/>
        <v>Yoga Mat</v>
      </c>
      <c r="Y347" t="str">
        <f t="shared" si="83"/>
        <v>Tamil Nadu 9</v>
      </c>
      <c r="Z347" t="str">
        <f t="shared" si="84"/>
        <v>BrandB9</v>
      </c>
      <c r="AA347" t="str">
        <f t="shared" si="85"/>
        <v>BrandB 9</v>
      </c>
      <c r="AB347" t="str">
        <f t="shared" si="86"/>
        <v>Tamil Nadu Mobile App</v>
      </c>
      <c r="AC347">
        <f t="shared" si="87"/>
        <v>6</v>
      </c>
      <c r="AD347">
        <f t="shared" si="88"/>
        <v>3</v>
      </c>
      <c r="AE347" t="str">
        <f t="shared" si="89"/>
        <v>Tamipadu Mobile App</v>
      </c>
      <c r="AF347" t="s">
        <v>126</v>
      </c>
      <c r="AG347" t="s">
        <v>131</v>
      </c>
      <c r="AH347" t="s">
        <v>134</v>
      </c>
    </row>
    <row r="348" spans="1:34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t="s">
        <v>45</v>
      </c>
      <c r="Q348" t="str">
        <f t="shared" si="75"/>
        <v>UPI</v>
      </c>
      <c r="R348" t="str">
        <f t="shared" si="76"/>
        <v>ixer</v>
      </c>
      <c r="S348">
        <f t="shared" si="77"/>
        <v>13</v>
      </c>
      <c r="T348" t="str">
        <f t="shared" si="78"/>
        <v>Mixer Grinder</v>
      </c>
      <c r="U348">
        <f t="shared" si="79"/>
        <v>13</v>
      </c>
      <c r="V348" t="str">
        <f t="shared" si="80"/>
        <v>MIXER GRINDER</v>
      </c>
      <c r="W348" t="str">
        <f t="shared" si="81"/>
        <v>mixer grinder</v>
      </c>
      <c r="X348" t="str">
        <f t="shared" si="82"/>
        <v>Mixer Grinder</v>
      </c>
      <c r="Y348" t="str">
        <f t="shared" si="83"/>
        <v>West Bengal 4</v>
      </c>
      <c r="Z348" t="str">
        <f t="shared" si="84"/>
        <v>BrandC4</v>
      </c>
      <c r="AA348" t="str">
        <f t="shared" si="85"/>
        <v>BrandC 4</v>
      </c>
      <c r="AB348" t="str">
        <f t="shared" si="86"/>
        <v>West Bengal Website</v>
      </c>
      <c r="AC348">
        <f t="shared" si="87"/>
        <v>2</v>
      </c>
      <c r="AD348" t="e">
        <f t="shared" si="88"/>
        <v>#VALUE!</v>
      </c>
      <c r="AE348" t="str">
        <f t="shared" si="89"/>
        <v>Westpngal Website</v>
      </c>
      <c r="AF348" t="s">
        <v>127</v>
      </c>
      <c r="AG348" t="s">
        <v>132</v>
      </c>
      <c r="AH348" t="s">
        <v>132</v>
      </c>
    </row>
    <row r="349" spans="1:34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t="s">
        <v>47</v>
      </c>
      <c r="Q349" t="str">
        <f t="shared" si="75"/>
        <v>ing</v>
      </c>
      <c r="R349" t="str">
        <f t="shared" si="76"/>
        <v>mart</v>
      </c>
      <c r="S349">
        <f t="shared" si="77"/>
        <v>10</v>
      </c>
      <c r="T349" t="str">
        <f t="shared" si="78"/>
        <v>Smartphone</v>
      </c>
      <c r="U349">
        <f t="shared" si="79"/>
        <v>10</v>
      </c>
      <c r="V349" t="str">
        <f t="shared" si="80"/>
        <v>SMARTPHONE</v>
      </c>
      <c r="W349" t="str">
        <f t="shared" si="81"/>
        <v>smartphone</v>
      </c>
      <c r="X349" t="str">
        <f t="shared" si="82"/>
        <v>Smartphone</v>
      </c>
      <c r="Y349" t="str">
        <f t="shared" si="83"/>
        <v>West Bengal 9</v>
      </c>
      <c r="Z349" t="str">
        <f t="shared" si="84"/>
        <v>BrandB9</v>
      </c>
      <c r="AA349" t="str">
        <f t="shared" si="85"/>
        <v>BrandB 9</v>
      </c>
      <c r="AB349" t="str">
        <f t="shared" si="86"/>
        <v>West Bengal Mobile App</v>
      </c>
      <c r="AC349">
        <f t="shared" si="87"/>
        <v>6</v>
      </c>
      <c r="AD349">
        <f t="shared" si="88"/>
        <v>13</v>
      </c>
      <c r="AE349" t="str">
        <f t="shared" si="89"/>
        <v>Westpngal Mobile App</v>
      </c>
      <c r="AF349" t="s">
        <v>127</v>
      </c>
      <c r="AG349" t="s">
        <v>131</v>
      </c>
      <c r="AH349" t="s">
        <v>134</v>
      </c>
    </row>
    <row r="350" spans="1:34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t="s">
        <v>47</v>
      </c>
      <c r="Q350" t="str">
        <f t="shared" si="75"/>
        <v>ard</v>
      </c>
      <c r="R350" t="str">
        <f t="shared" si="76"/>
        <v>urta</v>
      </c>
      <c r="S350">
        <f t="shared" si="77"/>
        <v>8</v>
      </c>
      <c r="T350" t="str">
        <f t="shared" si="78"/>
        <v>Curtains</v>
      </c>
      <c r="U350">
        <f t="shared" si="79"/>
        <v>8</v>
      </c>
      <c r="V350" t="str">
        <f t="shared" si="80"/>
        <v>CURTAINS</v>
      </c>
      <c r="W350" t="str">
        <f t="shared" si="81"/>
        <v>curtains</v>
      </c>
      <c r="X350" t="str">
        <f t="shared" si="82"/>
        <v>Curtains</v>
      </c>
      <c r="Y350" t="str">
        <f t="shared" si="83"/>
        <v>West Bengal 6</v>
      </c>
      <c r="Z350" t="str">
        <f t="shared" si="84"/>
        <v>BrandB6</v>
      </c>
      <c r="AA350" t="str">
        <f t="shared" si="85"/>
        <v>BrandB 6</v>
      </c>
      <c r="AB350" t="str">
        <f t="shared" si="86"/>
        <v>West Bengal Marketplace</v>
      </c>
      <c r="AC350">
        <f t="shared" si="87"/>
        <v>5</v>
      </c>
      <c r="AD350">
        <f t="shared" si="88"/>
        <v>13</v>
      </c>
      <c r="AE350" t="str">
        <f t="shared" si="89"/>
        <v>Westpngal Marketplace</v>
      </c>
      <c r="AF350" t="s">
        <v>127</v>
      </c>
      <c r="AG350" t="s">
        <v>133</v>
      </c>
      <c r="AH350" t="s">
        <v>133</v>
      </c>
    </row>
    <row r="351" spans="1:34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t="s">
        <v>21</v>
      </c>
      <c r="Q351" t="str">
        <f t="shared" si="75"/>
        <v>UPI</v>
      </c>
      <c r="R351" t="str">
        <f t="shared" si="76"/>
        <v>extb</v>
      </c>
      <c r="S351">
        <f t="shared" si="77"/>
        <v>8</v>
      </c>
      <c r="T351" t="str">
        <f t="shared" si="78"/>
        <v>Textbook</v>
      </c>
      <c r="U351">
        <f t="shared" si="79"/>
        <v>8</v>
      </c>
      <c r="V351" t="str">
        <f t="shared" si="80"/>
        <v>TEXTBOOK</v>
      </c>
      <c r="W351" t="str">
        <f t="shared" si="81"/>
        <v>textbook</v>
      </c>
      <c r="X351" t="str">
        <f t="shared" si="82"/>
        <v>Textbook</v>
      </c>
      <c r="Y351" t="str">
        <f t="shared" si="83"/>
        <v>Telangana 1</v>
      </c>
      <c r="Z351" t="str">
        <f t="shared" si="84"/>
        <v>BrandA1</v>
      </c>
      <c r="AA351" t="str">
        <f t="shared" si="85"/>
        <v>BrandA 1</v>
      </c>
      <c r="AB351" t="str">
        <f t="shared" si="86"/>
        <v>Telangana Mobile App</v>
      </c>
      <c r="AC351">
        <f t="shared" si="87"/>
        <v>6</v>
      </c>
      <c r="AD351">
        <f t="shared" si="88"/>
        <v>11</v>
      </c>
      <c r="AE351" t="str">
        <f t="shared" si="89"/>
        <v>Telapna Mobile App</v>
      </c>
      <c r="AF351" t="s">
        <v>129</v>
      </c>
      <c r="AG351" t="s">
        <v>131</v>
      </c>
      <c r="AH351" t="s">
        <v>134</v>
      </c>
    </row>
    <row r="352" spans="1:34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t="s">
        <v>45</v>
      </c>
      <c r="Q352" t="str">
        <f t="shared" si="75"/>
        <v>ery</v>
      </c>
      <c r="R352" t="str">
        <f t="shared" si="76"/>
        <v>neak</v>
      </c>
      <c r="S352">
        <f t="shared" si="77"/>
        <v>8</v>
      </c>
      <c r="T352" t="str">
        <f t="shared" si="78"/>
        <v>Sneakers</v>
      </c>
      <c r="U352">
        <f t="shared" si="79"/>
        <v>8</v>
      </c>
      <c r="V352" t="str">
        <f t="shared" si="80"/>
        <v>SNEAKERS</v>
      </c>
      <c r="W352" t="str">
        <f t="shared" si="81"/>
        <v>sneakers</v>
      </c>
      <c r="X352" t="str">
        <f t="shared" si="82"/>
        <v>Sneakers</v>
      </c>
      <c r="Y352" t="str">
        <f t="shared" si="83"/>
        <v>Delhi 3</v>
      </c>
      <c r="Z352" t="str">
        <f t="shared" si="84"/>
        <v>BrandC3</v>
      </c>
      <c r="AA352" t="str">
        <f t="shared" si="85"/>
        <v>BrandC 3</v>
      </c>
      <c r="AB352" t="str">
        <f t="shared" si="86"/>
        <v>Delhi Marketplace</v>
      </c>
      <c r="AC352">
        <f t="shared" si="87"/>
        <v>5</v>
      </c>
      <c r="AD352">
        <f t="shared" si="88"/>
        <v>7</v>
      </c>
      <c r="AE352" t="str">
        <f t="shared" si="89"/>
        <v>Delhparketplace</v>
      </c>
      <c r="AF352" t="s">
        <v>125</v>
      </c>
      <c r="AG352" t="s">
        <v>133</v>
      </c>
      <c r="AH352" t="s">
        <v>133</v>
      </c>
    </row>
    <row r="353" spans="1:34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t="s">
        <v>45</v>
      </c>
      <c r="Q353" t="str">
        <f t="shared" si="75"/>
        <v>ard</v>
      </c>
      <c r="R353" t="str">
        <f t="shared" si="76"/>
        <v xml:space="preserve">oga </v>
      </c>
      <c r="S353">
        <f t="shared" si="77"/>
        <v>8</v>
      </c>
      <c r="T353" t="str">
        <f t="shared" si="78"/>
        <v>Yoga Mat</v>
      </c>
      <c r="U353">
        <f t="shared" si="79"/>
        <v>8</v>
      </c>
      <c r="V353" t="str">
        <f t="shared" si="80"/>
        <v>YOGA MAT</v>
      </c>
      <c r="W353" t="str">
        <f t="shared" si="81"/>
        <v>yoga mat</v>
      </c>
      <c r="X353" t="str">
        <f t="shared" si="82"/>
        <v>Yoga Mat</v>
      </c>
      <c r="Y353" t="str">
        <f t="shared" si="83"/>
        <v>Tamil Nadu 2</v>
      </c>
      <c r="Z353" t="str">
        <f t="shared" si="84"/>
        <v>BrandC2</v>
      </c>
      <c r="AA353" t="str">
        <f t="shared" si="85"/>
        <v>BrandC 2</v>
      </c>
      <c r="AB353" t="str">
        <f t="shared" si="86"/>
        <v>Tamil Nadu Marketplace</v>
      </c>
      <c r="AC353">
        <f t="shared" si="87"/>
        <v>5</v>
      </c>
      <c r="AD353">
        <f t="shared" si="88"/>
        <v>3</v>
      </c>
      <c r="AE353" t="str">
        <f t="shared" si="89"/>
        <v>Tamipadu Marketplace</v>
      </c>
      <c r="AF353" t="s">
        <v>126</v>
      </c>
      <c r="AG353" t="s">
        <v>133</v>
      </c>
      <c r="AH353" t="s">
        <v>133</v>
      </c>
    </row>
    <row r="354" spans="1:34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t="s">
        <v>33</v>
      </c>
      <c r="Q354" t="str">
        <f t="shared" si="75"/>
        <v>UPI</v>
      </c>
      <c r="R354" t="str">
        <f t="shared" si="76"/>
        <v>iogr</v>
      </c>
      <c r="S354">
        <f t="shared" si="77"/>
        <v>9</v>
      </c>
      <c r="T354" t="str">
        <f t="shared" si="78"/>
        <v>Biography</v>
      </c>
      <c r="U354">
        <f t="shared" si="79"/>
        <v>9</v>
      </c>
      <c r="V354" t="str">
        <f t="shared" si="80"/>
        <v>BIOGRAPHY</v>
      </c>
      <c r="W354" t="str">
        <f t="shared" si="81"/>
        <v>biography</v>
      </c>
      <c r="X354" t="str">
        <f t="shared" si="82"/>
        <v>Biography</v>
      </c>
      <c r="Y354" t="str">
        <f t="shared" si="83"/>
        <v>West Bengal 9</v>
      </c>
      <c r="Z354" t="str">
        <f t="shared" si="84"/>
        <v>BrandE9</v>
      </c>
      <c r="AA354" t="str">
        <f t="shared" si="85"/>
        <v>BrandE 9</v>
      </c>
      <c r="AB354" t="str">
        <f t="shared" si="86"/>
        <v>West Bengal Marketplace</v>
      </c>
      <c r="AC354">
        <f t="shared" si="87"/>
        <v>5</v>
      </c>
      <c r="AD354">
        <f t="shared" si="88"/>
        <v>13</v>
      </c>
      <c r="AE354" t="str">
        <f t="shared" si="89"/>
        <v>Westpngal Marketplace</v>
      </c>
      <c r="AF354" t="s">
        <v>127</v>
      </c>
      <c r="AG354" t="s">
        <v>133</v>
      </c>
      <c r="AH354" t="s">
        <v>133</v>
      </c>
    </row>
    <row r="355" spans="1:34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t="s">
        <v>33</v>
      </c>
      <c r="Q355" t="str">
        <f t="shared" si="75"/>
        <v>UPI</v>
      </c>
      <c r="R355" t="str">
        <f t="shared" si="76"/>
        <v>icti</v>
      </c>
      <c r="S355">
        <f t="shared" si="77"/>
        <v>13</v>
      </c>
      <c r="T355" t="str">
        <f t="shared" si="78"/>
        <v>Fiction Novel</v>
      </c>
      <c r="U355">
        <f t="shared" si="79"/>
        <v>13</v>
      </c>
      <c r="V355" t="str">
        <f t="shared" si="80"/>
        <v>FICTION NOVEL</v>
      </c>
      <c r="W355" t="str">
        <f t="shared" si="81"/>
        <v>fiction novel</v>
      </c>
      <c r="X355" t="str">
        <f t="shared" si="82"/>
        <v>Fiction Novel</v>
      </c>
      <c r="Y355" t="str">
        <f t="shared" si="83"/>
        <v>Telangana 1</v>
      </c>
      <c r="Z355" t="str">
        <f t="shared" si="84"/>
        <v>BrandE1</v>
      </c>
      <c r="AA355" t="str">
        <f t="shared" si="85"/>
        <v>BrandE 1</v>
      </c>
      <c r="AB355" t="str">
        <f t="shared" si="86"/>
        <v>Telangana Mobile App</v>
      </c>
      <c r="AC355">
        <f t="shared" si="87"/>
        <v>6</v>
      </c>
      <c r="AD355">
        <f t="shared" si="88"/>
        <v>11</v>
      </c>
      <c r="AE355" t="str">
        <f t="shared" si="89"/>
        <v>Telapna Mobile App</v>
      </c>
      <c r="AF355" t="s">
        <v>129</v>
      </c>
      <c r="AG355" t="s">
        <v>131</v>
      </c>
      <c r="AH355" t="s">
        <v>134</v>
      </c>
    </row>
    <row r="356" spans="1:34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t="s">
        <v>21</v>
      </c>
      <c r="Q356" t="str">
        <f t="shared" si="75"/>
        <v>ery</v>
      </c>
      <c r="R356" t="str">
        <f t="shared" si="76"/>
        <v>hamp</v>
      </c>
      <c r="S356">
        <f t="shared" si="77"/>
        <v>7</v>
      </c>
      <c r="T356" t="str">
        <f t="shared" si="78"/>
        <v>Shampoo</v>
      </c>
      <c r="U356">
        <f t="shared" si="79"/>
        <v>7</v>
      </c>
      <c r="V356" t="str">
        <f t="shared" si="80"/>
        <v>SHAMPOO</v>
      </c>
      <c r="W356" t="str">
        <f t="shared" si="81"/>
        <v>shampoo</v>
      </c>
      <c r="X356" t="str">
        <f t="shared" si="82"/>
        <v>Shampoo</v>
      </c>
      <c r="Y356" t="str">
        <f t="shared" si="83"/>
        <v>Tamil Nadu 9</v>
      </c>
      <c r="Z356" t="str">
        <f t="shared" si="84"/>
        <v>BrandA9</v>
      </c>
      <c r="AA356" t="str">
        <f t="shared" si="85"/>
        <v>BrandA 9</v>
      </c>
      <c r="AB356" t="str">
        <f t="shared" si="86"/>
        <v>Tamil Nadu Marketplace</v>
      </c>
      <c r="AC356">
        <f t="shared" si="87"/>
        <v>5</v>
      </c>
      <c r="AD356">
        <f t="shared" si="88"/>
        <v>3</v>
      </c>
      <c r="AE356" t="str">
        <f t="shared" si="89"/>
        <v>Tamipadu Marketplace</v>
      </c>
      <c r="AF356" t="s">
        <v>126</v>
      </c>
      <c r="AG356" t="s">
        <v>133</v>
      </c>
      <c r="AH356" t="s">
        <v>133</v>
      </c>
    </row>
    <row r="357" spans="1:34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t="s">
        <v>21</v>
      </c>
      <c r="Q357" t="str">
        <f t="shared" si="75"/>
        <v>ing</v>
      </c>
      <c r="R357" t="str">
        <f t="shared" si="76"/>
        <v>-Shi</v>
      </c>
      <c r="S357">
        <f t="shared" si="77"/>
        <v>7</v>
      </c>
      <c r="T357" t="str">
        <f t="shared" si="78"/>
        <v>T-Shirt</v>
      </c>
      <c r="U357">
        <f t="shared" si="79"/>
        <v>7</v>
      </c>
      <c r="V357" t="str">
        <f t="shared" si="80"/>
        <v>T-SHIRT</v>
      </c>
      <c r="W357" t="str">
        <f t="shared" si="81"/>
        <v>t-shirt</v>
      </c>
      <c r="X357" t="str">
        <f t="shared" si="82"/>
        <v>T-Shirt</v>
      </c>
      <c r="Y357" t="str">
        <f t="shared" si="83"/>
        <v>Karnataka 9</v>
      </c>
      <c r="Z357" t="str">
        <f t="shared" si="84"/>
        <v>BrandA9</v>
      </c>
      <c r="AA357" t="str">
        <f t="shared" si="85"/>
        <v>BrandA 9</v>
      </c>
      <c r="AB357" t="str">
        <f t="shared" si="86"/>
        <v>Karnataka Marketplace</v>
      </c>
      <c r="AC357">
        <f t="shared" si="87"/>
        <v>5</v>
      </c>
      <c r="AD357">
        <f t="shared" si="88"/>
        <v>11</v>
      </c>
      <c r="AE357" t="str">
        <f t="shared" si="89"/>
        <v>Karnpka Marketplace</v>
      </c>
      <c r="AF357" t="s">
        <v>128</v>
      </c>
      <c r="AG357" t="s">
        <v>133</v>
      </c>
      <c r="AH357" t="s">
        <v>133</v>
      </c>
    </row>
    <row r="358" spans="1:34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t="s">
        <v>28</v>
      </c>
      <c r="Q358" t="str">
        <f t="shared" si="75"/>
        <v>ard</v>
      </c>
      <c r="R358" t="str">
        <f t="shared" si="76"/>
        <v>icti</v>
      </c>
      <c r="S358">
        <f t="shared" si="77"/>
        <v>13</v>
      </c>
      <c r="T358" t="str">
        <f t="shared" si="78"/>
        <v>Fiction Novel</v>
      </c>
      <c r="U358">
        <f t="shared" si="79"/>
        <v>13</v>
      </c>
      <c r="V358" t="str">
        <f t="shared" si="80"/>
        <v>FICTION NOVEL</v>
      </c>
      <c r="W358" t="str">
        <f t="shared" si="81"/>
        <v>fiction novel</v>
      </c>
      <c r="X358" t="str">
        <f t="shared" si="82"/>
        <v>Fiction Novel</v>
      </c>
      <c r="Y358" t="str">
        <f t="shared" si="83"/>
        <v>Karnataka 8</v>
      </c>
      <c r="Z358" t="str">
        <f t="shared" si="84"/>
        <v>BrandD8</v>
      </c>
      <c r="AA358" t="str">
        <f t="shared" si="85"/>
        <v>BrandD 8</v>
      </c>
      <c r="AB358" t="str">
        <f t="shared" si="86"/>
        <v>Karnataka Mobile App</v>
      </c>
      <c r="AC358">
        <f t="shared" si="87"/>
        <v>6</v>
      </c>
      <c r="AD358">
        <f t="shared" si="88"/>
        <v>11</v>
      </c>
      <c r="AE358" t="str">
        <f t="shared" si="89"/>
        <v>Karnpka Mobile App</v>
      </c>
      <c r="AF358" t="s">
        <v>128</v>
      </c>
      <c r="AG358" t="s">
        <v>131</v>
      </c>
      <c r="AH358" t="s">
        <v>134</v>
      </c>
    </row>
    <row r="359" spans="1:34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t="s">
        <v>33</v>
      </c>
      <c r="Q359" t="str">
        <f t="shared" si="75"/>
        <v>ery</v>
      </c>
      <c r="R359" t="str">
        <f t="shared" si="76"/>
        <v>icti</v>
      </c>
      <c r="S359">
        <f t="shared" si="77"/>
        <v>13</v>
      </c>
      <c r="T359" t="str">
        <f t="shared" si="78"/>
        <v>Fiction Novel</v>
      </c>
      <c r="U359">
        <f t="shared" si="79"/>
        <v>13</v>
      </c>
      <c r="V359" t="str">
        <f t="shared" si="80"/>
        <v>FICTION NOVEL</v>
      </c>
      <c r="W359" t="str">
        <f t="shared" si="81"/>
        <v>fiction novel</v>
      </c>
      <c r="X359" t="str">
        <f t="shared" si="82"/>
        <v>Fiction Novel</v>
      </c>
      <c r="Y359" t="str">
        <f t="shared" si="83"/>
        <v>West Bengal 8</v>
      </c>
      <c r="Z359" t="str">
        <f t="shared" si="84"/>
        <v>BrandE8</v>
      </c>
      <c r="AA359" t="str">
        <f t="shared" si="85"/>
        <v>BrandE 8</v>
      </c>
      <c r="AB359" t="str">
        <f t="shared" si="86"/>
        <v>West Bengal Marketplace</v>
      </c>
      <c r="AC359">
        <f t="shared" si="87"/>
        <v>5</v>
      </c>
      <c r="AD359">
        <f t="shared" si="88"/>
        <v>13</v>
      </c>
      <c r="AE359" t="str">
        <f t="shared" si="89"/>
        <v>Westpngal Marketplace</v>
      </c>
      <c r="AF359" t="s">
        <v>127</v>
      </c>
      <c r="AG359" t="s">
        <v>133</v>
      </c>
      <c r="AH359" t="s">
        <v>133</v>
      </c>
    </row>
    <row r="360" spans="1:34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t="s">
        <v>47</v>
      </c>
      <c r="Q360" t="str">
        <f t="shared" si="75"/>
        <v>ard</v>
      </c>
      <c r="R360" t="str">
        <f t="shared" si="76"/>
        <v>-Shi</v>
      </c>
      <c r="S360">
        <f t="shared" si="77"/>
        <v>7</v>
      </c>
      <c r="T360" t="str">
        <f t="shared" si="78"/>
        <v>T-Shirt</v>
      </c>
      <c r="U360">
        <f t="shared" si="79"/>
        <v>7</v>
      </c>
      <c r="V360" t="str">
        <f t="shared" si="80"/>
        <v>T-SHIRT</v>
      </c>
      <c r="W360" t="str">
        <f t="shared" si="81"/>
        <v>t-shirt</v>
      </c>
      <c r="X360" t="str">
        <f t="shared" si="82"/>
        <v>T-Shirt</v>
      </c>
      <c r="Y360" t="str">
        <f t="shared" si="83"/>
        <v>Telangana 1</v>
      </c>
      <c r="Z360" t="str">
        <f t="shared" si="84"/>
        <v>BrandB1</v>
      </c>
      <c r="AA360" t="str">
        <f t="shared" si="85"/>
        <v>BrandB 1</v>
      </c>
      <c r="AB360" t="str">
        <f t="shared" si="86"/>
        <v>Telangana Mobile App</v>
      </c>
      <c r="AC360">
        <f t="shared" si="87"/>
        <v>6</v>
      </c>
      <c r="AD360">
        <f t="shared" si="88"/>
        <v>11</v>
      </c>
      <c r="AE360" t="str">
        <f t="shared" si="89"/>
        <v>Telapna Mobile App</v>
      </c>
      <c r="AF360" t="s">
        <v>129</v>
      </c>
      <c r="AG360" t="s">
        <v>131</v>
      </c>
      <c r="AH360" t="s">
        <v>134</v>
      </c>
    </row>
    <row r="361" spans="1:34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t="s">
        <v>45</v>
      </c>
      <c r="Q361" t="str">
        <f t="shared" si="75"/>
        <v>ing</v>
      </c>
      <c r="R361" t="str">
        <f t="shared" si="76"/>
        <v>neak</v>
      </c>
      <c r="S361">
        <f t="shared" si="77"/>
        <v>8</v>
      </c>
      <c r="T361" t="str">
        <f t="shared" si="78"/>
        <v>Sneakers</v>
      </c>
      <c r="U361">
        <f t="shared" si="79"/>
        <v>8</v>
      </c>
      <c r="V361" t="str">
        <f t="shared" si="80"/>
        <v>SNEAKERS</v>
      </c>
      <c r="W361" t="str">
        <f t="shared" si="81"/>
        <v>sneakers</v>
      </c>
      <c r="X361" t="str">
        <f t="shared" si="82"/>
        <v>Sneakers</v>
      </c>
      <c r="Y361" t="str">
        <f t="shared" si="83"/>
        <v>Telangana 8</v>
      </c>
      <c r="Z361" t="str">
        <f t="shared" si="84"/>
        <v>BrandC8</v>
      </c>
      <c r="AA361" t="str">
        <f t="shared" si="85"/>
        <v>BrandC 8</v>
      </c>
      <c r="AB361" t="str">
        <f t="shared" si="86"/>
        <v>Telangana Marketplace</v>
      </c>
      <c r="AC361">
        <f t="shared" si="87"/>
        <v>5</v>
      </c>
      <c r="AD361">
        <f t="shared" si="88"/>
        <v>11</v>
      </c>
      <c r="AE361" t="str">
        <f t="shared" si="89"/>
        <v>Telapna Marketplace</v>
      </c>
      <c r="AF361" t="s">
        <v>129</v>
      </c>
      <c r="AG361" t="s">
        <v>133</v>
      </c>
      <c r="AH361" t="s">
        <v>133</v>
      </c>
    </row>
    <row r="362" spans="1:34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t="s">
        <v>21</v>
      </c>
      <c r="Q362" t="str">
        <f t="shared" si="75"/>
        <v>UPI</v>
      </c>
      <c r="R362" t="str">
        <f t="shared" si="76"/>
        <v>omic</v>
      </c>
      <c r="S362">
        <f t="shared" si="77"/>
        <v>6</v>
      </c>
      <c r="T362" t="str">
        <f t="shared" si="78"/>
        <v>Comics</v>
      </c>
      <c r="U362">
        <f t="shared" si="79"/>
        <v>6</v>
      </c>
      <c r="V362" t="str">
        <f t="shared" si="80"/>
        <v>COMICS</v>
      </c>
      <c r="W362" t="str">
        <f t="shared" si="81"/>
        <v>comics</v>
      </c>
      <c r="X362" t="str">
        <f t="shared" si="82"/>
        <v>Comics</v>
      </c>
      <c r="Y362" t="str">
        <f t="shared" si="83"/>
        <v>Tamil Nadu 3</v>
      </c>
      <c r="Z362" t="str">
        <f t="shared" si="84"/>
        <v>BrandA3</v>
      </c>
      <c r="AA362" t="str">
        <f t="shared" si="85"/>
        <v>BrandA 3</v>
      </c>
      <c r="AB362" t="str">
        <f t="shared" si="86"/>
        <v>Tamil Nadu Website</v>
      </c>
      <c r="AC362">
        <f t="shared" si="87"/>
        <v>2</v>
      </c>
      <c r="AD362">
        <f t="shared" si="88"/>
        <v>3</v>
      </c>
      <c r="AE362" t="str">
        <f t="shared" si="89"/>
        <v>Tamipadu Website</v>
      </c>
      <c r="AF362" t="s">
        <v>126</v>
      </c>
      <c r="AG362" t="s">
        <v>132</v>
      </c>
      <c r="AH362" t="s">
        <v>132</v>
      </c>
    </row>
    <row r="363" spans="1:34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t="s">
        <v>45</v>
      </c>
      <c r="Q363" t="str">
        <f t="shared" si="75"/>
        <v>ard</v>
      </c>
      <c r="R363" t="str">
        <f t="shared" si="76"/>
        <v>-Shi</v>
      </c>
      <c r="S363">
        <f t="shared" si="77"/>
        <v>7</v>
      </c>
      <c r="T363" t="str">
        <f t="shared" si="78"/>
        <v>T-Shirt</v>
      </c>
      <c r="U363">
        <f t="shared" si="79"/>
        <v>7</v>
      </c>
      <c r="V363" t="str">
        <f t="shared" si="80"/>
        <v>T-SHIRT</v>
      </c>
      <c r="W363" t="str">
        <f t="shared" si="81"/>
        <v>t-shirt</v>
      </c>
      <c r="X363" t="str">
        <f t="shared" si="82"/>
        <v>T-Shirt</v>
      </c>
      <c r="Y363" t="str">
        <f t="shared" si="83"/>
        <v>Tamil Nadu 7</v>
      </c>
      <c r="Z363" t="str">
        <f t="shared" si="84"/>
        <v>BrandC7</v>
      </c>
      <c r="AA363" t="str">
        <f t="shared" si="85"/>
        <v>BrandC 7</v>
      </c>
      <c r="AB363" t="str">
        <f t="shared" si="86"/>
        <v>Tamil Nadu Website</v>
      </c>
      <c r="AC363">
        <f t="shared" si="87"/>
        <v>2</v>
      </c>
      <c r="AD363">
        <f t="shared" si="88"/>
        <v>3</v>
      </c>
      <c r="AE363" t="str">
        <f t="shared" si="89"/>
        <v>Tamipadu Website</v>
      </c>
      <c r="AF363" t="s">
        <v>126</v>
      </c>
      <c r="AG363" t="s">
        <v>132</v>
      </c>
      <c r="AH363" t="s">
        <v>132</v>
      </c>
    </row>
    <row r="364" spans="1:34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t="s">
        <v>45</v>
      </c>
      <c r="Q364" t="str">
        <f t="shared" si="75"/>
        <v>ard</v>
      </c>
      <c r="R364" t="str">
        <f t="shared" si="76"/>
        <v>extb</v>
      </c>
      <c r="S364">
        <f t="shared" si="77"/>
        <v>8</v>
      </c>
      <c r="T364" t="str">
        <f t="shared" si="78"/>
        <v>Textbook</v>
      </c>
      <c r="U364">
        <f t="shared" si="79"/>
        <v>8</v>
      </c>
      <c r="V364" t="str">
        <f t="shared" si="80"/>
        <v>TEXTBOOK</v>
      </c>
      <c r="W364" t="str">
        <f t="shared" si="81"/>
        <v>textbook</v>
      </c>
      <c r="X364" t="str">
        <f t="shared" si="82"/>
        <v>Textbook</v>
      </c>
      <c r="Y364" t="str">
        <f t="shared" si="83"/>
        <v>Telangana 1</v>
      </c>
      <c r="Z364" t="str">
        <f t="shared" si="84"/>
        <v>BrandC1</v>
      </c>
      <c r="AA364" t="str">
        <f t="shared" si="85"/>
        <v>BrandC 1</v>
      </c>
      <c r="AB364" t="str">
        <f t="shared" si="86"/>
        <v>Telangana Marketplace</v>
      </c>
      <c r="AC364">
        <f t="shared" si="87"/>
        <v>5</v>
      </c>
      <c r="AD364">
        <f t="shared" si="88"/>
        <v>11</v>
      </c>
      <c r="AE364" t="str">
        <f t="shared" si="89"/>
        <v>Telapna Marketplace</v>
      </c>
      <c r="AF364" t="s">
        <v>129</v>
      </c>
      <c r="AG364" t="s">
        <v>133</v>
      </c>
      <c r="AH364" t="s">
        <v>133</v>
      </c>
    </row>
    <row r="365" spans="1:34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t="s">
        <v>28</v>
      </c>
      <c r="Q365" t="str">
        <f t="shared" si="75"/>
        <v>ard</v>
      </c>
      <c r="R365" t="str">
        <f t="shared" si="76"/>
        <v>iogr</v>
      </c>
      <c r="S365">
        <f t="shared" si="77"/>
        <v>9</v>
      </c>
      <c r="T365" t="str">
        <f t="shared" si="78"/>
        <v>Biography</v>
      </c>
      <c r="U365">
        <f t="shared" si="79"/>
        <v>9</v>
      </c>
      <c r="V365" t="str">
        <f t="shared" si="80"/>
        <v>BIOGRAPHY</v>
      </c>
      <c r="W365" t="str">
        <f t="shared" si="81"/>
        <v>biography</v>
      </c>
      <c r="X365" t="str">
        <f t="shared" si="82"/>
        <v>Biography</v>
      </c>
      <c r="Y365" t="str">
        <f t="shared" si="83"/>
        <v>Tamil Nadu 1</v>
      </c>
      <c r="Z365" t="str">
        <f t="shared" si="84"/>
        <v>BrandD1</v>
      </c>
      <c r="AA365" t="str">
        <f t="shared" si="85"/>
        <v>BrandD 1</v>
      </c>
      <c r="AB365" t="str">
        <f t="shared" si="86"/>
        <v>Tamil Nadu Website</v>
      </c>
      <c r="AC365">
        <f t="shared" si="87"/>
        <v>2</v>
      </c>
      <c r="AD365">
        <f t="shared" si="88"/>
        <v>3</v>
      </c>
      <c r="AE365" t="str">
        <f t="shared" si="89"/>
        <v>Tamipadu Website</v>
      </c>
      <c r="AF365" t="s">
        <v>126</v>
      </c>
      <c r="AG365" t="s">
        <v>132</v>
      </c>
      <c r="AH365" t="s">
        <v>132</v>
      </c>
    </row>
    <row r="366" spans="1:34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t="s">
        <v>33</v>
      </c>
      <c r="Q366" t="str">
        <f t="shared" si="75"/>
        <v>ery</v>
      </c>
      <c r="R366" t="str">
        <f t="shared" si="76"/>
        <v>hamp</v>
      </c>
      <c r="S366">
        <f t="shared" si="77"/>
        <v>7</v>
      </c>
      <c r="T366" t="str">
        <f t="shared" si="78"/>
        <v>Shampoo</v>
      </c>
      <c r="U366">
        <f t="shared" si="79"/>
        <v>7</v>
      </c>
      <c r="V366" t="str">
        <f t="shared" si="80"/>
        <v>SHAMPOO</v>
      </c>
      <c r="W366" t="str">
        <f t="shared" si="81"/>
        <v>shampoo</v>
      </c>
      <c r="X366" t="str">
        <f t="shared" si="82"/>
        <v>Shampoo</v>
      </c>
      <c r="Y366" t="str">
        <f t="shared" si="83"/>
        <v>Telangana 5</v>
      </c>
      <c r="Z366" t="str">
        <f t="shared" si="84"/>
        <v>BrandE5</v>
      </c>
      <c r="AA366" t="str">
        <f t="shared" si="85"/>
        <v>BrandE 5</v>
      </c>
      <c r="AB366" t="str">
        <f t="shared" si="86"/>
        <v>Telangana Mobile App</v>
      </c>
      <c r="AC366">
        <f t="shared" si="87"/>
        <v>6</v>
      </c>
      <c r="AD366">
        <f t="shared" si="88"/>
        <v>11</v>
      </c>
      <c r="AE366" t="str">
        <f t="shared" si="89"/>
        <v>Telapna Mobile App</v>
      </c>
      <c r="AF366" t="s">
        <v>129</v>
      </c>
      <c r="AG366" t="s">
        <v>131</v>
      </c>
      <c r="AH366" t="s">
        <v>134</v>
      </c>
    </row>
    <row r="367" spans="1:34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t="s">
        <v>21</v>
      </c>
      <c r="Q367" t="str">
        <f t="shared" si="75"/>
        <v>ing</v>
      </c>
      <c r="R367" t="str">
        <f t="shared" si="76"/>
        <v>apto</v>
      </c>
      <c r="S367">
        <f t="shared" si="77"/>
        <v>6</v>
      </c>
      <c r="T367" t="str">
        <f t="shared" si="78"/>
        <v>Laptop</v>
      </c>
      <c r="U367">
        <f t="shared" si="79"/>
        <v>6</v>
      </c>
      <c r="V367" t="str">
        <f t="shared" si="80"/>
        <v>LAPTOP</v>
      </c>
      <c r="W367" t="str">
        <f t="shared" si="81"/>
        <v>laptop</v>
      </c>
      <c r="X367" t="str">
        <f t="shared" si="82"/>
        <v>Laptop</v>
      </c>
      <c r="Y367" t="str">
        <f t="shared" si="83"/>
        <v>Delhi 5</v>
      </c>
      <c r="Z367" t="str">
        <f t="shared" si="84"/>
        <v>BrandA5</v>
      </c>
      <c r="AA367" t="str">
        <f t="shared" si="85"/>
        <v>BrandA 5</v>
      </c>
      <c r="AB367" t="str">
        <f t="shared" si="86"/>
        <v>Delhi Website</v>
      </c>
      <c r="AC367">
        <f t="shared" si="87"/>
        <v>2</v>
      </c>
      <c r="AD367" t="e">
        <f t="shared" si="88"/>
        <v>#VALUE!</v>
      </c>
      <c r="AE367" t="str">
        <f t="shared" si="89"/>
        <v>Delhpebsite</v>
      </c>
      <c r="AF367" t="s">
        <v>125</v>
      </c>
      <c r="AG367" t="s">
        <v>132</v>
      </c>
      <c r="AH367" t="s">
        <v>132</v>
      </c>
    </row>
    <row r="368" spans="1:34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t="s">
        <v>45</v>
      </c>
      <c r="Q368" t="str">
        <f t="shared" si="75"/>
        <v>ery</v>
      </c>
      <c r="R368" t="str">
        <f t="shared" si="76"/>
        <v>extb</v>
      </c>
      <c r="S368">
        <f t="shared" si="77"/>
        <v>8</v>
      </c>
      <c r="T368" t="str">
        <f t="shared" si="78"/>
        <v>Textbook</v>
      </c>
      <c r="U368">
        <f t="shared" si="79"/>
        <v>8</v>
      </c>
      <c r="V368" t="str">
        <f t="shared" si="80"/>
        <v>TEXTBOOK</v>
      </c>
      <c r="W368" t="str">
        <f t="shared" si="81"/>
        <v>textbook</v>
      </c>
      <c r="X368" t="str">
        <f t="shared" si="82"/>
        <v>Textbook</v>
      </c>
      <c r="Y368" t="str">
        <f t="shared" si="83"/>
        <v>Telangana 8</v>
      </c>
      <c r="Z368" t="str">
        <f t="shared" si="84"/>
        <v>BrandC8</v>
      </c>
      <c r="AA368" t="str">
        <f t="shared" si="85"/>
        <v>BrandC 8</v>
      </c>
      <c r="AB368" t="str">
        <f t="shared" si="86"/>
        <v>Telangana Marketplace</v>
      </c>
      <c r="AC368">
        <f t="shared" si="87"/>
        <v>5</v>
      </c>
      <c r="AD368">
        <f t="shared" si="88"/>
        <v>11</v>
      </c>
      <c r="AE368" t="str">
        <f t="shared" si="89"/>
        <v>Telapna Marketplace</v>
      </c>
      <c r="AF368" t="s">
        <v>129</v>
      </c>
      <c r="AG368" t="s">
        <v>133</v>
      </c>
      <c r="AH368" t="s">
        <v>133</v>
      </c>
    </row>
    <row r="369" spans="1:34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t="s">
        <v>21</v>
      </c>
      <c r="Q369" t="str">
        <f t="shared" si="75"/>
        <v>ery</v>
      </c>
      <c r="R369" t="str">
        <f t="shared" si="76"/>
        <v>ixer</v>
      </c>
      <c r="S369">
        <f t="shared" si="77"/>
        <v>13</v>
      </c>
      <c r="T369" t="str">
        <f t="shared" si="78"/>
        <v>Mixer Grinder</v>
      </c>
      <c r="U369">
        <f t="shared" si="79"/>
        <v>13</v>
      </c>
      <c r="V369" t="str">
        <f t="shared" si="80"/>
        <v>MIXER GRINDER</v>
      </c>
      <c r="W369" t="str">
        <f t="shared" si="81"/>
        <v>mixer grinder</v>
      </c>
      <c r="X369" t="str">
        <f t="shared" si="82"/>
        <v>Mixer Grinder</v>
      </c>
      <c r="Y369" t="str">
        <f t="shared" si="83"/>
        <v>Karnataka 7</v>
      </c>
      <c r="Z369" t="str">
        <f t="shared" si="84"/>
        <v>BrandA7</v>
      </c>
      <c r="AA369" t="str">
        <f t="shared" si="85"/>
        <v>BrandA 7</v>
      </c>
      <c r="AB369" t="str">
        <f t="shared" si="86"/>
        <v>Karnataka Marketplace</v>
      </c>
      <c r="AC369">
        <f t="shared" si="87"/>
        <v>5</v>
      </c>
      <c r="AD369">
        <f t="shared" si="88"/>
        <v>11</v>
      </c>
      <c r="AE369" t="str">
        <f t="shared" si="89"/>
        <v>Karnpka Marketplace</v>
      </c>
      <c r="AF369" t="s">
        <v>128</v>
      </c>
      <c r="AG369" t="s">
        <v>133</v>
      </c>
      <c r="AH369" t="s">
        <v>133</v>
      </c>
    </row>
    <row r="370" spans="1:34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t="s">
        <v>47</v>
      </c>
      <c r="Q370" t="str">
        <f t="shared" si="75"/>
        <v>ery</v>
      </c>
      <c r="R370" t="str">
        <f t="shared" si="76"/>
        <v xml:space="preserve">oga </v>
      </c>
      <c r="S370">
        <f t="shared" si="77"/>
        <v>8</v>
      </c>
      <c r="T370" t="str">
        <f t="shared" si="78"/>
        <v>Yoga Mat</v>
      </c>
      <c r="U370">
        <f t="shared" si="79"/>
        <v>8</v>
      </c>
      <c r="V370" t="str">
        <f t="shared" si="80"/>
        <v>YOGA MAT</v>
      </c>
      <c r="W370" t="str">
        <f t="shared" si="81"/>
        <v>yoga mat</v>
      </c>
      <c r="X370" t="str">
        <f t="shared" si="82"/>
        <v>Yoga Mat</v>
      </c>
      <c r="Y370" t="str">
        <f t="shared" si="83"/>
        <v>Tamil Nadu 8</v>
      </c>
      <c r="Z370" t="str">
        <f t="shared" si="84"/>
        <v>BrandB8</v>
      </c>
      <c r="AA370" t="str">
        <f t="shared" si="85"/>
        <v>BrandB 8</v>
      </c>
      <c r="AB370" t="str">
        <f t="shared" si="86"/>
        <v>Tamil Nadu Mobile App</v>
      </c>
      <c r="AC370">
        <f t="shared" si="87"/>
        <v>6</v>
      </c>
      <c r="AD370">
        <f t="shared" si="88"/>
        <v>3</v>
      </c>
      <c r="AE370" t="str">
        <f t="shared" si="89"/>
        <v>Tamipadu Mobile App</v>
      </c>
      <c r="AF370" t="s">
        <v>126</v>
      </c>
      <c r="AG370" t="s">
        <v>131</v>
      </c>
      <c r="AH370" t="s">
        <v>134</v>
      </c>
    </row>
    <row r="371" spans="1:34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t="s">
        <v>28</v>
      </c>
      <c r="Q371" t="str">
        <f t="shared" si="75"/>
        <v>ard</v>
      </c>
      <c r="R371" t="str">
        <f t="shared" si="76"/>
        <v>apto</v>
      </c>
      <c r="S371">
        <f t="shared" si="77"/>
        <v>6</v>
      </c>
      <c r="T371" t="str">
        <f t="shared" si="78"/>
        <v>Laptop</v>
      </c>
      <c r="U371">
        <f t="shared" si="79"/>
        <v>6</v>
      </c>
      <c r="V371" t="str">
        <f t="shared" si="80"/>
        <v>LAPTOP</v>
      </c>
      <c r="W371" t="str">
        <f t="shared" si="81"/>
        <v>laptop</v>
      </c>
      <c r="X371" t="str">
        <f t="shared" si="82"/>
        <v>Laptop</v>
      </c>
      <c r="Y371" t="str">
        <f t="shared" si="83"/>
        <v>Telangana 6</v>
      </c>
      <c r="Z371" t="str">
        <f t="shared" si="84"/>
        <v>BrandD6</v>
      </c>
      <c r="AA371" t="str">
        <f t="shared" si="85"/>
        <v>BrandD 6</v>
      </c>
      <c r="AB371" t="str">
        <f t="shared" si="86"/>
        <v>Telangana Marketplace</v>
      </c>
      <c r="AC371">
        <f t="shared" si="87"/>
        <v>5</v>
      </c>
      <c r="AD371">
        <f t="shared" si="88"/>
        <v>11</v>
      </c>
      <c r="AE371" t="str">
        <f t="shared" si="89"/>
        <v>Telapna Marketplace</v>
      </c>
      <c r="AF371" t="s">
        <v>129</v>
      </c>
      <c r="AG371" t="s">
        <v>133</v>
      </c>
      <c r="AH371" t="s">
        <v>133</v>
      </c>
    </row>
    <row r="372" spans="1:34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t="s">
        <v>47</v>
      </c>
      <c r="Q372" t="str">
        <f t="shared" si="75"/>
        <v>ard</v>
      </c>
      <c r="R372" t="str">
        <f t="shared" si="76"/>
        <v>mart</v>
      </c>
      <c r="S372">
        <f t="shared" si="77"/>
        <v>10</v>
      </c>
      <c r="T372" t="str">
        <f t="shared" si="78"/>
        <v>Smartphone</v>
      </c>
      <c r="U372">
        <f t="shared" si="79"/>
        <v>10</v>
      </c>
      <c r="V372" t="str">
        <f t="shared" si="80"/>
        <v>SMARTPHONE</v>
      </c>
      <c r="W372" t="str">
        <f t="shared" si="81"/>
        <v>smartphone</v>
      </c>
      <c r="X372" t="str">
        <f t="shared" si="82"/>
        <v>Smartphone</v>
      </c>
      <c r="Y372" t="str">
        <f t="shared" si="83"/>
        <v>Telangana 6</v>
      </c>
      <c r="Z372" t="str">
        <f t="shared" si="84"/>
        <v>BrandB6</v>
      </c>
      <c r="AA372" t="str">
        <f t="shared" si="85"/>
        <v>BrandB 6</v>
      </c>
      <c r="AB372" t="str">
        <f t="shared" si="86"/>
        <v>Telangana Mobile App</v>
      </c>
      <c r="AC372">
        <f t="shared" si="87"/>
        <v>6</v>
      </c>
      <c r="AD372">
        <f t="shared" si="88"/>
        <v>11</v>
      </c>
      <c r="AE372" t="str">
        <f t="shared" si="89"/>
        <v>Telapna Mobile App</v>
      </c>
      <c r="AF372" t="s">
        <v>129</v>
      </c>
      <c r="AG372" t="s">
        <v>131</v>
      </c>
      <c r="AH372" t="s">
        <v>134</v>
      </c>
    </row>
    <row r="373" spans="1:34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t="s">
        <v>21</v>
      </c>
      <c r="Q373" t="str">
        <f t="shared" si="75"/>
        <v>ery</v>
      </c>
      <c r="R373" t="str">
        <f t="shared" si="76"/>
        <v>apto</v>
      </c>
      <c r="S373">
        <f t="shared" si="77"/>
        <v>6</v>
      </c>
      <c r="T373" t="str">
        <f t="shared" si="78"/>
        <v>Laptop</v>
      </c>
      <c r="U373">
        <f t="shared" si="79"/>
        <v>6</v>
      </c>
      <c r="V373" t="str">
        <f t="shared" si="80"/>
        <v>LAPTOP</v>
      </c>
      <c r="W373" t="str">
        <f t="shared" si="81"/>
        <v>laptop</v>
      </c>
      <c r="X373" t="str">
        <f t="shared" si="82"/>
        <v>Laptop</v>
      </c>
      <c r="Y373" t="str">
        <f t="shared" si="83"/>
        <v>Tamil Nadu 2</v>
      </c>
      <c r="Z373" t="str">
        <f t="shared" si="84"/>
        <v>BrandA2</v>
      </c>
      <c r="AA373" t="str">
        <f t="shared" si="85"/>
        <v>BrandA 2</v>
      </c>
      <c r="AB373" t="str">
        <f t="shared" si="86"/>
        <v>Tamil Nadu Website</v>
      </c>
      <c r="AC373">
        <f t="shared" si="87"/>
        <v>2</v>
      </c>
      <c r="AD373">
        <f t="shared" si="88"/>
        <v>3</v>
      </c>
      <c r="AE373" t="str">
        <f t="shared" si="89"/>
        <v>Tamipadu Website</v>
      </c>
      <c r="AF373" t="s">
        <v>126</v>
      </c>
      <c r="AG373" t="s">
        <v>132</v>
      </c>
      <c r="AH373" t="s">
        <v>132</v>
      </c>
    </row>
    <row r="374" spans="1:34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t="s">
        <v>21</v>
      </c>
      <c r="Q374" t="str">
        <f t="shared" si="75"/>
        <v>ard</v>
      </c>
      <c r="R374" t="str">
        <f t="shared" si="76"/>
        <v>hamp</v>
      </c>
      <c r="S374">
        <f t="shared" si="77"/>
        <v>7</v>
      </c>
      <c r="T374" t="str">
        <f t="shared" si="78"/>
        <v>Shampoo</v>
      </c>
      <c r="U374">
        <f t="shared" si="79"/>
        <v>7</v>
      </c>
      <c r="V374" t="str">
        <f t="shared" si="80"/>
        <v>SHAMPOO</v>
      </c>
      <c r="W374" t="str">
        <f t="shared" si="81"/>
        <v>shampoo</v>
      </c>
      <c r="X374" t="str">
        <f t="shared" si="82"/>
        <v>Shampoo</v>
      </c>
      <c r="Y374" t="str">
        <f t="shared" si="83"/>
        <v>Delhi 6</v>
      </c>
      <c r="Z374" t="str">
        <f t="shared" si="84"/>
        <v>BrandA6</v>
      </c>
      <c r="AA374" t="str">
        <f t="shared" si="85"/>
        <v>BrandA 6</v>
      </c>
      <c r="AB374" t="str">
        <f t="shared" si="86"/>
        <v>Delhi Website</v>
      </c>
      <c r="AC374">
        <f t="shared" si="87"/>
        <v>2</v>
      </c>
      <c r="AD374" t="e">
        <f t="shared" si="88"/>
        <v>#VALUE!</v>
      </c>
      <c r="AE374" t="str">
        <f t="shared" si="89"/>
        <v>Delhpebsite</v>
      </c>
      <c r="AF374" t="s">
        <v>125</v>
      </c>
      <c r="AG374" t="s">
        <v>132</v>
      </c>
      <c r="AH374" t="s">
        <v>132</v>
      </c>
    </row>
    <row r="375" spans="1:34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t="s">
        <v>33</v>
      </c>
      <c r="Q375" t="str">
        <f t="shared" si="75"/>
        <v>ing</v>
      </c>
      <c r="R375" t="str">
        <f t="shared" si="76"/>
        <v>icti</v>
      </c>
      <c r="S375">
        <f t="shared" si="77"/>
        <v>13</v>
      </c>
      <c r="T375" t="str">
        <f t="shared" si="78"/>
        <v>Fiction Novel</v>
      </c>
      <c r="U375">
        <f t="shared" si="79"/>
        <v>13</v>
      </c>
      <c r="V375" t="str">
        <f t="shared" si="80"/>
        <v>FICTION NOVEL</v>
      </c>
      <c r="W375" t="str">
        <f t="shared" si="81"/>
        <v>fiction novel</v>
      </c>
      <c r="X375" t="str">
        <f t="shared" si="82"/>
        <v>Fiction Novel</v>
      </c>
      <c r="Y375" t="str">
        <f t="shared" si="83"/>
        <v>Delhi 5</v>
      </c>
      <c r="Z375" t="str">
        <f t="shared" si="84"/>
        <v>BrandE5</v>
      </c>
      <c r="AA375" t="str">
        <f t="shared" si="85"/>
        <v>BrandE 5</v>
      </c>
      <c r="AB375" t="str">
        <f t="shared" si="86"/>
        <v>Delhi Mobile App</v>
      </c>
      <c r="AC375">
        <f t="shared" si="87"/>
        <v>6</v>
      </c>
      <c r="AD375">
        <f t="shared" si="88"/>
        <v>7</v>
      </c>
      <c r="AE375" t="str">
        <f t="shared" si="89"/>
        <v>Delhpobile App</v>
      </c>
      <c r="AF375" t="s">
        <v>125</v>
      </c>
      <c r="AG375" t="s">
        <v>131</v>
      </c>
      <c r="AH375" t="s">
        <v>134</v>
      </c>
    </row>
    <row r="376" spans="1:34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t="s">
        <v>45</v>
      </c>
      <c r="Q376" t="str">
        <f t="shared" si="75"/>
        <v>ery</v>
      </c>
      <c r="R376" t="str">
        <f t="shared" si="76"/>
        <v>erfu</v>
      </c>
      <c r="S376">
        <f t="shared" si="77"/>
        <v>7</v>
      </c>
      <c r="T376" t="str">
        <f t="shared" si="78"/>
        <v>Perfume</v>
      </c>
      <c r="U376">
        <f t="shared" si="79"/>
        <v>7</v>
      </c>
      <c r="V376" t="str">
        <f t="shared" si="80"/>
        <v>PERFUME</v>
      </c>
      <c r="W376" t="str">
        <f t="shared" si="81"/>
        <v>perfume</v>
      </c>
      <c r="X376" t="str">
        <f t="shared" si="82"/>
        <v>Perfume</v>
      </c>
      <c r="Y376" t="str">
        <f t="shared" si="83"/>
        <v>Tamil Nadu 3</v>
      </c>
      <c r="Z376" t="str">
        <f t="shared" si="84"/>
        <v>BrandC3</v>
      </c>
      <c r="AA376" t="str">
        <f t="shared" si="85"/>
        <v>BrandC 3</v>
      </c>
      <c r="AB376" t="str">
        <f t="shared" si="86"/>
        <v>Tamil Nadu Mobile App</v>
      </c>
      <c r="AC376">
        <f t="shared" si="87"/>
        <v>6</v>
      </c>
      <c r="AD376">
        <f t="shared" si="88"/>
        <v>3</v>
      </c>
      <c r="AE376" t="str">
        <f t="shared" si="89"/>
        <v>Tamipadu Mobile App</v>
      </c>
      <c r="AF376" t="s">
        <v>126</v>
      </c>
      <c r="AG376" t="s">
        <v>131</v>
      </c>
      <c r="AH376" t="s">
        <v>134</v>
      </c>
    </row>
    <row r="377" spans="1:34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t="s">
        <v>45</v>
      </c>
      <c r="Q377" t="str">
        <f t="shared" si="75"/>
        <v>ard</v>
      </c>
      <c r="R377" t="str">
        <f t="shared" si="76"/>
        <v>omic</v>
      </c>
      <c r="S377">
        <f t="shared" si="77"/>
        <v>6</v>
      </c>
      <c r="T377" t="str">
        <f t="shared" si="78"/>
        <v>Comics</v>
      </c>
      <c r="U377">
        <f t="shared" si="79"/>
        <v>6</v>
      </c>
      <c r="V377" t="str">
        <f t="shared" si="80"/>
        <v>COMICS</v>
      </c>
      <c r="W377" t="str">
        <f t="shared" si="81"/>
        <v>comics</v>
      </c>
      <c r="X377" t="str">
        <f t="shared" si="82"/>
        <v>Comics</v>
      </c>
      <c r="Y377" t="str">
        <f t="shared" si="83"/>
        <v>Maharashtra 6</v>
      </c>
      <c r="Z377" t="str">
        <f t="shared" si="84"/>
        <v>BrandC6</v>
      </c>
      <c r="AA377" t="str">
        <f t="shared" si="85"/>
        <v>BrandC 6</v>
      </c>
      <c r="AB377" t="str">
        <f t="shared" si="86"/>
        <v>Maharashtra Marketplace</v>
      </c>
      <c r="AC377">
        <f t="shared" si="87"/>
        <v>5</v>
      </c>
      <c r="AD377">
        <f t="shared" si="88"/>
        <v>1</v>
      </c>
      <c r="AE377" t="str">
        <f t="shared" si="89"/>
        <v>Mahaphtra Marketplace</v>
      </c>
      <c r="AF377" t="s">
        <v>130</v>
      </c>
      <c r="AG377" t="s">
        <v>133</v>
      </c>
      <c r="AH377" t="s">
        <v>133</v>
      </c>
    </row>
    <row r="378" spans="1:34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t="s">
        <v>47</v>
      </c>
      <c r="Q378" t="str">
        <f t="shared" si="75"/>
        <v>ard</v>
      </c>
      <c r="R378" t="str">
        <f t="shared" si="76"/>
        <v>ipst</v>
      </c>
      <c r="S378">
        <f t="shared" si="77"/>
        <v>8</v>
      </c>
      <c r="T378" t="str">
        <f t="shared" si="78"/>
        <v>Lipstick</v>
      </c>
      <c r="U378">
        <f t="shared" si="79"/>
        <v>8</v>
      </c>
      <c r="V378" t="str">
        <f t="shared" si="80"/>
        <v>LIPSTICK</v>
      </c>
      <c r="W378" t="str">
        <f t="shared" si="81"/>
        <v>lipstick</v>
      </c>
      <c r="X378" t="str">
        <f t="shared" si="82"/>
        <v>Lipstick</v>
      </c>
      <c r="Y378" t="str">
        <f t="shared" si="83"/>
        <v>Tamil Nadu 8</v>
      </c>
      <c r="Z378" t="str">
        <f t="shared" si="84"/>
        <v>BrandB8</v>
      </c>
      <c r="AA378" t="str">
        <f t="shared" si="85"/>
        <v>BrandB 8</v>
      </c>
      <c r="AB378" t="str">
        <f t="shared" si="86"/>
        <v>Tamil Nadu Website</v>
      </c>
      <c r="AC378">
        <f t="shared" si="87"/>
        <v>2</v>
      </c>
      <c r="AD378">
        <f t="shared" si="88"/>
        <v>3</v>
      </c>
      <c r="AE378" t="str">
        <f t="shared" si="89"/>
        <v>Tamipadu Website</v>
      </c>
      <c r="AF378" t="s">
        <v>126</v>
      </c>
      <c r="AG378" t="s">
        <v>132</v>
      </c>
      <c r="AH378" t="s">
        <v>132</v>
      </c>
    </row>
    <row r="379" spans="1:34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t="s">
        <v>28</v>
      </c>
      <c r="Q379" t="str">
        <f t="shared" si="75"/>
        <v>ery</v>
      </c>
      <c r="R379" t="str">
        <f t="shared" si="76"/>
        <v xml:space="preserve">ace </v>
      </c>
      <c r="S379">
        <f t="shared" si="77"/>
        <v>10</v>
      </c>
      <c r="T379" t="str">
        <f t="shared" si="78"/>
        <v>Face Cream</v>
      </c>
      <c r="U379">
        <f t="shared" si="79"/>
        <v>10</v>
      </c>
      <c r="V379" t="str">
        <f t="shared" si="80"/>
        <v>FACE CREAM</v>
      </c>
      <c r="W379" t="str">
        <f t="shared" si="81"/>
        <v>face cream</v>
      </c>
      <c r="X379" t="str">
        <f t="shared" si="82"/>
        <v>Face Cream</v>
      </c>
      <c r="Y379" t="str">
        <f t="shared" si="83"/>
        <v>Tamil Nadu 9</v>
      </c>
      <c r="Z379" t="str">
        <f t="shared" si="84"/>
        <v>BrandD9</v>
      </c>
      <c r="AA379" t="str">
        <f t="shared" si="85"/>
        <v>BrandD 9</v>
      </c>
      <c r="AB379" t="str">
        <f t="shared" si="86"/>
        <v>Tamil Nadu Mobile App</v>
      </c>
      <c r="AC379">
        <f t="shared" si="87"/>
        <v>6</v>
      </c>
      <c r="AD379">
        <f t="shared" si="88"/>
        <v>3</v>
      </c>
      <c r="AE379" t="str">
        <f t="shared" si="89"/>
        <v>Tamipadu Mobile App</v>
      </c>
      <c r="AF379" t="s">
        <v>126</v>
      </c>
      <c r="AG379" t="s">
        <v>131</v>
      </c>
      <c r="AH379" t="s">
        <v>134</v>
      </c>
    </row>
    <row r="380" spans="1:34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t="s">
        <v>45</v>
      </c>
      <c r="Q380" t="str">
        <f t="shared" si="75"/>
        <v>ery</v>
      </c>
      <c r="R380" t="str">
        <f t="shared" si="76"/>
        <v>umbb</v>
      </c>
      <c r="S380">
        <f t="shared" si="77"/>
        <v>9</v>
      </c>
      <c r="T380" t="str">
        <f t="shared" si="78"/>
        <v>Dumbbells</v>
      </c>
      <c r="U380">
        <f t="shared" si="79"/>
        <v>9</v>
      </c>
      <c r="V380" t="str">
        <f t="shared" si="80"/>
        <v>DUMBBELLS</v>
      </c>
      <c r="W380" t="str">
        <f t="shared" si="81"/>
        <v>dumbbells</v>
      </c>
      <c r="X380" t="str">
        <f t="shared" si="82"/>
        <v>Dumbbells</v>
      </c>
      <c r="Y380" t="str">
        <f t="shared" si="83"/>
        <v>Delhi 1</v>
      </c>
      <c r="Z380" t="str">
        <f t="shared" si="84"/>
        <v>BrandC1</v>
      </c>
      <c r="AA380" t="str">
        <f t="shared" si="85"/>
        <v>BrandC 1</v>
      </c>
      <c r="AB380" t="str">
        <f t="shared" si="86"/>
        <v>Delhi Website</v>
      </c>
      <c r="AC380">
        <f t="shared" si="87"/>
        <v>2</v>
      </c>
      <c r="AD380" t="e">
        <f t="shared" si="88"/>
        <v>#VALUE!</v>
      </c>
      <c r="AE380" t="str">
        <f t="shared" si="89"/>
        <v>Delhpebsite</v>
      </c>
      <c r="AF380" t="s">
        <v>125</v>
      </c>
      <c r="AG380" t="s">
        <v>132</v>
      </c>
      <c r="AH380" t="s">
        <v>132</v>
      </c>
    </row>
    <row r="381" spans="1:34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t="s">
        <v>33</v>
      </c>
      <c r="Q381" t="str">
        <f t="shared" si="75"/>
        <v>ing</v>
      </c>
      <c r="R381" t="str">
        <f t="shared" si="76"/>
        <v>urta</v>
      </c>
      <c r="S381">
        <f t="shared" si="77"/>
        <v>8</v>
      </c>
      <c r="T381" t="str">
        <f t="shared" si="78"/>
        <v>Curtains</v>
      </c>
      <c r="U381">
        <f t="shared" si="79"/>
        <v>8</v>
      </c>
      <c r="V381" t="str">
        <f t="shared" si="80"/>
        <v>CURTAINS</v>
      </c>
      <c r="W381" t="str">
        <f t="shared" si="81"/>
        <v>curtains</v>
      </c>
      <c r="X381" t="str">
        <f t="shared" si="82"/>
        <v>Curtains</v>
      </c>
      <c r="Y381" t="str">
        <f t="shared" si="83"/>
        <v>Delhi 3</v>
      </c>
      <c r="Z381" t="str">
        <f t="shared" si="84"/>
        <v>BrandE3</v>
      </c>
      <c r="AA381" t="str">
        <f t="shared" si="85"/>
        <v>BrandE 3</v>
      </c>
      <c r="AB381" t="str">
        <f t="shared" si="86"/>
        <v>Delhi Mobile App</v>
      </c>
      <c r="AC381">
        <f t="shared" si="87"/>
        <v>6</v>
      </c>
      <c r="AD381">
        <f t="shared" si="88"/>
        <v>7</v>
      </c>
      <c r="AE381" t="str">
        <f t="shared" si="89"/>
        <v>Delhpobile App</v>
      </c>
      <c r="AF381" t="s">
        <v>125</v>
      </c>
      <c r="AG381" t="s">
        <v>131</v>
      </c>
      <c r="AH381" t="s">
        <v>134</v>
      </c>
    </row>
    <row r="382" spans="1:34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t="s">
        <v>47</v>
      </c>
      <c r="Q382" t="str">
        <f t="shared" si="75"/>
        <v>UPI</v>
      </c>
      <c r="R382" t="str">
        <f t="shared" si="76"/>
        <v>ipst</v>
      </c>
      <c r="S382">
        <f t="shared" si="77"/>
        <v>8</v>
      </c>
      <c r="T382" t="str">
        <f t="shared" si="78"/>
        <v>Lipstick</v>
      </c>
      <c r="U382">
        <f t="shared" si="79"/>
        <v>8</v>
      </c>
      <c r="V382" t="str">
        <f t="shared" si="80"/>
        <v>LIPSTICK</v>
      </c>
      <c r="W382" t="str">
        <f t="shared" si="81"/>
        <v>lipstick</v>
      </c>
      <c r="X382" t="str">
        <f t="shared" si="82"/>
        <v>Lipstick</v>
      </c>
      <c r="Y382" t="str">
        <f t="shared" si="83"/>
        <v>Tamil Nadu 3</v>
      </c>
      <c r="Z382" t="str">
        <f t="shared" si="84"/>
        <v>BrandB3</v>
      </c>
      <c r="AA382" t="str">
        <f t="shared" si="85"/>
        <v>BrandB 3</v>
      </c>
      <c r="AB382" t="str">
        <f t="shared" si="86"/>
        <v>Tamil Nadu Website</v>
      </c>
      <c r="AC382">
        <f t="shared" si="87"/>
        <v>2</v>
      </c>
      <c r="AD382">
        <f t="shared" si="88"/>
        <v>3</v>
      </c>
      <c r="AE382" t="str">
        <f t="shared" si="89"/>
        <v>Tamipadu Website</v>
      </c>
      <c r="AF382" t="s">
        <v>126</v>
      </c>
      <c r="AG382" t="s">
        <v>132</v>
      </c>
      <c r="AH382" t="s">
        <v>132</v>
      </c>
    </row>
    <row r="383" spans="1:34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t="s">
        <v>47</v>
      </c>
      <c r="Q383" t="str">
        <f t="shared" si="75"/>
        <v>UPI</v>
      </c>
      <c r="R383" t="str">
        <f t="shared" si="76"/>
        <v xml:space="preserve">oga </v>
      </c>
      <c r="S383">
        <f t="shared" si="77"/>
        <v>8</v>
      </c>
      <c r="T383" t="str">
        <f t="shared" si="78"/>
        <v>Yoga Mat</v>
      </c>
      <c r="U383">
        <f t="shared" si="79"/>
        <v>8</v>
      </c>
      <c r="V383" t="str">
        <f t="shared" si="80"/>
        <v>YOGA MAT</v>
      </c>
      <c r="W383" t="str">
        <f t="shared" si="81"/>
        <v>yoga mat</v>
      </c>
      <c r="X383" t="str">
        <f t="shared" si="82"/>
        <v>Yoga Mat</v>
      </c>
      <c r="Y383" t="str">
        <f t="shared" si="83"/>
        <v>Tamil Nadu 8</v>
      </c>
      <c r="Z383" t="str">
        <f t="shared" si="84"/>
        <v>BrandB8</v>
      </c>
      <c r="AA383" t="str">
        <f t="shared" si="85"/>
        <v>BrandB 8</v>
      </c>
      <c r="AB383" t="str">
        <f t="shared" si="86"/>
        <v>Tamil Nadu Marketplace</v>
      </c>
      <c r="AC383">
        <f t="shared" si="87"/>
        <v>5</v>
      </c>
      <c r="AD383">
        <f t="shared" si="88"/>
        <v>3</v>
      </c>
      <c r="AE383" t="str">
        <f t="shared" si="89"/>
        <v>Tamipadu Marketplace</v>
      </c>
      <c r="AF383" t="s">
        <v>126</v>
      </c>
      <c r="AG383" t="s">
        <v>133</v>
      </c>
      <c r="AH383" t="s">
        <v>133</v>
      </c>
    </row>
    <row r="384" spans="1:34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t="s">
        <v>33</v>
      </c>
      <c r="Q384" t="str">
        <f t="shared" si="75"/>
        <v>ing</v>
      </c>
      <c r="R384" t="str">
        <f t="shared" si="76"/>
        <v>-Shi</v>
      </c>
      <c r="S384">
        <f t="shared" si="77"/>
        <v>7</v>
      </c>
      <c r="T384" t="str">
        <f t="shared" si="78"/>
        <v>T-Shirt</v>
      </c>
      <c r="U384">
        <f t="shared" si="79"/>
        <v>7</v>
      </c>
      <c r="V384" t="str">
        <f t="shared" si="80"/>
        <v>T-SHIRT</v>
      </c>
      <c r="W384" t="str">
        <f t="shared" si="81"/>
        <v>t-shirt</v>
      </c>
      <c r="X384" t="str">
        <f t="shared" si="82"/>
        <v>T-Shirt</v>
      </c>
      <c r="Y384" t="str">
        <f t="shared" si="83"/>
        <v>Tamil Nadu 1</v>
      </c>
      <c r="Z384" t="str">
        <f t="shared" si="84"/>
        <v>BrandE1</v>
      </c>
      <c r="AA384" t="str">
        <f t="shared" si="85"/>
        <v>BrandE 1</v>
      </c>
      <c r="AB384" t="str">
        <f t="shared" si="86"/>
        <v>Tamil Nadu Website</v>
      </c>
      <c r="AC384">
        <f t="shared" si="87"/>
        <v>2</v>
      </c>
      <c r="AD384">
        <f t="shared" si="88"/>
        <v>3</v>
      </c>
      <c r="AE384" t="str">
        <f t="shared" si="89"/>
        <v>Tamipadu Website</v>
      </c>
      <c r="AF384" t="s">
        <v>126</v>
      </c>
      <c r="AG384" t="s">
        <v>132</v>
      </c>
      <c r="AH384" t="s">
        <v>132</v>
      </c>
    </row>
    <row r="385" spans="1:34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t="s">
        <v>28</v>
      </c>
      <c r="Q385" t="str">
        <f t="shared" si="75"/>
        <v>ing</v>
      </c>
      <c r="R385" t="str">
        <f t="shared" si="76"/>
        <v>urta</v>
      </c>
      <c r="S385">
        <f t="shared" si="77"/>
        <v>8</v>
      </c>
      <c r="T385" t="str">
        <f t="shared" si="78"/>
        <v>Curtains</v>
      </c>
      <c r="U385">
        <f t="shared" si="79"/>
        <v>8</v>
      </c>
      <c r="V385" t="str">
        <f t="shared" si="80"/>
        <v>CURTAINS</v>
      </c>
      <c r="W385" t="str">
        <f t="shared" si="81"/>
        <v>curtains</v>
      </c>
      <c r="X385" t="str">
        <f t="shared" si="82"/>
        <v>Curtains</v>
      </c>
      <c r="Y385" t="str">
        <f t="shared" si="83"/>
        <v>Delhi 5</v>
      </c>
      <c r="Z385" t="str">
        <f t="shared" si="84"/>
        <v>BrandD5</v>
      </c>
      <c r="AA385" t="str">
        <f t="shared" si="85"/>
        <v>BrandD 5</v>
      </c>
      <c r="AB385" t="str">
        <f t="shared" si="86"/>
        <v>Delhi Website</v>
      </c>
      <c r="AC385">
        <f t="shared" si="87"/>
        <v>2</v>
      </c>
      <c r="AD385" t="e">
        <f t="shared" si="88"/>
        <v>#VALUE!</v>
      </c>
      <c r="AE385" t="str">
        <f t="shared" si="89"/>
        <v>Delhpebsite</v>
      </c>
      <c r="AF385" t="s">
        <v>125</v>
      </c>
      <c r="AG385" t="s">
        <v>132</v>
      </c>
      <c r="AH385" t="s">
        <v>132</v>
      </c>
    </row>
    <row r="386" spans="1:34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t="s">
        <v>33</v>
      </c>
      <c r="Q386" t="str">
        <f t="shared" si="75"/>
        <v>ing</v>
      </c>
      <c r="R386" t="str">
        <f t="shared" si="76"/>
        <v xml:space="preserve">ace </v>
      </c>
      <c r="S386">
        <f t="shared" si="77"/>
        <v>10</v>
      </c>
      <c r="T386" t="str">
        <f t="shared" si="78"/>
        <v>Face Cream</v>
      </c>
      <c r="U386">
        <f t="shared" si="79"/>
        <v>10</v>
      </c>
      <c r="V386" t="str">
        <f t="shared" si="80"/>
        <v>FACE CREAM</v>
      </c>
      <c r="W386" t="str">
        <f t="shared" si="81"/>
        <v>face cream</v>
      </c>
      <c r="X386" t="str">
        <f t="shared" si="82"/>
        <v>Face Cream</v>
      </c>
      <c r="Y386" t="str">
        <f t="shared" si="83"/>
        <v>Tamil Nadu 3</v>
      </c>
      <c r="Z386" t="str">
        <f t="shared" si="84"/>
        <v>BrandE3</v>
      </c>
      <c r="AA386" t="str">
        <f t="shared" si="85"/>
        <v>BrandE 3</v>
      </c>
      <c r="AB386" t="str">
        <f t="shared" si="86"/>
        <v>Tamil Nadu Website</v>
      </c>
      <c r="AC386">
        <f t="shared" si="87"/>
        <v>2</v>
      </c>
      <c r="AD386">
        <f t="shared" si="88"/>
        <v>3</v>
      </c>
      <c r="AE386" t="str">
        <f t="shared" si="89"/>
        <v>Tamipadu Website</v>
      </c>
      <c r="AF386" t="s">
        <v>126</v>
      </c>
      <c r="AG386" t="s">
        <v>132</v>
      </c>
      <c r="AH386" t="s">
        <v>132</v>
      </c>
    </row>
    <row r="387" spans="1:34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t="s">
        <v>28</v>
      </c>
      <c r="Q387" t="str">
        <f t="shared" ref="Q387:Q450" si="90">RIGHT(H387,3)</f>
        <v>UPI</v>
      </c>
      <c r="R387" t="str">
        <f t="shared" ref="R387:R450" si="91">MID(J387,2,4)</f>
        <v>mart</v>
      </c>
      <c r="S387">
        <f t="shared" ref="S387:S450" si="92">LEN(J387)</f>
        <v>10</v>
      </c>
      <c r="T387" t="str">
        <f t="shared" ref="T387:T450" si="93">TRIM(J387)</f>
        <v>Smartphone</v>
      </c>
      <c r="U387">
        <f t="shared" ref="U387:U450" si="94">LEN(T387)</f>
        <v>10</v>
      </c>
      <c r="V387" t="str">
        <f t="shared" ref="V387:V450" si="95">UPPER(T387)</f>
        <v>SMARTPHONE</v>
      </c>
      <c r="W387" t="str">
        <f t="shared" ref="W387:W450" si="96">LOWER(V387)</f>
        <v>smartphone</v>
      </c>
      <c r="X387" t="str">
        <f t="shared" ref="X387:X450" si="97">PROPER(W387)</f>
        <v>Smartphone</v>
      </c>
      <c r="Y387" t="str">
        <f t="shared" ref="Y387:Y450" si="98">_xlfn.CONCAT(F387," ",L387)</f>
        <v>Tamil Nadu 2</v>
      </c>
      <c r="Z387" t="str">
        <f t="shared" ref="Z387:Z450" si="99">_xlfn.CONCAT(K387:L387)</f>
        <v>BrandD2</v>
      </c>
      <c r="AA387" t="str">
        <f t="shared" ref="AA387:AA450" si="100">CONCATENATE(K387," ",L387)</f>
        <v>BrandD 2</v>
      </c>
      <c r="AB387" t="str">
        <f t="shared" ref="AB387:AB450" si="101">_xlfn.TEXTJOIN(" ",TRUE,F387:G387)</f>
        <v>Tamil Nadu Website</v>
      </c>
      <c r="AC387">
        <f t="shared" ref="AC387:AC450" si="102">FIND("e",G387)</f>
        <v>2</v>
      </c>
      <c r="AD387">
        <f t="shared" ref="AD387:AD450" si="103">SEARCH("M",AB387)</f>
        <v>3</v>
      </c>
      <c r="AE387" t="str">
        <f t="shared" ref="AE387:AE450" si="104">REPLACE(AB387,5,3,"p")</f>
        <v>Tamipadu Website</v>
      </c>
      <c r="AF387" t="s">
        <v>126</v>
      </c>
      <c r="AG387" t="s">
        <v>132</v>
      </c>
      <c r="AH387" t="s">
        <v>132</v>
      </c>
    </row>
    <row r="388" spans="1:34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t="s">
        <v>33</v>
      </c>
      <c r="Q388" t="str">
        <f t="shared" si="90"/>
        <v>ing</v>
      </c>
      <c r="R388" t="str">
        <f t="shared" si="91"/>
        <v>neak</v>
      </c>
      <c r="S388">
        <f t="shared" si="92"/>
        <v>8</v>
      </c>
      <c r="T388" t="str">
        <f t="shared" si="93"/>
        <v>Sneakers</v>
      </c>
      <c r="U388">
        <f t="shared" si="94"/>
        <v>8</v>
      </c>
      <c r="V388" t="str">
        <f t="shared" si="95"/>
        <v>SNEAKERS</v>
      </c>
      <c r="W388" t="str">
        <f t="shared" si="96"/>
        <v>sneakers</v>
      </c>
      <c r="X388" t="str">
        <f t="shared" si="97"/>
        <v>Sneakers</v>
      </c>
      <c r="Y388" t="str">
        <f t="shared" si="98"/>
        <v>West Bengal 8</v>
      </c>
      <c r="Z388" t="str">
        <f t="shared" si="99"/>
        <v>BrandE8</v>
      </c>
      <c r="AA388" t="str">
        <f t="shared" si="100"/>
        <v>BrandE 8</v>
      </c>
      <c r="AB388" t="str">
        <f t="shared" si="101"/>
        <v>West Bengal Website</v>
      </c>
      <c r="AC388">
        <f t="shared" si="102"/>
        <v>2</v>
      </c>
      <c r="AD388" t="e">
        <f t="shared" si="103"/>
        <v>#VALUE!</v>
      </c>
      <c r="AE388" t="str">
        <f t="shared" si="104"/>
        <v>Westpngal Website</v>
      </c>
      <c r="AF388" t="s">
        <v>127</v>
      </c>
      <c r="AG388" t="s">
        <v>132</v>
      </c>
      <c r="AH388" t="s">
        <v>132</v>
      </c>
    </row>
    <row r="389" spans="1:34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t="s">
        <v>33</v>
      </c>
      <c r="Q389" t="str">
        <f t="shared" si="90"/>
        <v>ard</v>
      </c>
      <c r="R389" t="str">
        <f t="shared" si="91"/>
        <v>acke</v>
      </c>
      <c r="S389">
        <f t="shared" si="92"/>
        <v>6</v>
      </c>
      <c r="T389" t="str">
        <f t="shared" si="93"/>
        <v>Jacket</v>
      </c>
      <c r="U389">
        <f t="shared" si="94"/>
        <v>6</v>
      </c>
      <c r="V389" t="str">
        <f t="shared" si="95"/>
        <v>JACKET</v>
      </c>
      <c r="W389" t="str">
        <f t="shared" si="96"/>
        <v>jacket</v>
      </c>
      <c r="X389" t="str">
        <f t="shared" si="97"/>
        <v>Jacket</v>
      </c>
      <c r="Y389" t="str">
        <f t="shared" si="98"/>
        <v>Maharashtra 3</v>
      </c>
      <c r="Z389" t="str">
        <f t="shared" si="99"/>
        <v>BrandE3</v>
      </c>
      <c r="AA389" t="str">
        <f t="shared" si="100"/>
        <v>BrandE 3</v>
      </c>
      <c r="AB389" t="str">
        <f t="shared" si="101"/>
        <v>Maharashtra Marketplace</v>
      </c>
      <c r="AC389">
        <f t="shared" si="102"/>
        <v>5</v>
      </c>
      <c r="AD389">
        <f t="shared" si="103"/>
        <v>1</v>
      </c>
      <c r="AE389" t="str">
        <f t="shared" si="104"/>
        <v>Mahaphtra Marketplace</v>
      </c>
      <c r="AF389" t="s">
        <v>130</v>
      </c>
      <c r="AG389" t="s">
        <v>133</v>
      </c>
      <c r="AH389" t="s">
        <v>133</v>
      </c>
    </row>
    <row r="390" spans="1:34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t="s">
        <v>21</v>
      </c>
      <c r="Q390" t="str">
        <f t="shared" si="90"/>
        <v>ery</v>
      </c>
      <c r="R390" t="str">
        <f t="shared" si="91"/>
        <v>umbb</v>
      </c>
      <c r="S390">
        <f t="shared" si="92"/>
        <v>9</v>
      </c>
      <c r="T390" t="str">
        <f t="shared" si="93"/>
        <v>Dumbbells</v>
      </c>
      <c r="U390">
        <f t="shared" si="94"/>
        <v>9</v>
      </c>
      <c r="V390" t="str">
        <f t="shared" si="95"/>
        <v>DUMBBELLS</v>
      </c>
      <c r="W390" t="str">
        <f t="shared" si="96"/>
        <v>dumbbells</v>
      </c>
      <c r="X390" t="str">
        <f t="shared" si="97"/>
        <v>Dumbbells</v>
      </c>
      <c r="Y390" t="str">
        <f t="shared" si="98"/>
        <v>Karnataka 7</v>
      </c>
      <c r="Z390" t="str">
        <f t="shared" si="99"/>
        <v>BrandA7</v>
      </c>
      <c r="AA390" t="str">
        <f t="shared" si="100"/>
        <v>BrandA 7</v>
      </c>
      <c r="AB390" t="str">
        <f t="shared" si="101"/>
        <v>Karnataka Mobile App</v>
      </c>
      <c r="AC390">
        <f t="shared" si="102"/>
        <v>6</v>
      </c>
      <c r="AD390">
        <f t="shared" si="103"/>
        <v>11</v>
      </c>
      <c r="AE390" t="str">
        <f t="shared" si="104"/>
        <v>Karnpka Mobile App</v>
      </c>
      <c r="AF390" t="s">
        <v>128</v>
      </c>
      <c r="AG390" t="s">
        <v>131</v>
      </c>
      <c r="AH390" t="s">
        <v>134</v>
      </c>
    </row>
    <row r="391" spans="1:34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t="s">
        <v>47</v>
      </c>
      <c r="Q391" t="str">
        <f t="shared" si="90"/>
        <v>ery</v>
      </c>
      <c r="R391" t="str">
        <f t="shared" si="91"/>
        <v>-Shi</v>
      </c>
      <c r="S391">
        <f t="shared" si="92"/>
        <v>7</v>
      </c>
      <c r="T391" t="str">
        <f t="shared" si="93"/>
        <v>T-Shirt</v>
      </c>
      <c r="U391">
        <f t="shared" si="94"/>
        <v>7</v>
      </c>
      <c r="V391" t="str">
        <f t="shared" si="95"/>
        <v>T-SHIRT</v>
      </c>
      <c r="W391" t="str">
        <f t="shared" si="96"/>
        <v>t-shirt</v>
      </c>
      <c r="X391" t="str">
        <f t="shared" si="97"/>
        <v>T-Shirt</v>
      </c>
      <c r="Y391" t="str">
        <f t="shared" si="98"/>
        <v>Maharashtra 1</v>
      </c>
      <c r="Z391" t="str">
        <f t="shared" si="99"/>
        <v>BrandB1</v>
      </c>
      <c r="AA391" t="str">
        <f t="shared" si="100"/>
        <v>BrandB 1</v>
      </c>
      <c r="AB391" t="str">
        <f t="shared" si="101"/>
        <v>Maharashtra Website</v>
      </c>
      <c r="AC391">
        <f t="shared" si="102"/>
        <v>2</v>
      </c>
      <c r="AD391">
        <f t="shared" si="103"/>
        <v>1</v>
      </c>
      <c r="AE391" t="str">
        <f t="shared" si="104"/>
        <v>Mahaphtra Website</v>
      </c>
      <c r="AF391" t="s">
        <v>130</v>
      </c>
      <c r="AG391" t="s">
        <v>132</v>
      </c>
      <c r="AH391" t="s">
        <v>132</v>
      </c>
    </row>
    <row r="392" spans="1:34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t="s">
        <v>33</v>
      </c>
      <c r="Q392" t="str">
        <f t="shared" si="90"/>
        <v>ard</v>
      </c>
      <c r="R392" t="str">
        <f t="shared" si="91"/>
        <v>ookw</v>
      </c>
      <c r="S392">
        <f t="shared" si="92"/>
        <v>12</v>
      </c>
      <c r="T392" t="str">
        <f t="shared" si="93"/>
        <v>Cookware Set</v>
      </c>
      <c r="U392">
        <f t="shared" si="94"/>
        <v>12</v>
      </c>
      <c r="V392" t="str">
        <f t="shared" si="95"/>
        <v>COOKWARE SET</v>
      </c>
      <c r="W392" t="str">
        <f t="shared" si="96"/>
        <v>cookware set</v>
      </c>
      <c r="X392" t="str">
        <f t="shared" si="97"/>
        <v>Cookware Set</v>
      </c>
      <c r="Y392" t="str">
        <f t="shared" si="98"/>
        <v>West Bengal 6</v>
      </c>
      <c r="Z392" t="str">
        <f t="shared" si="99"/>
        <v>BrandE6</v>
      </c>
      <c r="AA392" t="str">
        <f t="shared" si="100"/>
        <v>BrandE 6</v>
      </c>
      <c r="AB392" t="str">
        <f t="shared" si="101"/>
        <v>West Bengal Marketplace</v>
      </c>
      <c r="AC392">
        <f t="shared" si="102"/>
        <v>5</v>
      </c>
      <c r="AD392">
        <f t="shared" si="103"/>
        <v>13</v>
      </c>
      <c r="AE392" t="str">
        <f t="shared" si="104"/>
        <v>Westpngal Marketplace</v>
      </c>
      <c r="AF392" t="s">
        <v>127</v>
      </c>
      <c r="AG392" t="s">
        <v>133</v>
      </c>
      <c r="AH392" t="s">
        <v>133</v>
      </c>
    </row>
    <row r="393" spans="1:34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t="s">
        <v>33</v>
      </c>
      <c r="Q393" t="str">
        <f t="shared" si="90"/>
        <v>ard</v>
      </c>
      <c r="R393" t="str">
        <f t="shared" si="91"/>
        <v>erfu</v>
      </c>
      <c r="S393">
        <f t="shared" si="92"/>
        <v>7</v>
      </c>
      <c r="T393" t="str">
        <f t="shared" si="93"/>
        <v>Perfume</v>
      </c>
      <c r="U393">
        <f t="shared" si="94"/>
        <v>7</v>
      </c>
      <c r="V393" t="str">
        <f t="shared" si="95"/>
        <v>PERFUME</v>
      </c>
      <c r="W393" t="str">
        <f t="shared" si="96"/>
        <v>perfume</v>
      </c>
      <c r="X393" t="str">
        <f t="shared" si="97"/>
        <v>Perfume</v>
      </c>
      <c r="Y393" t="str">
        <f t="shared" si="98"/>
        <v>Karnataka 3</v>
      </c>
      <c r="Z393" t="str">
        <f t="shared" si="99"/>
        <v>BrandE3</v>
      </c>
      <c r="AA393" t="str">
        <f t="shared" si="100"/>
        <v>BrandE 3</v>
      </c>
      <c r="AB393" t="str">
        <f t="shared" si="101"/>
        <v>Karnataka Website</v>
      </c>
      <c r="AC393">
        <f t="shared" si="102"/>
        <v>2</v>
      </c>
      <c r="AD393" t="e">
        <f t="shared" si="103"/>
        <v>#VALUE!</v>
      </c>
      <c r="AE393" t="str">
        <f t="shared" si="104"/>
        <v>Karnpka Website</v>
      </c>
      <c r="AF393" t="s">
        <v>128</v>
      </c>
      <c r="AG393" t="s">
        <v>132</v>
      </c>
      <c r="AH393" t="s">
        <v>132</v>
      </c>
    </row>
    <row r="394" spans="1:34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t="s">
        <v>45</v>
      </c>
      <c r="Q394" t="str">
        <f t="shared" si="90"/>
        <v>ery</v>
      </c>
      <c r="R394" t="str">
        <f t="shared" si="91"/>
        <v>erfu</v>
      </c>
      <c r="S394">
        <f t="shared" si="92"/>
        <v>7</v>
      </c>
      <c r="T394" t="str">
        <f t="shared" si="93"/>
        <v>Perfume</v>
      </c>
      <c r="U394">
        <f t="shared" si="94"/>
        <v>7</v>
      </c>
      <c r="V394" t="str">
        <f t="shared" si="95"/>
        <v>PERFUME</v>
      </c>
      <c r="W394" t="str">
        <f t="shared" si="96"/>
        <v>perfume</v>
      </c>
      <c r="X394" t="str">
        <f t="shared" si="97"/>
        <v>Perfume</v>
      </c>
      <c r="Y394" t="str">
        <f t="shared" si="98"/>
        <v>Tamil Nadu 8</v>
      </c>
      <c r="Z394" t="str">
        <f t="shared" si="99"/>
        <v>BrandC8</v>
      </c>
      <c r="AA394" t="str">
        <f t="shared" si="100"/>
        <v>BrandC 8</v>
      </c>
      <c r="AB394" t="str">
        <f t="shared" si="101"/>
        <v>Tamil Nadu Website</v>
      </c>
      <c r="AC394">
        <f t="shared" si="102"/>
        <v>2</v>
      </c>
      <c r="AD394">
        <f t="shared" si="103"/>
        <v>3</v>
      </c>
      <c r="AE394" t="str">
        <f t="shared" si="104"/>
        <v>Tamipadu Website</v>
      </c>
      <c r="AF394" t="s">
        <v>126</v>
      </c>
      <c r="AG394" t="s">
        <v>132</v>
      </c>
      <c r="AH394" t="s">
        <v>132</v>
      </c>
    </row>
    <row r="395" spans="1:34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t="s">
        <v>47</v>
      </c>
      <c r="Q395" t="str">
        <f t="shared" si="90"/>
        <v>ard</v>
      </c>
      <c r="R395" t="str">
        <f t="shared" si="91"/>
        <v>eadp</v>
      </c>
      <c r="S395">
        <f t="shared" si="92"/>
        <v>10</v>
      </c>
      <c r="T395" t="str">
        <f t="shared" si="93"/>
        <v>Headphones</v>
      </c>
      <c r="U395">
        <f t="shared" si="94"/>
        <v>10</v>
      </c>
      <c r="V395" t="str">
        <f t="shared" si="95"/>
        <v>HEADPHONES</v>
      </c>
      <c r="W395" t="str">
        <f t="shared" si="96"/>
        <v>headphones</v>
      </c>
      <c r="X395" t="str">
        <f t="shared" si="97"/>
        <v>Headphones</v>
      </c>
      <c r="Y395" t="str">
        <f t="shared" si="98"/>
        <v>West Bengal 6</v>
      </c>
      <c r="Z395" t="str">
        <f t="shared" si="99"/>
        <v>BrandB6</v>
      </c>
      <c r="AA395" t="str">
        <f t="shared" si="100"/>
        <v>BrandB 6</v>
      </c>
      <c r="AB395" t="str">
        <f t="shared" si="101"/>
        <v>West Bengal Mobile App</v>
      </c>
      <c r="AC395">
        <f t="shared" si="102"/>
        <v>6</v>
      </c>
      <c r="AD395">
        <f t="shared" si="103"/>
        <v>13</v>
      </c>
      <c r="AE395" t="str">
        <f t="shared" si="104"/>
        <v>Westpngal Mobile App</v>
      </c>
      <c r="AF395" t="s">
        <v>127</v>
      </c>
      <c r="AG395" t="s">
        <v>131</v>
      </c>
      <c r="AH395" t="s">
        <v>134</v>
      </c>
    </row>
    <row r="396" spans="1:34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t="s">
        <v>45</v>
      </c>
      <c r="Q396" t="str">
        <f t="shared" si="90"/>
        <v>UPI</v>
      </c>
      <c r="R396" t="str">
        <f t="shared" si="91"/>
        <v xml:space="preserve">oga </v>
      </c>
      <c r="S396">
        <f t="shared" si="92"/>
        <v>8</v>
      </c>
      <c r="T396" t="str">
        <f t="shared" si="93"/>
        <v>Yoga Mat</v>
      </c>
      <c r="U396">
        <f t="shared" si="94"/>
        <v>8</v>
      </c>
      <c r="V396" t="str">
        <f t="shared" si="95"/>
        <v>YOGA MAT</v>
      </c>
      <c r="W396" t="str">
        <f t="shared" si="96"/>
        <v>yoga mat</v>
      </c>
      <c r="X396" t="str">
        <f t="shared" si="97"/>
        <v>Yoga Mat</v>
      </c>
      <c r="Y396" t="str">
        <f t="shared" si="98"/>
        <v>Tamil Nadu 2</v>
      </c>
      <c r="Z396" t="str">
        <f t="shared" si="99"/>
        <v>BrandC2</v>
      </c>
      <c r="AA396" t="str">
        <f t="shared" si="100"/>
        <v>BrandC 2</v>
      </c>
      <c r="AB396" t="str">
        <f t="shared" si="101"/>
        <v>Tamil Nadu Website</v>
      </c>
      <c r="AC396">
        <f t="shared" si="102"/>
        <v>2</v>
      </c>
      <c r="AD396">
        <f t="shared" si="103"/>
        <v>3</v>
      </c>
      <c r="AE396" t="str">
        <f t="shared" si="104"/>
        <v>Tamipadu Website</v>
      </c>
      <c r="AF396" t="s">
        <v>126</v>
      </c>
      <c r="AG396" t="s">
        <v>132</v>
      </c>
      <c r="AH396" t="s">
        <v>132</v>
      </c>
    </row>
    <row r="397" spans="1:34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t="s">
        <v>47</v>
      </c>
      <c r="Q397" t="str">
        <f t="shared" si="90"/>
        <v>UPI</v>
      </c>
      <c r="R397" t="str">
        <f t="shared" si="91"/>
        <v>mart</v>
      </c>
      <c r="S397">
        <f t="shared" si="92"/>
        <v>10</v>
      </c>
      <c r="T397" t="str">
        <f t="shared" si="93"/>
        <v>Smartwatch</v>
      </c>
      <c r="U397">
        <f t="shared" si="94"/>
        <v>10</v>
      </c>
      <c r="V397" t="str">
        <f t="shared" si="95"/>
        <v>SMARTWATCH</v>
      </c>
      <c r="W397" t="str">
        <f t="shared" si="96"/>
        <v>smartwatch</v>
      </c>
      <c r="X397" t="str">
        <f t="shared" si="97"/>
        <v>Smartwatch</v>
      </c>
      <c r="Y397" t="str">
        <f t="shared" si="98"/>
        <v>Delhi 6</v>
      </c>
      <c r="Z397" t="str">
        <f t="shared" si="99"/>
        <v>BrandB6</v>
      </c>
      <c r="AA397" t="str">
        <f t="shared" si="100"/>
        <v>BrandB 6</v>
      </c>
      <c r="AB397" t="str">
        <f t="shared" si="101"/>
        <v>Delhi Marketplace</v>
      </c>
      <c r="AC397">
        <f t="shared" si="102"/>
        <v>5</v>
      </c>
      <c r="AD397">
        <f t="shared" si="103"/>
        <v>7</v>
      </c>
      <c r="AE397" t="str">
        <f t="shared" si="104"/>
        <v>Delhparketplace</v>
      </c>
      <c r="AF397" t="s">
        <v>125</v>
      </c>
      <c r="AG397" t="s">
        <v>133</v>
      </c>
      <c r="AH397" t="s">
        <v>133</v>
      </c>
    </row>
    <row r="398" spans="1:34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t="s">
        <v>45</v>
      </c>
      <c r="Q398" t="str">
        <f t="shared" si="90"/>
        <v>ard</v>
      </c>
      <c r="R398" t="str">
        <f t="shared" si="91"/>
        <v>acke</v>
      </c>
      <c r="S398">
        <f t="shared" si="92"/>
        <v>6</v>
      </c>
      <c r="T398" t="str">
        <f t="shared" si="93"/>
        <v>Jacket</v>
      </c>
      <c r="U398">
        <f t="shared" si="94"/>
        <v>6</v>
      </c>
      <c r="V398" t="str">
        <f t="shared" si="95"/>
        <v>JACKET</v>
      </c>
      <c r="W398" t="str">
        <f t="shared" si="96"/>
        <v>jacket</v>
      </c>
      <c r="X398" t="str">
        <f t="shared" si="97"/>
        <v>Jacket</v>
      </c>
      <c r="Y398" t="str">
        <f t="shared" si="98"/>
        <v>Telangana 7</v>
      </c>
      <c r="Z398" t="str">
        <f t="shared" si="99"/>
        <v>BrandC7</v>
      </c>
      <c r="AA398" t="str">
        <f t="shared" si="100"/>
        <v>BrandC 7</v>
      </c>
      <c r="AB398" t="str">
        <f t="shared" si="101"/>
        <v>Telangana Marketplace</v>
      </c>
      <c r="AC398">
        <f t="shared" si="102"/>
        <v>5</v>
      </c>
      <c r="AD398">
        <f t="shared" si="103"/>
        <v>11</v>
      </c>
      <c r="AE398" t="str">
        <f t="shared" si="104"/>
        <v>Telapna Marketplace</v>
      </c>
      <c r="AF398" t="s">
        <v>129</v>
      </c>
      <c r="AG398" t="s">
        <v>133</v>
      </c>
      <c r="AH398" t="s">
        <v>133</v>
      </c>
    </row>
    <row r="399" spans="1:34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t="s">
        <v>33</v>
      </c>
      <c r="Q399" t="str">
        <f t="shared" si="90"/>
        <v>UPI</v>
      </c>
      <c r="R399" t="str">
        <f t="shared" si="91"/>
        <v>apto</v>
      </c>
      <c r="S399">
        <f t="shared" si="92"/>
        <v>6</v>
      </c>
      <c r="T399" t="str">
        <f t="shared" si="93"/>
        <v>Laptop</v>
      </c>
      <c r="U399">
        <f t="shared" si="94"/>
        <v>6</v>
      </c>
      <c r="V399" t="str">
        <f t="shared" si="95"/>
        <v>LAPTOP</v>
      </c>
      <c r="W399" t="str">
        <f t="shared" si="96"/>
        <v>laptop</v>
      </c>
      <c r="X399" t="str">
        <f t="shared" si="97"/>
        <v>Laptop</v>
      </c>
      <c r="Y399" t="str">
        <f t="shared" si="98"/>
        <v>West Bengal 5</v>
      </c>
      <c r="Z399" t="str">
        <f t="shared" si="99"/>
        <v>BrandE5</v>
      </c>
      <c r="AA399" t="str">
        <f t="shared" si="100"/>
        <v>BrandE 5</v>
      </c>
      <c r="AB399" t="str">
        <f t="shared" si="101"/>
        <v>West Bengal Mobile App</v>
      </c>
      <c r="AC399">
        <f t="shared" si="102"/>
        <v>6</v>
      </c>
      <c r="AD399">
        <f t="shared" si="103"/>
        <v>13</v>
      </c>
      <c r="AE399" t="str">
        <f t="shared" si="104"/>
        <v>Westpngal Mobile App</v>
      </c>
      <c r="AF399" t="s">
        <v>127</v>
      </c>
      <c r="AG399" t="s">
        <v>131</v>
      </c>
      <c r="AH399" t="s">
        <v>134</v>
      </c>
    </row>
    <row r="400" spans="1:34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t="s">
        <v>33</v>
      </c>
      <c r="Q400" t="str">
        <f t="shared" si="90"/>
        <v>ing</v>
      </c>
      <c r="R400" t="str">
        <f t="shared" si="91"/>
        <v>edsh</v>
      </c>
      <c r="S400">
        <f t="shared" si="92"/>
        <v>8</v>
      </c>
      <c r="T400" t="str">
        <f t="shared" si="93"/>
        <v>Bedsheet</v>
      </c>
      <c r="U400">
        <f t="shared" si="94"/>
        <v>8</v>
      </c>
      <c r="V400" t="str">
        <f t="shared" si="95"/>
        <v>BEDSHEET</v>
      </c>
      <c r="W400" t="str">
        <f t="shared" si="96"/>
        <v>bedsheet</v>
      </c>
      <c r="X400" t="str">
        <f t="shared" si="97"/>
        <v>Bedsheet</v>
      </c>
      <c r="Y400" t="str">
        <f t="shared" si="98"/>
        <v>Delhi 3</v>
      </c>
      <c r="Z400" t="str">
        <f t="shared" si="99"/>
        <v>BrandE3</v>
      </c>
      <c r="AA400" t="str">
        <f t="shared" si="100"/>
        <v>BrandE 3</v>
      </c>
      <c r="AB400" t="str">
        <f t="shared" si="101"/>
        <v>Delhi Website</v>
      </c>
      <c r="AC400">
        <f t="shared" si="102"/>
        <v>2</v>
      </c>
      <c r="AD400" t="e">
        <f t="shared" si="103"/>
        <v>#VALUE!</v>
      </c>
      <c r="AE400" t="str">
        <f t="shared" si="104"/>
        <v>Delhpebsite</v>
      </c>
      <c r="AF400" t="s">
        <v>125</v>
      </c>
      <c r="AG400" t="s">
        <v>132</v>
      </c>
      <c r="AH400" t="s">
        <v>132</v>
      </c>
    </row>
    <row r="401" spans="1:34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t="s">
        <v>21</v>
      </c>
      <c r="Q401" t="str">
        <f t="shared" si="90"/>
        <v>ery</v>
      </c>
      <c r="R401" t="str">
        <f t="shared" si="91"/>
        <v>erfu</v>
      </c>
      <c r="S401">
        <f t="shared" si="92"/>
        <v>7</v>
      </c>
      <c r="T401" t="str">
        <f t="shared" si="93"/>
        <v>Perfume</v>
      </c>
      <c r="U401">
        <f t="shared" si="94"/>
        <v>7</v>
      </c>
      <c r="V401" t="str">
        <f t="shared" si="95"/>
        <v>PERFUME</v>
      </c>
      <c r="W401" t="str">
        <f t="shared" si="96"/>
        <v>perfume</v>
      </c>
      <c r="X401" t="str">
        <f t="shared" si="97"/>
        <v>Perfume</v>
      </c>
      <c r="Y401" t="str">
        <f t="shared" si="98"/>
        <v>West Bengal 4</v>
      </c>
      <c r="Z401" t="str">
        <f t="shared" si="99"/>
        <v>BrandA4</v>
      </c>
      <c r="AA401" t="str">
        <f t="shared" si="100"/>
        <v>BrandA 4</v>
      </c>
      <c r="AB401" t="str">
        <f t="shared" si="101"/>
        <v>West Bengal Marketplace</v>
      </c>
      <c r="AC401">
        <f t="shared" si="102"/>
        <v>5</v>
      </c>
      <c r="AD401">
        <f t="shared" si="103"/>
        <v>13</v>
      </c>
      <c r="AE401" t="str">
        <f t="shared" si="104"/>
        <v>Westpngal Marketplace</v>
      </c>
      <c r="AF401" t="s">
        <v>127</v>
      </c>
      <c r="AG401" t="s">
        <v>133</v>
      </c>
      <c r="AH401" t="s">
        <v>133</v>
      </c>
    </row>
    <row r="402" spans="1:34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t="s">
        <v>45</v>
      </c>
      <c r="Q402" t="str">
        <f t="shared" si="90"/>
        <v>ery</v>
      </c>
      <c r="R402" t="str">
        <f t="shared" si="91"/>
        <v>-Shi</v>
      </c>
      <c r="S402">
        <f t="shared" si="92"/>
        <v>7</v>
      </c>
      <c r="T402" t="str">
        <f t="shared" si="93"/>
        <v>T-Shirt</v>
      </c>
      <c r="U402">
        <f t="shared" si="94"/>
        <v>7</v>
      </c>
      <c r="V402" t="str">
        <f t="shared" si="95"/>
        <v>T-SHIRT</v>
      </c>
      <c r="W402" t="str">
        <f t="shared" si="96"/>
        <v>t-shirt</v>
      </c>
      <c r="X402" t="str">
        <f t="shared" si="97"/>
        <v>T-Shirt</v>
      </c>
      <c r="Y402" t="str">
        <f t="shared" si="98"/>
        <v>West Bengal 4</v>
      </c>
      <c r="Z402" t="str">
        <f t="shared" si="99"/>
        <v>BrandC4</v>
      </c>
      <c r="AA402" t="str">
        <f t="shared" si="100"/>
        <v>BrandC 4</v>
      </c>
      <c r="AB402" t="str">
        <f t="shared" si="101"/>
        <v>West Bengal Website</v>
      </c>
      <c r="AC402">
        <f t="shared" si="102"/>
        <v>2</v>
      </c>
      <c r="AD402" t="e">
        <f t="shared" si="103"/>
        <v>#VALUE!</v>
      </c>
      <c r="AE402" t="str">
        <f t="shared" si="104"/>
        <v>Westpngal Website</v>
      </c>
      <c r="AF402" t="s">
        <v>127</v>
      </c>
      <c r="AG402" t="s">
        <v>132</v>
      </c>
      <c r="AH402" t="s">
        <v>132</v>
      </c>
    </row>
    <row r="403" spans="1:34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t="s">
        <v>28</v>
      </c>
      <c r="Q403" t="str">
        <f t="shared" si="90"/>
        <v>ard</v>
      </c>
      <c r="R403" t="str">
        <f t="shared" si="91"/>
        <v>mart</v>
      </c>
      <c r="S403">
        <f t="shared" si="92"/>
        <v>10</v>
      </c>
      <c r="T403" t="str">
        <f t="shared" si="93"/>
        <v>Smartwatch</v>
      </c>
      <c r="U403">
        <f t="shared" si="94"/>
        <v>10</v>
      </c>
      <c r="V403" t="str">
        <f t="shared" si="95"/>
        <v>SMARTWATCH</v>
      </c>
      <c r="W403" t="str">
        <f t="shared" si="96"/>
        <v>smartwatch</v>
      </c>
      <c r="X403" t="str">
        <f t="shared" si="97"/>
        <v>Smartwatch</v>
      </c>
      <c r="Y403" t="str">
        <f t="shared" si="98"/>
        <v>Delhi 6</v>
      </c>
      <c r="Z403" t="str">
        <f t="shared" si="99"/>
        <v>BrandD6</v>
      </c>
      <c r="AA403" t="str">
        <f t="shared" si="100"/>
        <v>BrandD 6</v>
      </c>
      <c r="AB403" t="str">
        <f t="shared" si="101"/>
        <v>Delhi Website</v>
      </c>
      <c r="AC403">
        <f t="shared" si="102"/>
        <v>2</v>
      </c>
      <c r="AD403" t="e">
        <f t="shared" si="103"/>
        <v>#VALUE!</v>
      </c>
      <c r="AE403" t="str">
        <f t="shared" si="104"/>
        <v>Delhpebsite</v>
      </c>
      <c r="AF403" t="s">
        <v>125</v>
      </c>
      <c r="AG403" t="s">
        <v>132</v>
      </c>
      <c r="AH403" t="s">
        <v>132</v>
      </c>
    </row>
    <row r="404" spans="1:34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t="s">
        <v>21</v>
      </c>
      <c r="Q404" t="str">
        <f t="shared" si="90"/>
        <v>UPI</v>
      </c>
      <c r="R404" t="str">
        <f t="shared" si="91"/>
        <v xml:space="preserve">oga </v>
      </c>
      <c r="S404">
        <f t="shared" si="92"/>
        <v>8</v>
      </c>
      <c r="T404" t="str">
        <f t="shared" si="93"/>
        <v>Yoga Mat</v>
      </c>
      <c r="U404">
        <f t="shared" si="94"/>
        <v>8</v>
      </c>
      <c r="V404" t="str">
        <f t="shared" si="95"/>
        <v>YOGA MAT</v>
      </c>
      <c r="W404" t="str">
        <f t="shared" si="96"/>
        <v>yoga mat</v>
      </c>
      <c r="X404" t="str">
        <f t="shared" si="97"/>
        <v>Yoga Mat</v>
      </c>
      <c r="Y404" t="str">
        <f t="shared" si="98"/>
        <v>Karnataka 1</v>
      </c>
      <c r="Z404" t="str">
        <f t="shared" si="99"/>
        <v>BrandA1</v>
      </c>
      <c r="AA404" t="str">
        <f t="shared" si="100"/>
        <v>BrandA 1</v>
      </c>
      <c r="AB404" t="str">
        <f t="shared" si="101"/>
        <v>Karnataka Website</v>
      </c>
      <c r="AC404">
        <f t="shared" si="102"/>
        <v>2</v>
      </c>
      <c r="AD404" t="e">
        <f t="shared" si="103"/>
        <v>#VALUE!</v>
      </c>
      <c r="AE404" t="str">
        <f t="shared" si="104"/>
        <v>Karnpka Website</v>
      </c>
      <c r="AF404" t="s">
        <v>128</v>
      </c>
      <c r="AG404" t="s">
        <v>132</v>
      </c>
      <c r="AH404" t="s">
        <v>132</v>
      </c>
    </row>
    <row r="405" spans="1:34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t="s">
        <v>45</v>
      </c>
      <c r="Q405" t="str">
        <f t="shared" si="90"/>
        <v>ard</v>
      </c>
      <c r="R405" t="str">
        <f t="shared" si="91"/>
        <v>ookw</v>
      </c>
      <c r="S405">
        <f t="shared" si="92"/>
        <v>12</v>
      </c>
      <c r="T405" t="str">
        <f t="shared" si="93"/>
        <v>Cookware Set</v>
      </c>
      <c r="U405">
        <f t="shared" si="94"/>
        <v>12</v>
      </c>
      <c r="V405" t="str">
        <f t="shared" si="95"/>
        <v>COOKWARE SET</v>
      </c>
      <c r="W405" t="str">
        <f t="shared" si="96"/>
        <v>cookware set</v>
      </c>
      <c r="X405" t="str">
        <f t="shared" si="97"/>
        <v>Cookware Set</v>
      </c>
      <c r="Y405" t="str">
        <f t="shared" si="98"/>
        <v>Maharashtra 4</v>
      </c>
      <c r="Z405" t="str">
        <f t="shared" si="99"/>
        <v>BrandC4</v>
      </c>
      <c r="AA405" t="str">
        <f t="shared" si="100"/>
        <v>BrandC 4</v>
      </c>
      <c r="AB405" t="str">
        <f t="shared" si="101"/>
        <v>Maharashtra Mobile App</v>
      </c>
      <c r="AC405">
        <f t="shared" si="102"/>
        <v>6</v>
      </c>
      <c r="AD405">
        <f t="shared" si="103"/>
        <v>1</v>
      </c>
      <c r="AE405" t="str">
        <f t="shared" si="104"/>
        <v>Mahaphtra Mobile App</v>
      </c>
      <c r="AF405" t="s">
        <v>130</v>
      </c>
      <c r="AG405" t="s">
        <v>131</v>
      </c>
      <c r="AH405" t="s">
        <v>134</v>
      </c>
    </row>
    <row r="406" spans="1:34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t="s">
        <v>45</v>
      </c>
      <c r="Q406" t="str">
        <f t="shared" si="90"/>
        <v>ard</v>
      </c>
      <c r="R406" t="str">
        <f t="shared" si="91"/>
        <v>ookw</v>
      </c>
      <c r="S406">
        <f t="shared" si="92"/>
        <v>12</v>
      </c>
      <c r="T406" t="str">
        <f t="shared" si="93"/>
        <v>Cookware Set</v>
      </c>
      <c r="U406">
        <f t="shared" si="94"/>
        <v>12</v>
      </c>
      <c r="V406" t="str">
        <f t="shared" si="95"/>
        <v>COOKWARE SET</v>
      </c>
      <c r="W406" t="str">
        <f t="shared" si="96"/>
        <v>cookware set</v>
      </c>
      <c r="X406" t="str">
        <f t="shared" si="97"/>
        <v>Cookware Set</v>
      </c>
      <c r="Y406" t="str">
        <f t="shared" si="98"/>
        <v>Tamil Nadu 4</v>
      </c>
      <c r="Z406" t="str">
        <f t="shared" si="99"/>
        <v>BrandC4</v>
      </c>
      <c r="AA406" t="str">
        <f t="shared" si="100"/>
        <v>BrandC 4</v>
      </c>
      <c r="AB406" t="str">
        <f t="shared" si="101"/>
        <v>Tamil Nadu Website</v>
      </c>
      <c r="AC406">
        <f t="shared" si="102"/>
        <v>2</v>
      </c>
      <c r="AD406">
        <f t="shared" si="103"/>
        <v>3</v>
      </c>
      <c r="AE406" t="str">
        <f t="shared" si="104"/>
        <v>Tamipadu Website</v>
      </c>
      <c r="AF406" t="s">
        <v>126</v>
      </c>
      <c r="AG406" t="s">
        <v>132</v>
      </c>
      <c r="AH406" t="s">
        <v>132</v>
      </c>
    </row>
    <row r="407" spans="1:34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t="s">
        <v>21</v>
      </c>
      <c r="Q407" t="str">
        <f t="shared" si="90"/>
        <v>UPI</v>
      </c>
      <c r="R407" t="str">
        <f t="shared" si="91"/>
        <v>mart</v>
      </c>
      <c r="S407">
        <f t="shared" si="92"/>
        <v>10</v>
      </c>
      <c r="T407" t="str">
        <f t="shared" si="93"/>
        <v>Smartwatch</v>
      </c>
      <c r="U407">
        <f t="shared" si="94"/>
        <v>10</v>
      </c>
      <c r="V407" t="str">
        <f t="shared" si="95"/>
        <v>SMARTWATCH</v>
      </c>
      <c r="W407" t="str">
        <f t="shared" si="96"/>
        <v>smartwatch</v>
      </c>
      <c r="X407" t="str">
        <f t="shared" si="97"/>
        <v>Smartwatch</v>
      </c>
      <c r="Y407" t="str">
        <f t="shared" si="98"/>
        <v>West Bengal 1</v>
      </c>
      <c r="Z407" t="str">
        <f t="shared" si="99"/>
        <v>BrandA1</v>
      </c>
      <c r="AA407" t="str">
        <f t="shared" si="100"/>
        <v>BrandA 1</v>
      </c>
      <c r="AB407" t="str">
        <f t="shared" si="101"/>
        <v>West Bengal Marketplace</v>
      </c>
      <c r="AC407">
        <f t="shared" si="102"/>
        <v>5</v>
      </c>
      <c r="AD407">
        <f t="shared" si="103"/>
        <v>13</v>
      </c>
      <c r="AE407" t="str">
        <f t="shared" si="104"/>
        <v>Westpngal Marketplace</v>
      </c>
      <c r="AF407" t="s">
        <v>127</v>
      </c>
      <c r="AG407" t="s">
        <v>133</v>
      </c>
      <c r="AH407" t="s">
        <v>133</v>
      </c>
    </row>
    <row r="408" spans="1:34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t="s">
        <v>33</v>
      </c>
      <c r="Q408" t="str">
        <f t="shared" si="90"/>
        <v>ard</v>
      </c>
      <c r="R408" t="str">
        <f t="shared" si="91"/>
        <v>hamp</v>
      </c>
      <c r="S408">
        <f t="shared" si="92"/>
        <v>7</v>
      </c>
      <c r="T408" t="str">
        <f t="shared" si="93"/>
        <v>Shampoo</v>
      </c>
      <c r="U408">
        <f t="shared" si="94"/>
        <v>7</v>
      </c>
      <c r="V408" t="str">
        <f t="shared" si="95"/>
        <v>SHAMPOO</v>
      </c>
      <c r="W408" t="str">
        <f t="shared" si="96"/>
        <v>shampoo</v>
      </c>
      <c r="X408" t="str">
        <f t="shared" si="97"/>
        <v>Shampoo</v>
      </c>
      <c r="Y408" t="str">
        <f t="shared" si="98"/>
        <v>Tamil Nadu 9</v>
      </c>
      <c r="Z408" t="str">
        <f t="shared" si="99"/>
        <v>BrandE9</v>
      </c>
      <c r="AA408" t="str">
        <f t="shared" si="100"/>
        <v>BrandE 9</v>
      </c>
      <c r="AB408" t="str">
        <f t="shared" si="101"/>
        <v>Tamil Nadu Website</v>
      </c>
      <c r="AC408">
        <f t="shared" si="102"/>
        <v>2</v>
      </c>
      <c r="AD408">
        <f t="shared" si="103"/>
        <v>3</v>
      </c>
      <c r="AE408" t="str">
        <f t="shared" si="104"/>
        <v>Tamipadu Website</v>
      </c>
      <c r="AF408" t="s">
        <v>126</v>
      </c>
      <c r="AG408" t="s">
        <v>132</v>
      </c>
      <c r="AH408" t="s">
        <v>132</v>
      </c>
    </row>
    <row r="409" spans="1:34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t="s">
        <v>45</v>
      </c>
      <c r="Q409" t="str">
        <f t="shared" si="90"/>
        <v>ard</v>
      </c>
      <c r="R409" t="str">
        <f t="shared" si="91"/>
        <v>apto</v>
      </c>
      <c r="S409">
        <f t="shared" si="92"/>
        <v>6</v>
      </c>
      <c r="T409" t="str">
        <f t="shared" si="93"/>
        <v>Laptop</v>
      </c>
      <c r="U409">
        <f t="shared" si="94"/>
        <v>6</v>
      </c>
      <c r="V409" t="str">
        <f t="shared" si="95"/>
        <v>LAPTOP</v>
      </c>
      <c r="W409" t="str">
        <f t="shared" si="96"/>
        <v>laptop</v>
      </c>
      <c r="X409" t="str">
        <f t="shared" si="97"/>
        <v>Laptop</v>
      </c>
      <c r="Y409" t="str">
        <f t="shared" si="98"/>
        <v>Telangana 4</v>
      </c>
      <c r="Z409" t="str">
        <f t="shared" si="99"/>
        <v>BrandC4</v>
      </c>
      <c r="AA409" t="str">
        <f t="shared" si="100"/>
        <v>BrandC 4</v>
      </c>
      <c r="AB409" t="str">
        <f t="shared" si="101"/>
        <v>Telangana Marketplace</v>
      </c>
      <c r="AC409">
        <f t="shared" si="102"/>
        <v>5</v>
      </c>
      <c r="AD409">
        <f t="shared" si="103"/>
        <v>11</v>
      </c>
      <c r="AE409" t="str">
        <f t="shared" si="104"/>
        <v>Telapna Marketplace</v>
      </c>
      <c r="AF409" t="s">
        <v>129</v>
      </c>
      <c r="AG409" t="s">
        <v>133</v>
      </c>
      <c r="AH409" t="s">
        <v>133</v>
      </c>
    </row>
    <row r="410" spans="1:34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t="s">
        <v>33</v>
      </c>
      <c r="Q410" t="str">
        <f t="shared" si="90"/>
        <v>ard</v>
      </c>
      <c r="R410" t="str">
        <f t="shared" si="91"/>
        <v>acke</v>
      </c>
      <c r="S410">
        <f t="shared" si="92"/>
        <v>6</v>
      </c>
      <c r="T410" t="str">
        <f t="shared" si="93"/>
        <v>Jacket</v>
      </c>
      <c r="U410">
        <f t="shared" si="94"/>
        <v>6</v>
      </c>
      <c r="V410" t="str">
        <f t="shared" si="95"/>
        <v>JACKET</v>
      </c>
      <c r="W410" t="str">
        <f t="shared" si="96"/>
        <v>jacket</v>
      </c>
      <c r="X410" t="str">
        <f t="shared" si="97"/>
        <v>Jacket</v>
      </c>
      <c r="Y410" t="str">
        <f t="shared" si="98"/>
        <v>Delhi 7</v>
      </c>
      <c r="Z410" t="str">
        <f t="shared" si="99"/>
        <v>BrandE7</v>
      </c>
      <c r="AA410" t="str">
        <f t="shared" si="100"/>
        <v>BrandE 7</v>
      </c>
      <c r="AB410" t="str">
        <f t="shared" si="101"/>
        <v>Delhi Website</v>
      </c>
      <c r="AC410">
        <f t="shared" si="102"/>
        <v>2</v>
      </c>
      <c r="AD410" t="e">
        <f t="shared" si="103"/>
        <v>#VALUE!</v>
      </c>
      <c r="AE410" t="str">
        <f t="shared" si="104"/>
        <v>Delhpebsite</v>
      </c>
      <c r="AF410" t="s">
        <v>125</v>
      </c>
      <c r="AG410" t="s">
        <v>132</v>
      </c>
      <c r="AH410" t="s">
        <v>132</v>
      </c>
    </row>
    <row r="411" spans="1:34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t="s">
        <v>21</v>
      </c>
      <c r="Q411" t="str">
        <f t="shared" si="90"/>
        <v>UPI</v>
      </c>
      <c r="R411" t="str">
        <f t="shared" si="91"/>
        <v>eadp</v>
      </c>
      <c r="S411">
        <f t="shared" si="92"/>
        <v>10</v>
      </c>
      <c r="T411" t="str">
        <f t="shared" si="93"/>
        <v>Headphones</v>
      </c>
      <c r="U411">
        <f t="shared" si="94"/>
        <v>10</v>
      </c>
      <c r="V411" t="str">
        <f t="shared" si="95"/>
        <v>HEADPHONES</v>
      </c>
      <c r="W411" t="str">
        <f t="shared" si="96"/>
        <v>headphones</v>
      </c>
      <c r="X411" t="str">
        <f t="shared" si="97"/>
        <v>Headphones</v>
      </c>
      <c r="Y411" t="str">
        <f t="shared" si="98"/>
        <v>Tamil Nadu 3</v>
      </c>
      <c r="Z411" t="str">
        <f t="shared" si="99"/>
        <v>BrandA3</v>
      </c>
      <c r="AA411" t="str">
        <f t="shared" si="100"/>
        <v>BrandA 3</v>
      </c>
      <c r="AB411" t="str">
        <f t="shared" si="101"/>
        <v>Tamil Nadu Marketplace</v>
      </c>
      <c r="AC411">
        <f t="shared" si="102"/>
        <v>5</v>
      </c>
      <c r="AD411">
        <f t="shared" si="103"/>
        <v>3</v>
      </c>
      <c r="AE411" t="str">
        <f t="shared" si="104"/>
        <v>Tamipadu Marketplace</v>
      </c>
      <c r="AF411" t="s">
        <v>126</v>
      </c>
      <c r="AG411" t="s">
        <v>133</v>
      </c>
      <c r="AH411" t="s">
        <v>133</v>
      </c>
    </row>
    <row r="412" spans="1:34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t="s">
        <v>33</v>
      </c>
      <c r="Q412" t="str">
        <f t="shared" si="90"/>
        <v>ard</v>
      </c>
      <c r="R412" t="str">
        <f t="shared" si="91"/>
        <v>edsh</v>
      </c>
      <c r="S412">
        <f t="shared" si="92"/>
        <v>8</v>
      </c>
      <c r="T412" t="str">
        <f t="shared" si="93"/>
        <v>Bedsheet</v>
      </c>
      <c r="U412">
        <f t="shared" si="94"/>
        <v>8</v>
      </c>
      <c r="V412" t="str">
        <f t="shared" si="95"/>
        <v>BEDSHEET</v>
      </c>
      <c r="W412" t="str">
        <f t="shared" si="96"/>
        <v>bedsheet</v>
      </c>
      <c r="X412" t="str">
        <f t="shared" si="97"/>
        <v>Bedsheet</v>
      </c>
      <c r="Y412" t="str">
        <f t="shared" si="98"/>
        <v>Delhi 3</v>
      </c>
      <c r="Z412" t="str">
        <f t="shared" si="99"/>
        <v>BrandE3</v>
      </c>
      <c r="AA412" t="str">
        <f t="shared" si="100"/>
        <v>BrandE 3</v>
      </c>
      <c r="AB412" t="str">
        <f t="shared" si="101"/>
        <v>Delhi Marketplace</v>
      </c>
      <c r="AC412">
        <f t="shared" si="102"/>
        <v>5</v>
      </c>
      <c r="AD412">
        <f t="shared" si="103"/>
        <v>7</v>
      </c>
      <c r="AE412" t="str">
        <f t="shared" si="104"/>
        <v>Delhparketplace</v>
      </c>
      <c r="AF412" t="s">
        <v>125</v>
      </c>
      <c r="AG412" t="s">
        <v>133</v>
      </c>
      <c r="AH412" t="s">
        <v>133</v>
      </c>
    </row>
    <row r="413" spans="1:34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t="s">
        <v>47</v>
      </c>
      <c r="Q413" t="str">
        <f t="shared" si="90"/>
        <v>ard</v>
      </c>
      <c r="R413" t="str">
        <f t="shared" si="91"/>
        <v>apto</v>
      </c>
      <c r="S413">
        <f t="shared" si="92"/>
        <v>6</v>
      </c>
      <c r="T413" t="str">
        <f t="shared" si="93"/>
        <v>Laptop</v>
      </c>
      <c r="U413">
        <f t="shared" si="94"/>
        <v>6</v>
      </c>
      <c r="V413" t="str">
        <f t="shared" si="95"/>
        <v>LAPTOP</v>
      </c>
      <c r="W413" t="str">
        <f t="shared" si="96"/>
        <v>laptop</v>
      </c>
      <c r="X413" t="str">
        <f t="shared" si="97"/>
        <v>Laptop</v>
      </c>
      <c r="Y413" t="str">
        <f t="shared" si="98"/>
        <v>Tamil Nadu 8</v>
      </c>
      <c r="Z413" t="str">
        <f t="shared" si="99"/>
        <v>BrandB8</v>
      </c>
      <c r="AA413" t="str">
        <f t="shared" si="100"/>
        <v>BrandB 8</v>
      </c>
      <c r="AB413" t="str">
        <f t="shared" si="101"/>
        <v>Tamil Nadu Website</v>
      </c>
      <c r="AC413">
        <f t="shared" si="102"/>
        <v>2</v>
      </c>
      <c r="AD413">
        <f t="shared" si="103"/>
        <v>3</v>
      </c>
      <c r="AE413" t="str">
        <f t="shared" si="104"/>
        <v>Tamipadu Website</v>
      </c>
      <c r="AF413" t="s">
        <v>126</v>
      </c>
      <c r="AG413" t="s">
        <v>132</v>
      </c>
      <c r="AH413" t="s">
        <v>132</v>
      </c>
    </row>
    <row r="414" spans="1:34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t="s">
        <v>28</v>
      </c>
      <c r="Q414" t="str">
        <f t="shared" si="90"/>
        <v>ard</v>
      </c>
      <c r="R414" t="str">
        <f t="shared" si="91"/>
        <v>hamp</v>
      </c>
      <c r="S414">
        <f t="shared" si="92"/>
        <v>7</v>
      </c>
      <c r="T414" t="str">
        <f t="shared" si="93"/>
        <v>Shampoo</v>
      </c>
      <c r="U414">
        <f t="shared" si="94"/>
        <v>7</v>
      </c>
      <c r="V414" t="str">
        <f t="shared" si="95"/>
        <v>SHAMPOO</v>
      </c>
      <c r="W414" t="str">
        <f t="shared" si="96"/>
        <v>shampoo</v>
      </c>
      <c r="X414" t="str">
        <f t="shared" si="97"/>
        <v>Shampoo</v>
      </c>
      <c r="Y414" t="str">
        <f t="shared" si="98"/>
        <v>Maharashtra 8</v>
      </c>
      <c r="Z414" t="str">
        <f t="shared" si="99"/>
        <v>BrandD8</v>
      </c>
      <c r="AA414" t="str">
        <f t="shared" si="100"/>
        <v>BrandD 8</v>
      </c>
      <c r="AB414" t="str">
        <f t="shared" si="101"/>
        <v>Maharashtra Website</v>
      </c>
      <c r="AC414">
        <f t="shared" si="102"/>
        <v>2</v>
      </c>
      <c r="AD414">
        <f t="shared" si="103"/>
        <v>1</v>
      </c>
      <c r="AE414" t="str">
        <f t="shared" si="104"/>
        <v>Mahaphtra Website</v>
      </c>
      <c r="AF414" t="s">
        <v>130</v>
      </c>
      <c r="AG414" t="s">
        <v>132</v>
      </c>
      <c r="AH414" t="s">
        <v>132</v>
      </c>
    </row>
    <row r="415" spans="1:34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t="s">
        <v>45</v>
      </c>
      <c r="Q415" t="str">
        <f t="shared" si="90"/>
        <v>ing</v>
      </c>
      <c r="R415" t="str">
        <f t="shared" si="91"/>
        <v xml:space="preserve">oga </v>
      </c>
      <c r="S415">
        <f t="shared" si="92"/>
        <v>8</v>
      </c>
      <c r="T415" t="str">
        <f t="shared" si="93"/>
        <v>Yoga Mat</v>
      </c>
      <c r="U415">
        <f t="shared" si="94"/>
        <v>8</v>
      </c>
      <c r="V415" t="str">
        <f t="shared" si="95"/>
        <v>YOGA MAT</v>
      </c>
      <c r="W415" t="str">
        <f t="shared" si="96"/>
        <v>yoga mat</v>
      </c>
      <c r="X415" t="str">
        <f t="shared" si="97"/>
        <v>Yoga Mat</v>
      </c>
      <c r="Y415" t="str">
        <f t="shared" si="98"/>
        <v>Maharashtra 1</v>
      </c>
      <c r="Z415" t="str">
        <f t="shared" si="99"/>
        <v>BrandC1</v>
      </c>
      <c r="AA415" t="str">
        <f t="shared" si="100"/>
        <v>BrandC 1</v>
      </c>
      <c r="AB415" t="str">
        <f t="shared" si="101"/>
        <v>Maharashtra Marketplace</v>
      </c>
      <c r="AC415">
        <f t="shared" si="102"/>
        <v>5</v>
      </c>
      <c r="AD415">
        <f t="shared" si="103"/>
        <v>1</v>
      </c>
      <c r="AE415" t="str">
        <f t="shared" si="104"/>
        <v>Mahaphtra Marketplace</v>
      </c>
      <c r="AF415" t="s">
        <v>130</v>
      </c>
      <c r="AG415" t="s">
        <v>133</v>
      </c>
      <c r="AH415" t="s">
        <v>133</v>
      </c>
    </row>
    <row r="416" spans="1:34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t="s">
        <v>28</v>
      </c>
      <c r="Q416" t="str">
        <f t="shared" si="90"/>
        <v>ing</v>
      </c>
      <c r="R416" t="str">
        <f t="shared" si="91"/>
        <v>iogr</v>
      </c>
      <c r="S416">
        <f t="shared" si="92"/>
        <v>9</v>
      </c>
      <c r="T416" t="str">
        <f t="shared" si="93"/>
        <v>Biography</v>
      </c>
      <c r="U416">
        <f t="shared" si="94"/>
        <v>9</v>
      </c>
      <c r="V416" t="str">
        <f t="shared" si="95"/>
        <v>BIOGRAPHY</v>
      </c>
      <c r="W416" t="str">
        <f t="shared" si="96"/>
        <v>biography</v>
      </c>
      <c r="X416" t="str">
        <f t="shared" si="97"/>
        <v>Biography</v>
      </c>
      <c r="Y416" t="str">
        <f t="shared" si="98"/>
        <v>Maharashtra 2</v>
      </c>
      <c r="Z416" t="str">
        <f t="shared" si="99"/>
        <v>BrandD2</v>
      </c>
      <c r="AA416" t="str">
        <f t="shared" si="100"/>
        <v>BrandD 2</v>
      </c>
      <c r="AB416" t="str">
        <f t="shared" si="101"/>
        <v>Maharashtra Mobile App</v>
      </c>
      <c r="AC416">
        <f t="shared" si="102"/>
        <v>6</v>
      </c>
      <c r="AD416">
        <f t="shared" si="103"/>
        <v>1</v>
      </c>
      <c r="AE416" t="str">
        <f t="shared" si="104"/>
        <v>Mahaphtra Mobile App</v>
      </c>
      <c r="AF416" t="s">
        <v>130</v>
      </c>
      <c r="AG416" t="s">
        <v>131</v>
      </c>
      <c r="AH416" t="s">
        <v>134</v>
      </c>
    </row>
    <row r="417" spans="1:34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t="s">
        <v>33</v>
      </c>
      <c r="Q417" t="str">
        <f t="shared" si="90"/>
        <v>ard</v>
      </c>
      <c r="R417" t="str">
        <f t="shared" si="91"/>
        <v>apto</v>
      </c>
      <c r="S417">
        <f t="shared" si="92"/>
        <v>6</v>
      </c>
      <c r="T417" t="str">
        <f t="shared" si="93"/>
        <v>Laptop</v>
      </c>
      <c r="U417">
        <f t="shared" si="94"/>
        <v>6</v>
      </c>
      <c r="V417" t="str">
        <f t="shared" si="95"/>
        <v>LAPTOP</v>
      </c>
      <c r="W417" t="str">
        <f t="shared" si="96"/>
        <v>laptop</v>
      </c>
      <c r="X417" t="str">
        <f t="shared" si="97"/>
        <v>Laptop</v>
      </c>
      <c r="Y417" t="str">
        <f t="shared" si="98"/>
        <v>Maharashtra 8</v>
      </c>
      <c r="Z417" t="str">
        <f t="shared" si="99"/>
        <v>BrandE8</v>
      </c>
      <c r="AA417" t="str">
        <f t="shared" si="100"/>
        <v>BrandE 8</v>
      </c>
      <c r="AB417" t="str">
        <f t="shared" si="101"/>
        <v>Maharashtra Website</v>
      </c>
      <c r="AC417">
        <f t="shared" si="102"/>
        <v>2</v>
      </c>
      <c r="AD417">
        <f t="shared" si="103"/>
        <v>1</v>
      </c>
      <c r="AE417" t="str">
        <f t="shared" si="104"/>
        <v>Mahaphtra Website</v>
      </c>
      <c r="AF417" t="s">
        <v>130</v>
      </c>
      <c r="AG417" t="s">
        <v>132</v>
      </c>
      <c r="AH417" t="s">
        <v>132</v>
      </c>
    </row>
    <row r="418" spans="1:34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t="s">
        <v>45</v>
      </c>
      <c r="Q418" t="str">
        <f t="shared" si="90"/>
        <v>UPI</v>
      </c>
      <c r="R418" t="str">
        <f t="shared" si="91"/>
        <v xml:space="preserve">ace </v>
      </c>
      <c r="S418">
        <f t="shared" si="92"/>
        <v>10</v>
      </c>
      <c r="T418" t="str">
        <f t="shared" si="93"/>
        <v>Face Cream</v>
      </c>
      <c r="U418">
        <f t="shared" si="94"/>
        <v>10</v>
      </c>
      <c r="V418" t="str">
        <f t="shared" si="95"/>
        <v>FACE CREAM</v>
      </c>
      <c r="W418" t="str">
        <f t="shared" si="96"/>
        <v>face cream</v>
      </c>
      <c r="X418" t="str">
        <f t="shared" si="97"/>
        <v>Face Cream</v>
      </c>
      <c r="Y418" t="str">
        <f t="shared" si="98"/>
        <v>Maharashtra 1</v>
      </c>
      <c r="Z418" t="str">
        <f t="shared" si="99"/>
        <v>BrandC1</v>
      </c>
      <c r="AA418" t="str">
        <f t="shared" si="100"/>
        <v>BrandC 1</v>
      </c>
      <c r="AB418" t="str">
        <f t="shared" si="101"/>
        <v>Maharashtra Mobile App</v>
      </c>
      <c r="AC418">
        <f t="shared" si="102"/>
        <v>6</v>
      </c>
      <c r="AD418">
        <f t="shared" si="103"/>
        <v>1</v>
      </c>
      <c r="AE418" t="str">
        <f t="shared" si="104"/>
        <v>Mahaphtra Mobile App</v>
      </c>
      <c r="AF418" t="s">
        <v>130</v>
      </c>
      <c r="AG418" t="s">
        <v>131</v>
      </c>
      <c r="AH418" t="s">
        <v>134</v>
      </c>
    </row>
    <row r="419" spans="1:34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t="s">
        <v>33</v>
      </c>
      <c r="Q419" t="str">
        <f t="shared" si="90"/>
        <v>ery</v>
      </c>
      <c r="R419" t="str">
        <f t="shared" si="91"/>
        <v>ipst</v>
      </c>
      <c r="S419">
        <f t="shared" si="92"/>
        <v>8</v>
      </c>
      <c r="T419" t="str">
        <f t="shared" si="93"/>
        <v>Lipstick</v>
      </c>
      <c r="U419">
        <f t="shared" si="94"/>
        <v>8</v>
      </c>
      <c r="V419" t="str">
        <f t="shared" si="95"/>
        <v>LIPSTICK</v>
      </c>
      <c r="W419" t="str">
        <f t="shared" si="96"/>
        <v>lipstick</v>
      </c>
      <c r="X419" t="str">
        <f t="shared" si="97"/>
        <v>Lipstick</v>
      </c>
      <c r="Y419" t="str">
        <f t="shared" si="98"/>
        <v>Maharashtra 8</v>
      </c>
      <c r="Z419" t="str">
        <f t="shared" si="99"/>
        <v>BrandE8</v>
      </c>
      <c r="AA419" t="str">
        <f t="shared" si="100"/>
        <v>BrandE 8</v>
      </c>
      <c r="AB419" t="str">
        <f t="shared" si="101"/>
        <v>Maharashtra Website</v>
      </c>
      <c r="AC419">
        <f t="shared" si="102"/>
        <v>2</v>
      </c>
      <c r="AD419">
        <f t="shared" si="103"/>
        <v>1</v>
      </c>
      <c r="AE419" t="str">
        <f t="shared" si="104"/>
        <v>Mahaphtra Website</v>
      </c>
      <c r="AF419" t="s">
        <v>130</v>
      </c>
      <c r="AG419" t="s">
        <v>132</v>
      </c>
      <c r="AH419" t="s">
        <v>132</v>
      </c>
    </row>
    <row r="420" spans="1:34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t="s">
        <v>47</v>
      </c>
      <c r="Q420" t="str">
        <f t="shared" si="90"/>
        <v>ery</v>
      </c>
      <c r="R420" t="str">
        <f t="shared" si="91"/>
        <v>ootb</v>
      </c>
      <c r="S420">
        <f t="shared" si="92"/>
        <v>8</v>
      </c>
      <c r="T420" t="str">
        <f t="shared" si="93"/>
        <v>Football</v>
      </c>
      <c r="U420">
        <f t="shared" si="94"/>
        <v>8</v>
      </c>
      <c r="V420" t="str">
        <f t="shared" si="95"/>
        <v>FOOTBALL</v>
      </c>
      <c r="W420" t="str">
        <f t="shared" si="96"/>
        <v>football</v>
      </c>
      <c r="X420" t="str">
        <f t="shared" si="97"/>
        <v>Football</v>
      </c>
      <c r="Y420" t="str">
        <f t="shared" si="98"/>
        <v>Delhi 8</v>
      </c>
      <c r="Z420" t="str">
        <f t="shared" si="99"/>
        <v>BrandB8</v>
      </c>
      <c r="AA420" t="str">
        <f t="shared" si="100"/>
        <v>BrandB 8</v>
      </c>
      <c r="AB420" t="str">
        <f t="shared" si="101"/>
        <v>Delhi Website</v>
      </c>
      <c r="AC420">
        <f t="shared" si="102"/>
        <v>2</v>
      </c>
      <c r="AD420" t="e">
        <f t="shared" si="103"/>
        <v>#VALUE!</v>
      </c>
      <c r="AE420" t="str">
        <f t="shared" si="104"/>
        <v>Delhpebsite</v>
      </c>
      <c r="AF420" t="s">
        <v>125</v>
      </c>
      <c r="AG420" t="s">
        <v>132</v>
      </c>
      <c r="AH420" t="s">
        <v>132</v>
      </c>
    </row>
    <row r="421" spans="1:34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t="s">
        <v>21</v>
      </c>
      <c r="Q421" t="str">
        <f t="shared" si="90"/>
        <v>ard</v>
      </c>
      <c r="R421" t="str">
        <f t="shared" si="91"/>
        <v>ookw</v>
      </c>
      <c r="S421">
        <f t="shared" si="92"/>
        <v>12</v>
      </c>
      <c r="T421" t="str">
        <f t="shared" si="93"/>
        <v>Cookware Set</v>
      </c>
      <c r="U421">
        <f t="shared" si="94"/>
        <v>12</v>
      </c>
      <c r="V421" t="str">
        <f t="shared" si="95"/>
        <v>COOKWARE SET</v>
      </c>
      <c r="W421" t="str">
        <f t="shared" si="96"/>
        <v>cookware set</v>
      </c>
      <c r="X421" t="str">
        <f t="shared" si="97"/>
        <v>Cookware Set</v>
      </c>
      <c r="Y421" t="str">
        <f t="shared" si="98"/>
        <v>West Bengal 2</v>
      </c>
      <c r="Z421" t="str">
        <f t="shared" si="99"/>
        <v>BrandA2</v>
      </c>
      <c r="AA421" t="str">
        <f t="shared" si="100"/>
        <v>BrandA 2</v>
      </c>
      <c r="AB421" t="str">
        <f t="shared" si="101"/>
        <v>West Bengal Website</v>
      </c>
      <c r="AC421">
        <f t="shared" si="102"/>
        <v>2</v>
      </c>
      <c r="AD421" t="e">
        <f t="shared" si="103"/>
        <v>#VALUE!</v>
      </c>
      <c r="AE421" t="str">
        <f t="shared" si="104"/>
        <v>Westpngal Website</v>
      </c>
      <c r="AF421" t="s">
        <v>127</v>
      </c>
      <c r="AG421" t="s">
        <v>132</v>
      </c>
      <c r="AH421" t="s">
        <v>132</v>
      </c>
    </row>
    <row r="422" spans="1:34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t="s">
        <v>45</v>
      </c>
      <c r="Q422" t="str">
        <f t="shared" si="90"/>
        <v>ard</v>
      </c>
      <c r="R422" t="str">
        <f t="shared" si="91"/>
        <v xml:space="preserve">ace </v>
      </c>
      <c r="S422">
        <f t="shared" si="92"/>
        <v>10</v>
      </c>
      <c r="T422" t="str">
        <f t="shared" si="93"/>
        <v>Face Cream</v>
      </c>
      <c r="U422">
        <f t="shared" si="94"/>
        <v>10</v>
      </c>
      <c r="V422" t="str">
        <f t="shared" si="95"/>
        <v>FACE CREAM</v>
      </c>
      <c r="W422" t="str">
        <f t="shared" si="96"/>
        <v>face cream</v>
      </c>
      <c r="X422" t="str">
        <f t="shared" si="97"/>
        <v>Face Cream</v>
      </c>
      <c r="Y422" t="str">
        <f t="shared" si="98"/>
        <v>Tamil Nadu 4</v>
      </c>
      <c r="Z422" t="str">
        <f t="shared" si="99"/>
        <v>BrandC4</v>
      </c>
      <c r="AA422" t="str">
        <f t="shared" si="100"/>
        <v>BrandC 4</v>
      </c>
      <c r="AB422" t="str">
        <f t="shared" si="101"/>
        <v>Tamil Nadu Website</v>
      </c>
      <c r="AC422">
        <f t="shared" si="102"/>
        <v>2</v>
      </c>
      <c r="AD422">
        <f t="shared" si="103"/>
        <v>3</v>
      </c>
      <c r="AE422" t="str">
        <f t="shared" si="104"/>
        <v>Tamipadu Website</v>
      </c>
      <c r="AF422" t="s">
        <v>126</v>
      </c>
      <c r="AG422" t="s">
        <v>132</v>
      </c>
      <c r="AH422" t="s">
        <v>132</v>
      </c>
    </row>
    <row r="423" spans="1:34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t="s">
        <v>47</v>
      </c>
      <c r="Q423" t="str">
        <f t="shared" si="90"/>
        <v>ard</v>
      </c>
      <c r="R423" t="str">
        <f t="shared" si="91"/>
        <v xml:space="preserve">ace </v>
      </c>
      <c r="S423">
        <f t="shared" si="92"/>
        <v>10</v>
      </c>
      <c r="T423" t="str">
        <f t="shared" si="93"/>
        <v>Face Cream</v>
      </c>
      <c r="U423">
        <f t="shared" si="94"/>
        <v>10</v>
      </c>
      <c r="V423" t="str">
        <f t="shared" si="95"/>
        <v>FACE CREAM</v>
      </c>
      <c r="W423" t="str">
        <f t="shared" si="96"/>
        <v>face cream</v>
      </c>
      <c r="X423" t="str">
        <f t="shared" si="97"/>
        <v>Face Cream</v>
      </c>
      <c r="Y423" t="str">
        <f t="shared" si="98"/>
        <v>Maharashtra 6</v>
      </c>
      <c r="Z423" t="str">
        <f t="shared" si="99"/>
        <v>BrandB6</v>
      </c>
      <c r="AA423" t="str">
        <f t="shared" si="100"/>
        <v>BrandB 6</v>
      </c>
      <c r="AB423" t="str">
        <f t="shared" si="101"/>
        <v>Maharashtra Mobile App</v>
      </c>
      <c r="AC423">
        <f t="shared" si="102"/>
        <v>6</v>
      </c>
      <c r="AD423">
        <f t="shared" si="103"/>
        <v>1</v>
      </c>
      <c r="AE423" t="str">
        <f t="shared" si="104"/>
        <v>Mahaphtra Mobile App</v>
      </c>
      <c r="AF423" t="s">
        <v>130</v>
      </c>
      <c r="AG423" t="s">
        <v>131</v>
      </c>
      <c r="AH423" t="s">
        <v>134</v>
      </c>
    </row>
    <row r="424" spans="1:34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t="s">
        <v>47</v>
      </c>
      <c r="Q424" t="str">
        <f t="shared" si="90"/>
        <v>UPI</v>
      </c>
      <c r="R424" t="str">
        <f t="shared" si="91"/>
        <v>erfu</v>
      </c>
      <c r="S424">
        <f t="shared" si="92"/>
        <v>7</v>
      </c>
      <c r="T424" t="str">
        <f t="shared" si="93"/>
        <v>Perfume</v>
      </c>
      <c r="U424">
        <f t="shared" si="94"/>
        <v>7</v>
      </c>
      <c r="V424" t="str">
        <f t="shared" si="95"/>
        <v>PERFUME</v>
      </c>
      <c r="W424" t="str">
        <f t="shared" si="96"/>
        <v>perfume</v>
      </c>
      <c r="X424" t="str">
        <f t="shared" si="97"/>
        <v>Perfume</v>
      </c>
      <c r="Y424" t="str">
        <f t="shared" si="98"/>
        <v>Delhi 9</v>
      </c>
      <c r="Z424" t="str">
        <f t="shared" si="99"/>
        <v>BrandB9</v>
      </c>
      <c r="AA424" t="str">
        <f t="shared" si="100"/>
        <v>BrandB 9</v>
      </c>
      <c r="AB424" t="str">
        <f t="shared" si="101"/>
        <v>Delhi Website</v>
      </c>
      <c r="AC424">
        <f t="shared" si="102"/>
        <v>2</v>
      </c>
      <c r="AD424" t="e">
        <f t="shared" si="103"/>
        <v>#VALUE!</v>
      </c>
      <c r="AE424" t="str">
        <f t="shared" si="104"/>
        <v>Delhpebsite</v>
      </c>
      <c r="AF424" t="s">
        <v>125</v>
      </c>
      <c r="AG424" t="s">
        <v>132</v>
      </c>
      <c r="AH424" t="s">
        <v>132</v>
      </c>
    </row>
    <row r="425" spans="1:34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t="s">
        <v>45</v>
      </c>
      <c r="Q425" t="str">
        <f t="shared" si="90"/>
        <v>ing</v>
      </c>
      <c r="R425" t="str">
        <f t="shared" si="91"/>
        <v>ipst</v>
      </c>
      <c r="S425">
        <f t="shared" si="92"/>
        <v>8</v>
      </c>
      <c r="T425" t="str">
        <f t="shared" si="93"/>
        <v>Lipstick</v>
      </c>
      <c r="U425">
        <f t="shared" si="94"/>
        <v>8</v>
      </c>
      <c r="V425" t="str">
        <f t="shared" si="95"/>
        <v>LIPSTICK</v>
      </c>
      <c r="W425" t="str">
        <f t="shared" si="96"/>
        <v>lipstick</v>
      </c>
      <c r="X425" t="str">
        <f t="shared" si="97"/>
        <v>Lipstick</v>
      </c>
      <c r="Y425" t="str">
        <f t="shared" si="98"/>
        <v>Delhi 8</v>
      </c>
      <c r="Z425" t="str">
        <f t="shared" si="99"/>
        <v>BrandC8</v>
      </c>
      <c r="AA425" t="str">
        <f t="shared" si="100"/>
        <v>BrandC 8</v>
      </c>
      <c r="AB425" t="str">
        <f t="shared" si="101"/>
        <v>Delhi Marketplace</v>
      </c>
      <c r="AC425">
        <f t="shared" si="102"/>
        <v>5</v>
      </c>
      <c r="AD425">
        <f t="shared" si="103"/>
        <v>7</v>
      </c>
      <c r="AE425" t="str">
        <f t="shared" si="104"/>
        <v>Delhparketplace</v>
      </c>
      <c r="AF425" t="s">
        <v>125</v>
      </c>
      <c r="AG425" t="s">
        <v>133</v>
      </c>
      <c r="AH425" t="s">
        <v>133</v>
      </c>
    </row>
    <row r="426" spans="1:34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t="s">
        <v>33</v>
      </c>
      <c r="Q426" t="str">
        <f t="shared" si="90"/>
        <v>ard</v>
      </c>
      <c r="R426" t="str">
        <f t="shared" si="91"/>
        <v>acke</v>
      </c>
      <c r="S426">
        <f t="shared" si="92"/>
        <v>6</v>
      </c>
      <c r="T426" t="str">
        <f t="shared" si="93"/>
        <v>Jacket</v>
      </c>
      <c r="U426">
        <f t="shared" si="94"/>
        <v>6</v>
      </c>
      <c r="V426" t="str">
        <f t="shared" si="95"/>
        <v>JACKET</v>
      </c>
      <c r="W426" t="str">
        <f t="shared" si="96"/>
        <v>jacket</v>
      </c>
      <c r="X426" t="str">
        <f t="shared" si="97"/>
        <v>Jacket</v>
      </c>
      <c r="Y426" t="str">
        <f t="shared" si="98"/>
        <v>Delhi 8</v>
      </c>
      <c r="Z426" t="str">
        <f t="shared" si="99"/>
        <v>BrandE8</v>
      </c>
      <c r="AA426" t="str">
        <f t="shared" si="100"/>
        <v>BrandE 8</v>
      </c>
      <c r="AB426" t="str">
        <f t="shared" si="101"/>
        <v>Delhi Marketplace</v>
      </c>
      <c r="AC426">
        <f t="shared" si="102"/>
        <v>5</v>
      </c>
      <c r="AD426">
        <f t="shared" si="103"/>
        <v>7</v>
      </c>
      <c r="AE426" t="str">
        <f t="shared" si="104"/>
        <v>Delhparketplace</v>
      </c>
      <c r="AF426" t="s">
        <v>125</v>
      </c>
      <c r="AG426" t="s">
        <v>133</v>
      </c>
      <c r="AH426" t="s">
        <v>133</v>
      </c>
    </row>
    <row r="427" spans="1:34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t="s">
        <v>47</v>
      </c>
      <c r="Q427" t="str">
        <f t="shared" si="90"/>
        <v>ard</v>
      </c>
      <c r="R427" t="str">
        <f t="shared" si="91"/>
        <v>neak</v>
      </c>
      <c r="S427">
        <f t="shared" si="92"/>
        <v>8</v>
      </c>
      <c r="T427" t="str">
        <f t="shared" si="93"/>
        <v>Sneakers</v>
      </c>
      <c r="U427">
        <f t="shared" si="94"/>
        <v>8</v>
      </c>
      <c r="V427" t="str">
        <f t="shared" si="95"/>
        <v>SNEAKERS</v>
      </c>
      <c r="W427" t="str">
        <f t="shared" si="96"/>
        <v>sneakers</v>
      </c>
      <c r="X427" t="str">
        <f t="shared" si="97"/>
        <v>Sneakers</v>
      </c>
      <c r="Y427" t="str">
        <f t="shared" si="98"/>
        <v>West Bengal 7</v>
      </c>
      <c r="Z427" t="str">
        <f t="shared" si="99"/>
        <v>BrandB7</v>
      </c>
      <c r="AA427" t="str">
        <f t="shared" si="100"/>
        <v>BrandB 7</v>
      </c>
      <c r="AB427" t="str">
        <f t="shared" si="101"/>
        <v>West Bengal Mobile App</v>
      </c>
      <c r="AC427">
        <f t="shared" si="102"/>
        <v>6</v>
      </c>
      <c r="AD427">
        <f t="shared" si="103"/>
        <v>13</v>
      </c>
      <c r="AE427" t="str">
        <f t="shared" si="104"/>
        <v>Westpngal Mobile App</v>
      </c>
      <c r="AF427" t="s">
        <v>127</v>
      </c>
      <c r="AG427" t="s">
        <v>131</v>
      </c>
      <c r="AH427" t="s">
        <v>134</v>
      </c>
    </row>
    <row r="428" spans="1:34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t="s">
        <v>28</v>
      </c>
      <c r="Q428" t="str">
        <f t="shared" si="90"/>
        <v>ard</v>
      </c>
      <c r="R428" t="str">
        <f t="shared" si="91"/>
        <v>urta</v>
      </c>
      <c r="S428">
        <f t="shared" si="92"/>
        <v>8</v>
      </c>
      <c r="T428" t="str">
        <f t="shared" si="93"/>
        <v>Curtains</v>
      </c>
      <c r="U428">
        <f t="shared" si="94"/>
        <v>8</v>
      </c>
      <c r="V428" t="str">
        <f t="shared" si="95"/>
        <v>CURTAINS</v>
      </c>
      <c r="W428" t="str">
        <f t="shared" si="96"/>
        <v>curtains</v>
      </c>
      <c r="X428" t="str">
        <f t="shared" si="97"/>
        <v>Curtains</v>
      </c>
      <c r="Y428" t="str">
        <f t="shared" si="98"/>
        <v>Tamil Nadu 9</v>
      </c>
      <c r="Z428" t="str">
        <f t="shared" si="99"/>
        <v>BrandD9</v>
      </c>
      <c r="AA428" t="str">
        <f t="shared" si="100"/>
        <v>BrandD 9</v>
      </c>
      <c r="AB428" t="str">
        <f t="shared" si="101"/>
        <v>Tamil Nadu Website</v>
      </c>
      <c r="AC428">
        <f t="shared" si="102"/>
        <v>2</v>
      </c>
      <c r="AD428">
        <f t="shared" si="103"/>
        <v>3</v>
      </c>
      <c r="AE428" t="str">
        <f t="shared" si="104"/>
        <v>Tamipadu Website</v>
      </c>
      <c r="AF428" t="s">
        <v>126</v>
      </c>
      <c r="AG428" t="s">
        <v>132</v>
      </c>
      <c r="AH428" t="s">
        <v>132</v>
      </c>
    </row>
    <row r="429" spans="1:34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t="s">
        <v>47</v>
      </c>
      <c r="Q429" t="str">
        <f t="shared" si="90"/>
        <v>UPI</v>
      </c>
      <c r="R429" t="str">
        <f t="shared" si="91"/>
        <v>mart</v>
      </c>
      <c r="S429">
        <f t="shared" si="92"/>
        <v>10</v>
      </c>
      <c r="T429" t="str">
        <f t="shared" si="93"/>
        <v>Smartwatch</v>
      </c>
      <c r="U429">
        <f t="shared" si="94"/>
        <v>10</v>
      </c>
      <c r="V429" t="str">
        <f t="shared" si="95"/>
        <v>SMARTWATCH</v>
      </c>
      <c r="W429" t="str">
        <f t="shared" si="96"/>
        <v>smartwatch</v>
      </c>
      <c r="X429" t="str">
        <f t="shared" si="97"/>
        <v>Smartwatch</v>
      </c>
      <c r="Y429" t="str">
        <f t="shared" si="98"/>
        <v>West Bengal 2</v>
      </c>
      <c r="Z429" t="str">
        <f t="shared" si="99"/>
        <v>BrandB2</v>
      </c>
      <c r="AA429" t="str">
        <f t="shared" si="100"/>
        <v>BrandB 2</v>
      </c>
      <c r="AB429" t="str">
        <f t="shared" si="101"/>
        <v>West Bengal Marketplace</v>
      </c>
      <c r="AC429">
        <f t="shared" si="102"/>
        <v>5</v>
      </c>
      <c r="AD429">
        <f t="shared" si="103"/>
        <v>13</v>
      </c>
      <c r="AE429" t="str">
        <f t="shared" si="104"/>
        <v>Westpngal Marketplace</v>
      </c>
      <c r="AF429" t="s">
        <v>127</v>
      </c>
      <c r="AG429" t="s">
        <v>133</v>
      </c>
      <c r="AH429" t="s">
        <v>133</v>
      </c>
    </row>
    <row r="430" spans="1:34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t="s">
        <v>33</v>
      </c>
      <c r="Q430" t="str">
        <f t="shared" si="90"/>
        <v>ard</v>
      </c>
      <c r="R430" t="str">
        <f t="shared" si="91"/>
        <v>ipst</v>
      </c>
      <c r="S430">
        <f t="shared" si="92"/>
        <v>8</v>
      </c>
      <c r="T430" t="str">
        <f t="shared" si="93"/>
        <v>Lipstick</v>
      </c>
      <c r="U430">
        <f t="shared" si="94"/>
        <v>8</v>
      </c>
      <c r="V430" t="str">
        <f t="shared" si="95"/>
        <v>LIPSTICK</v>
      </c>
      <c r="W430" t="str">
        <f t="shared" si="96"/>
        <v>lipstick</v>
      </c>
      <c r="X430" t="str">
        <f t="shared" si="97"/>
        <v>Lipstick</v>
      </c>
      <c r="Y430" t="str">
        <f t="shared" si="98"/>
        <v>Karnataka 3</v>
      </c>
      <c r="Z430" t="str">
        <f t="shared" si="99"/>
        <v>BrandE3</v>
      </c>
      <c r="AA430" t="str">
        <f t="shared" si="100"/>
        <v>BrandE 3</v>
      </c>
      <c r="AB430" t="str">
        <f t="shared" si="101"/>
        <v>Karnataka Mobile App</v>
      </c>
      <c r="AC430">
        <f t="shared" si="102"/>
        <v>6</v>
      </c>
      <c r="AD430">
        <f t="shared" si="103"/>
        <v>11</v>
      </c>
      <c r="AE430" t="str">
        <f t="shared" si="104"/>
        <v>Karnpka Mobile App</v>
      </c>
      <c r="AF430" t="s">
        <v>128</v>
      </c>
      <c r="AG430" t="s">
        <v>131</v>
      </c>
      <c r="AH430" t="s">
        <v>134</v>
      </c>
    </row>
    <row r="431" spans="1:34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t="s">
        <v>33</v>
      </c>
      <c r="Q431" t="str">
        <f t="shared" si="90"/>
        <v>ard</v>
      </c>
      <c r="R431" t="str">
        <f t="shared" si="91"/>
        <v>umbb</v>
      </c>
      <c r="S431">
        <f t="shared" si="92"/>
        <v>9</v>
      </c>
      <c r="T431" t="str">
        <f t="shared" si="93"/>
        <v>Dumbbells</v>
      </c>
      <c r="U431">
        <f t="shared" si="94"/>
        <v>9</v>
      </c>
      <c r="V431" t="str">
        <f t="shared" si="95"/>
        <v>DUMBBELLS</v>
      </c>
      <c r="W431" t="str">
        <f t="shared" si="96"/>
        <v>dumbbells</v>
      </c>
      <c r="X431" t="str">
        <f t="shared" si="97"/>
        <v>Dumbbells</v>
      </c>
      <c r="Y431" t="str">
        <f t="shared" si="98"/>
        <v>Delhi 8</v>
      </c>
      <c r="Z431" t="str">
        <f t="shared" si="99"/>
        <v>BrandE8</v>
      </c>
      <c r="AA431" t="str">
        <f t="shared" si="100"/>
        <v>BrandE 8</v>
      </c>
      <c r="AB431" t="str">
        <f t="shared" si="101"/>
        <v>Delhi Website</v>
      </c>
      <c r="AC431">
        <f t="shared" si="102"/>
        <v>2</v>
      </c>
      <c r="AD431" t="e">
        <f t="shared" si="103"/>
        <v>#VALUE!</v>
      </c>
      <c r="AE431" t="str">
        <f t="shared" si="104"/>
        <v>Delhpebsite</v>
      </c>
      <c r="AF431" t="s">
        <v>125</v>
      </c>
      <c r="AG431" t="s">
        <v>132</v>
      </c>
      <c r="AH431" t="s">
        <v>132</v>
      </c>
    </row>
    <row r="432" spans="1:34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t="s">
        <v>28</v>
      </c>
      <c r="Q432" t="str">
        <f t="shared" si="90"/>
        <v>ery</v>
      </c>
      <c r="R432" t="str">
        <f t="shared" si="91"/>
        <v>mart</v>
      </c>
      <c r="S432">
        <f t="shared" si="92"/>
        <v>10</v>
      </c>
      <c r="T432" t="str">
        <f t="shared" si="93"/>
        <v>Smartwatch</v>
      </c>
      <c r="U432">
        <f t="shared" si="94"/>
        <v>10</v>
      </c>
      <c r="V432" t="str">
        <f t="shared" si="95"/>
        <v>SMARTWATCH</v>
      </c>
      <c r="W432" t="str">
        <f t="shared" si="96"/>
        <v>smartwatch</v>
      </c>
      <c r="X432" t="str">
        <f t="shared" si="97"/>
        <v>Smartwatch</v>
      </c>
      <c r="Y432" t="str">
        <f t="shared" si="98"/>
        <v>Karnataka 6</v>
      </c>
      <c r="Z432" t="str">
        <f t="shared" si="99"/>
        <v>BrandD6</v>
      </c>
      <c r="AA432" t="str">
        <f t="shared" si="100"/>
        <v>BrandD 6</v>
      </c>
      <c r="AB432" t="str">
        <f t="shared" si="101"/>
        <v>Karnataka Marketplace</v>
      </c>
      <c r="AC432">
        <f t="shared" si="102"/>
        <v>5</v>
      </c>
      <c r="AD432">
        <f t="shared" si="103"/>
        <v>11</v>
      </c>
      <c r="AE432" t="str">
        <f t="shared" si="104"/>
        <v>Karnpka Marketplace</v>
      </c>
      <c r="AF432" t="s">
        <v>128</v>
      </c>
      <c r="AG432" t="s">
        <v>133</v>
      </c>
      <c r="AH432" t="s">
        <v>133</v>
      </c>
    </row>
    <row r="433" spans="1:34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t="s">
        <v>47</v>
      </c>
      <c r="Q433" t="str">
        <f t="shared" si="90"/>
        <v>ard</v>
      </c>
      <c r="R433" t="str">
        <f t="shared" si="91"/>
        <v>rick</v>
      </c>
      <c r="S433">
        <f t="shared" si="92"/>
        <v>11</v>
      </c>
      <c r="T433" t="str">
        <f t="shared" si="93"/>
        <v>Cricket Bat</v>
      </c>
      <c r="U433">
        <f t="shared" si="94"/>
        <v>11</v>
      </c>
      <c r="V433" t="str">
        <f t="shared" si="95"/>
        <v>CRICKET BAT</v>
      </c>
      <c r="W433" t="str">
        <f t="shared" si="96"/>
        <v>cricket bat</v>
      </c>
      <c r="X433" t="str">
        <f t="shared" si="97"/>
        <v>Cricket Bat</v>
      </c>
      <c r="Y433" t="str">
        <f t="shared" si="98"/>
        <v>Telangana 9</v>
      </c>
      <c r="Z433" t="str">
        <f t="shared" si="99"/>
        <v>BrandB9</v>
      </c>
      <c r="AA433" t="str">
        <f t="shared" si="100"/>
        <v>BrandB 9</v>
      </c>
      <c r="AB433" t="str">
        <f t="shared" si="101"/>
        <v>Telangana Marketplace</v>
      </c>
      <c r="AC433">
        <f t="shared" si="102"/>
        <v>5</v>
      </c>
      <c r="AD433">
        <f t="shared" si="103"/>
        <v>11</v>
      </c>
      <c r="AE433" t="str">
        <f t="shared" si="104"/>
        <v>Telapna Marketplace</v>
      </c>
      <c r="AF433" t="s">
        <v>129</v>
      </c>
      <c r="AG433" t="s">
        <v>133</v>
      </c>
      <c r="AH433" t="s">
        <v>133</v>
      </c>
    </row>
    <row r="434" spans="1:34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t="s">
        <v>33</v>
      </c>
      <c r="Q434" t="str">
        <f t="shared" si="90"/>
        <v>ard</v>
      </c>
      <c r="R434" t="str">
        <f t="shared" si="91"/>
        <v>mart</v>
      </c>
      <c r="S434">
        <f t="shared" si="92"/>
        <v>10</v>
      </c>
      <c r="T434" t="str">
        <f t="shared" si="93"/>
        <v>Smartwatch</v>
      </c>
      <c r="U434">
        <f t="shared" si="94"/>
        <v>10</v>
      </c>
      <c r="V434" t="str">
        <f t="shared" si="95"/>
        <v>SMARTWATCH</v>
      </c>
      <c r="W434" t="str">
        <f t="shared" si="96"/>
        <v>smartwatch</v>
      </c>
      <c r="X434" t="str">
        <f t="shared" si="97"/>
        <v>Smartwatch</v>
      </c>
      <c r="Y434" t="str">
        <f t="shared" si="98"/>
        <v>Maharashtra 4</v>
      </c>
      <c r="Z434" t="str">
        <f t="shared" si="99"/>
        <v>BrandE4</v>
      </c>
      <c r="AA434" t="str">
        <f t="shared" si="100"/>
        <v>BrandE 4</v>
      </c>
      <c r="AB434" t="str">
        <f t="shared" si="101"/>
        <v>Maharashtra Mobile App</v>
      </c>
      <c r="AC434">
        <f t="shared" si="102"/>
        <v>6</v>
      </c>
      <c r="AD434">
        <f t="shared" si="103"/>
        <v>1</v>
      </c>
      <c r="AE434" t="str">
        <f t="shared" si="104"/>
        <v>Mahaphtra Mobile App</v>
      </c>
      <c r="AF434" t="s">
        <v>130</v>
      </c>
      <c r="AG434" t="s">
        <v>131</v>
      </c>
      <c r="AH434" t="s">
        <v>134</v>
      </c>
    </row>
    <row r="435" spans="1:34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t="s">
        <v>45</v>
      </c>
      <c r="Q435" t="str">
        <f t="shared" si="90"/>
        <v>ard</v>
      </c>
      <c r="R435" t="str">
        <f t="shared" si="91"/>
        <v>ixer</v>
      </c>
      <c r="S435">
        <f t="shared" si="92"/>
        <v>13</v>
      </c>
      <c r="T435" t="str">
        <f t="shared" si="93"/>
        <v>Mixer Grinder</v>
      </c>
      <c r="U435">
        <f t="shared" si="94"/>
        <v>13</v>
      </c>
      <c r="V435" t="str">
        <f t="shared" si="95"/>
        <v>MIXER GRINDER</v>
      </c>
      <c r="W435" t="str">
        <f t="shared" si="96"/>
        <v>mixer grinder</v>
      </c>
      <c r="X435" t="str">
        <f t="shared" si="97"/>
        <v>Mixer Grinder</v>
      </c>
      <c r="Y435" t="str">
        <f t="shared" si="98"/>
        <v>Maharashtra 8</v>
      </c>
      <c r="Z435" t="str">
        <f t="shared" si="99"/>
        <v>BrandC8</v>
      </c>
      <c r="AA435" t="str">
        <f t="shared" si="100"/>
        <v>BrandC 8</v>
      </c>
      <c r="AB435" t="str">
        <f t="shared" si="101"/>
        <v>Maharashtra Website</v>
      </c>
      <c r="AC435">
        <f t="shared" si="102"/>
        <v>2</v>
      </c>
      <c r="AD435">
        <f t="shared" si="103"/>
        <v>1</v>
      </c>
      <c r="AE435" t="str">
        <f t="shared" si="104"/>
        <v>Mahaphtra Website</v>
      </c>
      <c r="AF435" t="s">
        <v>130</v>
      </c>
      <c r="AG435" t="s">
        <v>132</v>
      </c>
      <c r="AH435" t="s">
        <v>132</v>
      </c>
    </row>
    <row r="436" spans="1:34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t="s">
        <v>21</v>
      </c>
      <c r="Q436" t="str">
        <f t="shared" si="90"/>
        <v>UPI</v>
      </c>
      <c r="R436" t="str">
        <f t="shared" si="91"/>
        <v>ipst</v>
      </c>
      <c r="S436">
        <f t="shared" si="92"/>
        <v>8</v>
      </c>
      <c r="T436" t="str">
        <f t="shared" si="93"/>
        <v>Lipstick</v>
      </c>
      <c r="U436">
        <f t="shared" si="94"/>
        <v>8</v>
      </c>
      <c r="V436" t="str">
        <f t="shared" si="95"/>
        <v>LIPSTICK</v>
      </c>
      <c r="W436" t="str">
        <f t="shared" si="96"/>
        <v>lipstick</v>
      </c>
      <c r="X436" t="str">
        <f t="shared" si="97"/>
        <v>Lipstick</v>
      </c>
      <c r="Y436" t="str">
        <f t="shared" si="98"/>
        <v>West Bengal 3</v>
      </c>
      <c r="Z436" t="str">
        <f t="shared" si="99"/>
        <v>BrandA3</v>
      </c>
      <c r="AA436" t="str">
        <f t="shared" si="100"/>
        <v>BrandA 3</v>
      </c>
      <c r="AB436" t="str">
        <f t="shared" si="101"/>
        <v>West Bengal Website</v>
      </c>
      <c r="AC436">
        <f t="shared" si="102"/>
        <v>2</v>
      </c>
      <c r="AD436" t="e">
        <f t="shared" si="103"/>
        <v>#VALUE!</v>
      </c>
      <c r="AE436" t="str">
        <f t="shared" si="104"/>
        <v>Westpngal Website</v>
      </c>
      <c r="AF436" t="s">
        <v>127</v>
      </c>
      <c r="AG436" t="s">
        <v>132</v>
      </c>
      <c r="AH436" t="s">
        <v>132</v>
      </c>
    </row>
    <row r="437" spans="1:34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t="s">
        <v>21</v>
      </c>
      <c r="Q437" t="str">
        <f t="shared" si="90"/>
        <v>ard</v>
      </c>
      <c r="R437" t="str">
        <f t="shared" si="91"/>
        <v>erfu</v>
      </c>
      <c r="S437">
        <f t="shared" si="92"/>
        <v>7</v>
      </c>
      <c r="T437" t="str">
        <f t="shared" si="93"/>
        <v>Perfume</v>
      </c>
      <c r="U437">
        <f t="shared" si="94"/>
        <v>7</v>
      </c>
      <c r="V437" t="str">
        <f t="shared" si="95"/>
        <v>PERFUME</v>
      </c>
      <c r="W437" t="str">
        <f t="shared" si="96"/>
        <v>perfume</v>
      </c>
      <c r="X437" t="str">
        <f t="shared" si="97"/>
        <v>Perfume</v>
      </c>
      <c r="Y437" t="str">
        <f t="shared" si="98"/>
        <v>Tamil Nadu 3</v>
      </c>
      <c r="Z437" t="str">
        <f t="shared" si="99"/>
        <v>BrandA3</v>
      </c>
      <c r="AA437" t="str">
        <f t="shared" si="100"/>
        <v>BrandA 3</v>
      </c>
      <c r="AB437" t="str">
        <f t="shared" si="101"/>
        <v>Tamil Nadu Marketplace</v>
      </c>
      <c r="AC437">
        <f t="shared" si="102"/>
        <v>5</v>
      </c>
      <c r="AD437">
        <f t="shared" si="103"/>
        <v>3</v>
      </c>
      <c r="AE437" t="str">
        <f t="shared" si="104"/>
        <v>Tamipadu Marketplace</v>
      </c>
      <c r="AF437" t="s">
        <v>126</v>
      </c>
      <c r="AG437" t="s">
        <v>133</v>
      </c>
      <c r="AH437" t="s">
        <v>133</v>
      </c>
    </row>
    <row r="438" spans="1:34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t="s">
        <v>21</v>
      </c>
      <c r="Q438" t="str">
        <f t="shared" si="90"/>
        <v>ery</v>
      </c>
      <c r="R438" t="str">
        <f t="shared" si="91"/>
        <v>extb</v>
      </c>
      <c r="S438">
        <f t="shared" si="92"/>
        <v>8</v>
      </c>
      <c r="T438" t="str">
        <f t="shared" si="93"/>
        <v>Textbook</v>
      </c>
      <c r="U438">
        <f t="shared" si="94"/>
        <v>8</v>
      </c>
      <c r="V438" t="str">
        <f t="shared" si="95"/>
        <v>TEXTBOOK</v>
      </c>
      <c r="W438" t="str">
        <f t="shared" si="96"/>
        <v>textbook</v>
      </c>
      <c r="X438" t="str">
        <f t="shared" si="97"/>
        <v>Textbook</v>
      </c>
      <c r="Y438" t="str">
        <f t="shared" si="98"/>
        <v>Karnataka 8</v>
      </c>
      <c r="Z438" t="str">
        <f t="shared" si="99"/>
        <v>BrandA8</v>
      </c>
      <c r="AA438" t="str">
        <f t="shared" si="100"/>
        <v>BrandA 8</v>
      </c>
      <c r="AB438" t="str">
        <f t="shared" si="101"/>
        <v>Karnataka Marketplace</v>
      </c>
      <c r="AC438">
        <f t="shared" si="102"/>
        <v>5</v>
      </c>
      <c r="AD438">
        <f t="shared" si="103"/>
        <v>11</v>
      </c>
      <c r="AE438" t="str">
        <f t="shared" si="104"/>
        <v>Karnpka Marketplace</v>
      </c>
      <c r="AF438" t="s">
        <v>128</v>
      </c>
      <c r="AG438" t="s">
        <v>133</v>
      </c>
      <c r="AH438" t="s">
        <v>133</v>
      </c>
    </row>
    <row r="439" spans="1:34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t="s">
        <v>47</v>
      </c>
      <c r="Q439" t="str">
        <f t="shared" si="90"/>
        <v>ard</v>
      </c>
      <c r="R439" t="str">
        <f t="shared" si="91"/>
        <v>rick</v>
      </c>
      <c r="S439">
        <f t="shared" si="92"/>
        <v>11</v>
      </c>
      <c r="T439" t="str">
        <f t="shared" si="93"/>
        <v>Cricket Bat</v>
      </c>
      <c r="U439">
        <f t="shared" si="94"/>
        <v>11</v>
      </c>
      <c r="V439" t="str">
        <f t="shared" si="95"/>
        <v>CRICKET BAT</v>
      </c>
      <c r="W439" t="str">
        <f t="shared" si="96"/>
        <v>cricket bat</v>
      </c>
      <c r="X439" t="str">
        <f t="shared" si="97"/>
        <v>Cricket Bat</v>
      </c>
      <c r="Y439" t="str">
        <f t="shared" si="98"/>
        <v>Tamil Nadu 5</v>
      </c>
      <c r="Z439" t="str">
        <f t="shared" si="99"/>
        <v>BrandB5</v>
      </c>
      <c r="AA439" t="str">
        <f t="shared" si="100"/>
        <v>BrandB 5</v>
      </c>
      <c r="AB439" t="str">
        <f t="shared" si="101"/>
        <v>Tamil Nadu Marketplace</v>
      </c>
      <c r="AC439">
        <f t="shared" si="102"/>
        <v>5</v>
      </c>
      <c r="AD439">
        <f t="shared" si="103"/>
        <v>3</v>
      </c>
      <c r="AE439" t="str">
        <f t="shared" si="104"/>
        <v>Tamipadu Marketplace</v>
      </c>
      <c r="AF439" t="s">
        <v>126</v>
      </c>
      <c r="AG439" t="s">
        <v>133</v>
      </c>
      <c r="AH439" t="s">
        <v>133</v>
      </c>
    </row>
    <row r="440" spans="1:34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t="s">
        <v>28</v>
      </c>
      <c r="Q440" t="str">
        <f t="shared" si="90"/>
        <v>ery</v>
      </c>
      <c r="R440" t="str">
        <f t="shared" si="91"/>
        <v>mart</v>
      </c>
      <c r="S440">
        <f t="shared" si="92"/>
        <v>10</v>
      </c>
      <c r="T440" t="str">
        <f t="shared" si="93"/>
        <v>Smartwatch</v>
      </c>
      <c r="U440">
        <f t="shared" si="94"/>
        <v>10</v>
      </c>
      <c r="V440" t="str">
        <f t="shared" si="95"/>
        <v>SMARTWATCH</v>
      </c>
      <c r="W440" t="str">
        <f t="shared" si="96"/>
        <v>smartwatch</v>
      </c>
      <c r="X440" t="str">
        <f t="shared" si="97"/>
        <v>Smartwatch</v>
      </c>
      <c r="Y440" t="str">
        <f t="shared" si="98"/>
        <v>West Bengal 3</v>
      </c>
      <c r="Z440" t="str">
        <f t="shared" si="99"/>
        <v>BrandD3</v>
      </c>
      <c r="AA440" t="str">
        <f t="shared" si="100"/>
        <v>BrandD 3</v>
      </c>
      <c r="AB440" t="str">
        <f t="shared" si="101"/>
        <v>West Bengal Website</v>
      </c>
      <c r="AC440">
        <f t="shared" si="102"/>
        <v>2</v>
      </c>
      <c r="AD440" t="e">
        <f t="shared" si="103"/>
        <v>#VALUE!</v>
      </c>
      <c r="AE440" t="str">
        <f t="shared" si="104"/>
        <v>Westpngal Website</v>
      </c>
      <c r="AF440" t="s">
        <v>127</v>
      </c>
      <c r="AG440" t="s">
        <v>132</v>
      </c>
      <c r="AH440" t="s">
        <v>132</v>
      </c>
    </row>
    <row r="441" spans="1:34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t="s">
        <v>33</v>
      </c>
      <c r="Q441" t="str">
        <f t="shared" si="90"/>
        <v>ing</v>
      </c>
      <c r="R441" t="str">
        <f t="shared" si="91"/>
        <v>eadp</v>
      </c>
      <c r="S441">
        <f t="shared" si="92"/>
        <v>10</v>
      </c>
      <c r="T441" t="str">
        <f t="shared" si="93"/>
        <v>Headphones</v>
      </c>
      <c r="U441">
        <f t="shared" si="94"/>
        <v>10</v>
      </c>
      <c r="V441" t="str">
        <f t="shared" si="95"/>
        <v>HEADPHONES</v>
      </c>
      <c r="W441" t="str">
        <f t="shared" si="96"/>
        <v>headphones</v>
      </c>
      <c r="X441" t="str">
        <f t="shared" si="97"/>
        <v>Headphones</v>
      </c>
      <c r="Y441" t="str">
        <f t="shared" si="98"/>
        <v>Maharashtra 1</v>
      </c>
      <c r="Z441" t="str">
        <f t="shared" si="99"/>
        <v>BrandE1</v>
      </c>
      <c r="AA441" t="str">
        <f t="shared" si="100"/>
        <v>BrandE 1</v>
      </c>
      <c r="AB441" t="str">
        <f t="shared" si="101"/>
        <v>Maharashtra Mobile App</v>
      </c>
      <c r="AC441">
        <f t="shared" si="102"/>
        <v>6</v>
      </c>
      <c r="AD441">
        <f t="shared" si="103"/>
        <v>1</v>
      </c>
      <c r="AE441" t="str">
        <f t="shared" si="104"/>
        <v>Mahaphtra Mobile App</v>
      </c>
      <c r="AF441" t="s">
        <v>130</v>
      </c>
      <c r="AG441" t="s">
        <v>131</v>
      </c>
      <c r="AH441" t="s">
        <v>134</v>
      </c>
    </row>
    <row r="442" spans="1:34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t="s">
        <v>45</v>
      </c>
      <c r="Q442" t="str">
        <f t="shared" si="90"/>
        <v>ing</v>
      </c>
      <c r="R442" t="str">
        <f t="shared" si="91"/>
        <v>eans</v>
      </c>
      <c r="S442">
        <f t="shared" si="92"/>
        <v>5</v>
      </c>
      <c r="T442" t="str">
        <f t="shared" si="93"/>
        <v>Jeans</v>
      </c>
      <c r="U442">
        <f t="shared" si="94"/>
        <v>5</v>
      </c>
      <c r="V442" t="str">
        <f t="shared" si="95"/>
        <v>JEANS</v>
      </c>
      <c r="W442" t="str">
        <f t="shared" si="96"/>
        <v>jeans</v>
      </c>
      <c r="X442" t="str">
        <f t="shared" si="97"/>
        <v>Jeans</v>
      </c>
      <c r="Y442" t="str">
        <f t="shared" si="98"/>
        <v>Tamil Nadu 3</v>
      </c>
      <c r="Z442" t="str">
        <f t="shared" si="99"/>
        <v>BrandC3</v>
      </c>
      <c r="AA442" t="str">
        <f t="shared" si="100"/>
        <v>BrandC 3</v>
      </c>
      <c r="AB442" t="str">
        <f t="shared" si="101"/>
        <v>Tamil Nadu Mobile App</v>
      </c>
      <c r="AC442">
        <f t="shared" si="102"/>
        <v>6</v>
      </c>
      <c r="AD442">
        <f t="shared" si="103"/>
        <v>3</v>
      </c>
      <c r="AE442" t="str">
        <f t="shared" si="104"/>
        <v>Tamipadu Mobile App</v>
      </c>
      <c r="AF442" t="s">
        <v>126</v>
      </c>
      <c r="AG442" t="s">
        <v>131</v>
      </c>
      <c r="AH442" t="s">
        <v>134</v>
      </c>
    </row>
    <row r="443" spans="1:34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t="s">
        <v>45</v>
      </c>
      <c r="Q443" t="str">
        <f t="shared" si="90"/>
        <v>ery</v>
      </c>
      <c r="R443" t="str">
        <f t="shared" si="91"/>
        <v>icti</v>
      </c>
      <c r="S443">
        <f t="shared" si="92"/>
        <v>13</v>
      </c>
      <c r="T443" t="str">
        <f t="shared" si="93"/>
        <v>Fiction Novel</v>
      </c>
      <c r="U443">
        <f t="shared" si="94"/>
        <v>13</v>
      </c>
      <c r="V443" t="str">
        <f t="shared" si="95"/>
        <v>FICTION NOVEL</v>
      </c>
      <c r="W443" t="str">
        <f t="shared" si="96"/>
        <v>fiction novel</v>
      </c>
      <c r="X443" t="str">
        <f t="shared" si="97"/>
        <v>Fiction Novel</v>
      </c>
      <c r="Y443" t="str">
        <f t="shared" si="98"/>
        <v>Tamil Nadu 9</v>
      </c>
      <c r="Z443" t="str">
        <f t="shared" si="99"/>
        <v>BrandC9</v>
      </c>
      <c r="AA443" t="str">
        <f t="shared" si="100"/>
        <v>BrandC 9</v>
      </c>
      <c r="AB443" t="str">
        <f t="shared" si="101"/>
        <v>Tamil Nadu Website</v>
      </c>
      <c r="AC443">
        <f t="shared" si="102"/>
        <v>2</v>
      </c>
      <c r="AD443">
        <f t="shared" si="103"/>
        <v>3</v>
      </c>
      <c r="AE443" t="str">
        <f t="shared" si="104"/>
        <v>Tamipadu Website</v>
      </c>
      <c r="AF443" t="s">
        <v>126</v>
      </c>
      <c r="AG443" t="s">
        <v>132</v>
      </c>
      <c r="AH443" t="s">
        <v>132</v>
      </c>
    </row>
    <row r="444" spans="1:34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t="s">
        <v>47</v>
      </c>
      <c r="Q444" t="str">
        <f t="shared" si="90"/>
        <v>UPI</v>
      </c>
      <c r="R444" t="str">
        <f t="shared" si="91"/>
        <v>eans</v>
      </c>
      <c r="S444">
        <f t="shared" si="92"/>
        <v>5</v>
      </c>
      <c r="T444" t="str">
        <f t="shared" si="93"/>
        <v>Jeans</v>
      </c>
      <c r="U444">
        <f t="shared" si="94"/>
        <v>5</v>
      </c>
      <c r="V444" t="str">
        <f t="shared" si="95"/>
        <v>JEANS</v>
      </c>
      <c r="W444" t="str">
        <f t="shared" si="96"/>
        <v>jeans</v>
      </c>
      <c r="X444" t="str">
        <f t="shared" si="97"/>
        <v>Jeans</v>
      </c>
      <c r="Y444" t="str">
        <f t="shared" si="98"/>
        <v>Maharashtra 5</v>
      </c>
      <c r="Z444" t="str">
        <f t="shared" si="99"/>
        <v>BrandB5</v>
      </c>
      <c r="AA444" t="str">
        <f t="shared" si="100"/>
        <v>BrandB 5</v>
      </c>
      <c r="AB444" t="str">
        <f t="shared" si="101"/>
        <v>Maharashtra Mobile App</v>
      </c>
      <c r="AC444">
        <f t="shared" si="102"/>
        <v>6</v>
      </c>
      <c r="AD444">
        <f t="shared" si="103"/>
        <v>1</v>
      </c>
      <c r="AE444" t="str">
        <f t="shared" si="104"/>
        <v>Mahaphtra Mobile App</v>
      </c>
      <c r="AF444" t="s">
        <v>130</v>
      </c>
      <c r="AG444" t="s">
        <v>131</v>
      </c>
      <c r="AH444" t="s">
        <v>134</v>
      </c>
    </row>
    <row r="445" spans="1:34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t="s">
        <v>21</v>
      </c>
      <c r="Q445" t="str">
        <f t="shared" si="90"/>
        <v>ard</v>
      </c>
      <c r="R445" t="str">
        <f t="shared" si="91"/>
        <v>neak</v>
      </c>
      <c r="S445">
        <f t="shared" si="92"/>
        <v>8</v>
      </c>
      <c r="T445" t="str">
        <f t="shared" si="93"/>
        <v>Sneakers</v>
      </c>
      <c r="U445">
        <f t="shared" si="94"/>
        <v>8</v>
      </c>
      <c r="V445" t="str">
        <f t="shared" si="95"/>
        <v>SNEAKERS</v>
      </c>
      <c r="W445" t="str">
        <f t="shared" si="96"/>
        <v>sneakers</v>
      </c>
      <c r="X445" t="str">
        <f t="shared" si="97"/>
        <v>Sneakers</v>
      </c>
      <c r="Y445" t="str">
        <f t="shared" si="98"/>
        <v>Karnataka 2</v>
      </c>
      <c r="Z445" t="str">
        <f t="shared" si="99"/>
        <v>BrandA2</v>
      </c>
      <c r="AA445" t="str">
        <f t="shared" si="100"/>
        <v>BrandA 2</v>
      </c>
      <c r="AB445" t="str">
        <f t="shared" si="101"/>
        <v>Karnataka Marketplace</v>
      </c>
      <c r="AC445">
        <f t="shared" si="102"/>
        <v>5</v>
      </c>
      <c r="AD445">
        <f t="shared" si="103"/>
        <v>11</v>
      </c>
      <c r="AE445" t="str">
        <f t="shared" si="104"/>
        <v>Karnpka Marketplace</v>
      </c>
      <c r="AF445" t="s">
        <v>128</v>
      </c>
      <c r="AG445" t="s">
        <v>133</v>
      </c>
      <c r="AH445" t="s">
        <v>133</v>
      </c>
    </row>
    <row r="446" spans="1:34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t="s">
        <v>47</v>
      </c>
      <c r="Q446" t="str">
        <f t="shared" si="90"/>
        <v>ard</v>
      </c>
      <c r="R446" t="str">
        <f t="shared" si="91"/>
        <v>-Shi</v>
      </c>
      <c r="S446">
        <f t="shared" si="92"/>
        <v>7</v>
      </c>
      <c r="T446" t="str">
        <f t="shared" si="93"/>
        <v>T-Shirt</v>
      </c>
      <c r="U446">
        <f t="shared" si="94"/>
        <v>7</v>
      </c>
      <c r="V446" t="str">
        <f t="shared" si="95"/>
        <v>T-SHIRT</v>
      </c>
      <c r="W446" t="str">
        <f t="shared" si="96"/>
        <v>t-shirt</v>
      </c>
      <c r="X446" t="str">
        <f t="shared" si="97"/>
        <v>T-Shirt</v>
      </c>
      <c r="Y446" t="str">
        <f t="shared" si="98"/>
        <v>Maharashtra 7</v>
      </c>
      <c r="Z446" t="str">
        <f t="shared" si="99"/>
        <v>BrandB7</v>
      </c>
      <c r="AA446" t="str">
        <f t="shared" si="100"/>
        <v>BrandB 7</v>
      </c>
      <c r="AB446" t="str">
        <f t="shared" si="101"/>
        <v>Maharashtra Mobile App</v>
      </c>
      <c r="AC446">
        <f t="shared" si="102"/>
        <v>6</v>
      </c>
      <c r="AD446">
        <f t="shared" si="103"/>
        <v>1</v>
      </c>
      <c r="AE446" t="str">
        <f t="shared" si="104"/>
        <v>Mahaphtra Mobile App</v>
      </c>
      <c r="AF446" t="s">
        <v>130</v>
      </c>
      <c r="AG446" t="s">
        <v>131</v>
      </c>
      <c r="AH446" t="s">
        <v>134</v>
      </c>
    </row>
    <row r="447" spans="1:34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t="s">
        <v>28</v>
      </c>
      <c r="Q447" t="str">
        <f t="shared" si="90"/>
        <v>ing</v>
      </c>
      <c r="R447" t="str">
        <f t="shared" si="91"/>
        <v>ootb</v>
      </c>
      <c r="S447">
        <f t="shared" si="92"/>
        <v>8</v>
      </c>
      <c r="T447" t="str">
        <f t="shared" si="93"/>
        <v>Football</v>
      </c>
      <c r="U447">
        <f t="shared" si="94"/>
        <v>8</v>
      </c>
      <c r="V447" t="str">
        <f t="shared" si="95"/>
        <v>FOOTBALL</v>
      </c>
      <c r="W447" t="str">
        <f t="shared" si="96"/>
        <v>football</v>
      </c>
      <c r="X447" t="str">
        <f t="shared" si="97"/>
        <v>Football</v>
      </c>
      <c r="Y447" t="str">
        <f t="shared" si="98"/>
        <v>Tamil Nadu 2</v>
      </c>
      <c r="Z447" t="str">
        <f t="shared" si="99"/>
        <v>BrandD2</v>
      </c>
      <c r="AA447" t="str">
        <f t="shared" si="100"/>
        <v>BrandD 2</v>
      </c>
      <c r="AB447" t="str">
        <f t="shared" si="101"/>
        <v>Tamil Nadu Mobile App</v>
      </c>
      <c r="AC447">
        <f t="shared" si="102"/>
        <v>6</v>
      </c>
      <c r="AD447">
        <f t="shared" si="103"/>
        <v>3</v>
      </c>
      <c r="AE447" t="str">
        <f t="shared" si="104"/>
        <v>Tamipadu Mobile App</v>
      </c>
      <c r="AF447" t="s">
        <v>126</v>
      </c>
      <c r="AG447" t="s">
        <v>131</v>
      </c>
      <c r="AH447" t="s">
        <v>134</v>
      </c>
    </row>
    <row r="448" spans="1:34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t="s">
        <v>28</v>
      </c>
      <c r="Q448" t="str">
        <f t="shared" si="90"/>
        <v>ery</v>
      </c>
      <c r="R448" t="str">
        <f t="shared" si="91"/>
        <v>umbb</v>
      </c>
      <c r="S448">
        <f t="shared" si="92"/>
        <v>9</v>
      </c>
      <c r="T448" t="str">
        <f t="shared" si="93"/>
        <v>Dumbbells</v>
      </c>
      <c r="U448">
        <f t="shared" si="94"/>
        <v>9</v>
      </c>
      <c r="V448" t="str">
        <f t="shared" si="95"/>
        <v>DUMBBELLS</v>
      </c>
      <c r="W448" t="str">
        <f t="shared" si="96"/>
        <v>dumbbells</v>
      </c>
      <c r="X448" t="str">
        <f t="shared" si="97"/>
        <v>Dumbbells</v>
      </c>
      <c r="Y448" t="str">
        <f t="shared" si="98"/>
        <v>Karnataka 4</v>
      </c>
      <c r="Z448" t="str">
        <f t="shared" si="99"/>
        <v>BrandD4</v>
      </c>
      <c r="AA448" t="str">
        <f t="shared" si="100"/>
        <v>BrandD 4</v>
      </c>
      <c r="AB448" t="str">
        <f t="shared" si="101"/>
        <v>Karnataka Mobile App</v>
      </c>
      <c r="AC448">
        <f t="shared" si="102"/>
        <v>6</v>
      </c>
      <c r="AD448">
        <f t="shared" si="103"/>
        <v>11</v>
      </c>
      <c r="AE448" t="str">
        <f t="shared" si="104"/>
        <v>Karnpka Mobile App</v>
      </c>
      <c r="AF448" t="s">
        <v>128</v>
      </c>
      <c r="AG448" t="s">
        <v>131</v>
      </c>
      <c r="AH448" t="s">
        <v>134</v>
      </c>
    </row>
    <row r="449" spans="1:34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t="s">
        <v>33</v>
      </c>
      <c r="Q449" t="str">
        <f t="shared" si="90"/>
        <v>ard</v>
      </c>
      <c r="R449" t="str">
        <f t="shared" si="91"/>
        <v>ixer</v>
      </c>
      <c r="S449">
        <f t="shared" si="92"/>
        <v>13</v>
      </c>
      <c r="T449" t="str">
        <f t="shared" si="93"/>
        <v>Mixer Grinder</v>
      </c>
      <c r="U449">
        <f t="shared" si="94"/>
        <v>13</v>
      </c>
      <c r="V449" t="str">
        <f t="shared" si="95"/>
        <v>MIXER GRINDER</v>
      </c>
      <c r="W449" t="str">
        <f t="shared" si="96"/>
        <v>mixer grinder</v>
      </c>
      <c r="X449" t="str">
        <f t="shared" si="97"/>
        <v>Mixer Grinder</v>
      </c>
      <c r="Y449" t="str">
        <f t="shared" si="98"/>
        <v>Karnataka 7</v>
      </c>
      <c r="Z449" t="str">
        <f t="shared" si="99"/>
        <v>BrandE7</v>
      </c>
      <c r="AA449" t="str">
        <f t="shared" si="100"/>
        <v>BrandE 7</v>
      </c>
      <c r="AB449" t="str">
        <f t="shared" si="101"/>
        <v>Karnataka Marketplace</v>
      </c>
      <c r="AC449">
        <f t="shared" si="102"/>
        <v>5</v>
      </c>
      <c r="AD449">
        <f t="shared" si="103"/>
        <v>11</v>
      </c>
      <c r="AE449" t="str">
        <f t="shared" si="104"/>
        <v>Karnpka Marketplace</v>
      </c>
      <c r="AF449" t="s">
        <v>128</v>
      </c>
      <c r="AG449" t="s">
        <v>133</v>
      </c>
      <c r="AH449" t="s">
        <v>133</v>
      </c>
    </row>
    <row r="450" spans="1:34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t="s">
        <v>33</v>
      </c>
      <c r="Q450" t="str">
        <f t="shared" si="90"/>
        <v>ard</v>
      </c>
      <c r="R450" t="str">
        <f t="shared" si="91"/>
        <v>ookw</v>
      </c>
      <c r="S450">
        <f t="shared" si="92"/>
        <v>12</v>
      </c>
      <c r="T450" t="str">
        <f t="shared" si="93"/>
        <v>Cookware Set</v>
      </c>
      <c r="U450">
        <f t="shared" si="94"/>
        <v>12</v>
      </c>
      <c r="V450" t="str">
        <f t="shared" si="95"/>
        <v>COOKWARE SET</v>
      </c>
      <c r="W450" t="str">
        <f t="shared" si="96"/>
        <v>cookware set</v>
      </c>
      <c r="X450" t="str">
        <f t="shared" si="97"/>
        <v>Cookware Set</v>
      </c>
      <c r="Y450" t="str">
        <f t="shared" si="98"/>
        <v>Maharashtra 4</v>
      </c>
      <c r="Z450" t="str">
        <f t="shared" si="99"/>
        <v>BrandE4</v>
      </c>
      <c r="AA450" t="str">
        <f t="shared" si="100"/>
        <v>BrandE 4</v>
      </c>
      <c r="AB450" t="str">
        <f t="shared" si="101"/>
        <v>Maharashtra Website</v>
      </c>
      <c r="AC450">
        <f t="shared" si="102"/>
        <v>2</v>
      </c>
      <c r="AD450">
        <f t="shared" si="103"/>
        <v>1</v>
      </c>
      <c r="AE450" t="str">
        <f t="shared" si="104"/>
        <v>Mahaphtra Website</v>
      </c>
      <c r="AF450" t="s">
        <v>130</v>
      </c>
      <c r="AG450" t="s">
        <v>132</v>
      </c>
      <c r="AH450" t="s">
        <v>132</v>
      </c>
    </row>
    <row r="451" spans="1:34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t="s">
        <v>28</v>
      </c>
      <c r="Q451" t="str">
        <f t="shared" ref="Q451:Q501" si="105">RIGHT(H451,3)</f>
        <v>UPI</v>
      </c>
      <c r="R451" t="str">
        <f t="shared" ref="R451:R501" si="106">MID(J451,2,4)</f>
        <v>neak</v>
      </c>
      <c r="S451">
        <f t="shared" ref="S451:S501" si="107">LEN(J451)</f>
        <v>8</v>
      </c>
      <c r="T451" t="str">
        <f t="shared" ref="T451:T501" si="108">TRIM(J451)</f>
        <v>Sneakers</v>
      </c>
      <c r="U451">
        <f t="shared" ref="U451:U501" si="109">LEN(T451)</f>
        <v>8</v>
      </c>
      <c r="V451" t="str">
        <f t="shared" ref="V451:V501" si="110">UPPER(T451)</f>
        <v>SNEAKERS</v>
      </c>
      <c r="W451" t="str">
        <f t="shared" ref="W451:W501" si="111">LOWER(V451)</f>
        <v>sneakers</v>
      </c>
      <c r="X451" t="str">
        <f t="shared" ref="X451:X501" si="112">PROPER(W451)</f>
        <v>Sneakers</v>
      </c>
      <c r="Y451" t="str">
        <f t="shared" ref="Y451:Y501" si="113">_xlfn.CONCAT(F451," ",L451)</f>
        <v>Tamil Nadu 7</v>
      </c>
      <c r="Z451" t="str">
        <f t="shared" ref="Z451:Z501" si="114">_xlfn.CONCAT(K451:L451)</f>
        <v>BrandD7</v>
      </c>
      <c r="AA451" t="str">
        <f t="shared" ref="AA451:AA501" si="115">CONCATENATE(K451," ",L451)</f>
        <v>BrandD 7</v>
      </c>
      <c r="AB451" t="str">
        <f t="shared" ref="AB451:AB501" si="116">_xlfn.TEXTJOIN(" ",TRUE,F451:G451)</f>
        <v>Tamil Nadu Marketplace</v>
      </c>
      <c r="AC451">
        <f t="shared" ref="AC451:AC501" si="117">FIND("e",G451)</f>
        <v>5</v>
      </c>
      <c r="AD451">
        <f t="shared" ref="AD451:AD501" si="118">SEARCH("M",AB451)</f>
        <v>3</v>
      </c>
      <c r="AE451" t="str">
        <f t="shared" ref="AE451:AE501" si="119">REPLACE(AB451,5,3,"p")</f>
        <v>Tamipadu Marketplace</v>
      </c>
      <c r="AF451" t="s">
        <v>126</v>
      </c>
      <c r="AG451" t="s">
        <v>133</v>
      </c>
      <c r="AH451" t="s">
        <v>133</v>
      </c>
    </row>
    <row r="452" spans="1:34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t="s">
        <v>28</v>
      </c>
      <c r="Q452" t="str">
        <f t="shared" si="105"/>
        <v>ard</v>
      </c>
      <c r="R452" t="str">
        <f t="shared" si="106"/>
        <v>omic</v>
      </c>
      <c r="S452">
        <f t="shared" si="107"/>
        <v>6</v>
      </c>
      <c r="T452" t="str">
        <f t="shared" si="108"/>
        <v>Comics</v>
      </c>
      <c r="U452">
        <f t="shared" si="109"/>
        <v>6</v>
      </c>
      <c r="V452" t="str">
        <f t="shared" si="110"/>
        <v>COMICS</v>
      </c>
      <c r="W452" t="str">
        <f t="shared" si="111"/>
        <v>comics</v>
      </c>
      <c r="X452" t="str">
        <f t="shared" si="112"/>
        <v>Comics</v>
      </c>
      <c r="Y452" t="str">
        <f t="shared" si="113"/>
        <v>West Bengal 7</v>
      </c>
      <c r="Z452" t="str">
        <f t="shared" si="114"/>
        <v>BrandD7</v>
      </c>
      <c r="AA452" t="str">
        <f t="shared" si="115"/>
        <v>BrandD 7</v>
      </c>
      <c r="AB452" t="str">
        <f t="shared" si="116"/>
        <v>West Bengal Website</v>
      </c>
      <c r="AC452">
        <f t="shared" si="117"/>
        <v>2</v>
      </c>
      <c r="AD452" t="e">
        <f t="shared" si="118"/>
        <v>#VALUE!</v>
      </c>
      <c r="AE452" t="str">
        <f t="shared" si="119"/>
        <v>Westpngal Website</v>
      </c>
      <c r="AF452" t="s">
        <v>127</v>
      </c>
      <c r="AG452" t="s">
        <v>132</v>
      </c>
      <c r="AH452" t="s">
        <v>132</v>
      </c>
    </row>
    <row r="453" spans="1:34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t="s">
        <v>28</v>
      </c>
      <c r="Q453" t="str">
        <f t="shared" si="105"/>
        <v>ing</v>
      </c>
      <c r="R453" t="str">
        <f t="shared" si="106"/>
        <v>mart</v>
      </c>
      <c r="S453">
        <f t="shared" si="107"/>
        <v>10</v>
      </c>
      <c r="T453" t="str">
        <f t="shared" si="108"/>
        <v>Smartphone</v>
      </c>
      <c r="U453">
        <f t="shared" si="109"/>
        <v>10</v>
      </c>
      <c r="V453" t="str">
        <f t="shared" si="110"/>
        <v>SMARTPHONE</v>
      </c>
      <c r="W453" t="str">
        <f t="shared" si="111"/>
        <v>smartphone</v>
      </c>
      <c r="X453" t="str">
        <f t="shared" si="112"/>
        <v>Smartphone</v>
      </c>
      <c r="Y453" t="str">
        <f t="shared" si="113"/>
        <v>Tamil Nadu 1</v>
      </c>
      <c r="Z453" t="str">
        <f t="shared" si="114"/>
        <v>BrandD1</v>
      </c>
      <c r="AA453" t="str">
        <f t="shared" si="115"/>
        <v>BrandD 1</v>
      </c>
      <c r="AB453" t="str">
        <f t="shared" si="116"/>
        <v>Tamil Nadu Website</v>
      </c>
      <c r="AC453">
        <f t="shared" si="117"/>
        <v>2</v>
      </c>
      <c r="AD453">
        <f t="shared" si="118"/>
        <v>3</v>
      </c>
      <c r="AE453" t="str">
        <f t="shared" si="119"/>
        <v>Tamipadu Website</v>
      </c>
      <c r="AF453" t="s">
        <v>126</v>
      </c>
      <c r="AG453" t="s">
        <v>132</v>
      </c>
      <c r="AH453" t="s">
        <v>132</v>
      </c>
    </row>
    <row r="454" spans="1:34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t="s">
        <v>47</v>
      </c>
      <c r="Q454" t="str">
        <f t="shared" si="105"/>
        <v>ing</v>
      </c>
      <c r="R454" t="str">
        <f t="shared" si="106"/>
        <v>ootb</v>
      </c>
      <c r="S454">
        <f t="shared" si="107"/>
        <v>8</v>
      </c>
      <c r="T454" t="str">
        <f t="shared" si="108"/>
        <v>Football</v>
      </c>
      <c r="U454">
        <f t="shared" si="109"/>
        <v>8</v>
      </c>
      <c r="V454" t="str">
        <f t="shared" si="110"/>
        <v>FOOTBALL</v>
      </c>
      <c r="W454" t="str">
        <f t="shared" si="111"/>
        <v>football</v>
      </c>
      <c r="X454" t="str">
        <f t="shared" si="112"/>
        <v>Football</v>
      </c>
      <c r="Y454" t="str">
        <f t="shared" si="113"/>
        <v>Delhi 6</v>
      </c>
      <c r="Z454" t="str">
        <f t="shared" si="114"/>
        <v>BrandB6</v>
      </c>
      <c r="AA454" t="str">
        <f t="shared" si="115"/>
        <v>BrandB 6</v>
      </c>
      <c r="AB454" t="str">
        <f t="shared" si="116"/>
        <v>Delhi Website</v>
      </c>
      <c r="AC454">
        <f t="shared" si="117"/>
        <v>2</v>
      </c>
      <c r="AD454" t="e">
        <f t="shared" si="118"/>
        <v>#VALUE!</v>
      </c>
      <c r="AE454" t="str">
        <f t="shared" si="119"/>
        <v>Delhpebsite</v>
      </c>
      <c r="AF454" t="s">
        <v>125</v>
      </c>
      <c r="AG454" t="s">
        <v>132</v>
      </c>
      <c r="AH454" t="s">
        <v>132</v>
      </c>
    </row>
    <row r="455" spans="1:34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t="s">
        <v>28</v>
      </c>
      <c r="Q455" t="str">
        <f t="shared" si="105"/>
        <v>ard</v>
      </c>
      <c r="R455" t="str">
        <f t="shared" si="106"/>
        <v>icti</v>
      </c>
      <c r="S455">
        <f t="shared" si="107"/>
        <v>13</v>
      </c>
      <c r="T455" t="str">
        <f t="shared" si="108"/>
        <v>Fiction Novel</v>
      </c>
      <c r="U455">
        <f t="shared" si="109"/>
        <v>13</v>
      </c>
      <c r="V455" t="str">
        <f t="shared" si="110"/>
        <v>FICTION NOVEL</v>
      </c>
      <c r="W455" t="str">
        <f t="shared" si="111"/>
        <v>fiction novel</v>
      </c>
      <c r="X455" t="str">
        <f t="shared" si="112"/>
        <v>Fiction Novel</v>
      </c>
      <c r="Y455" t="str">
        <f t="shared" si="113"/>
        <v>Telangana 9</v>
      </c>
      <c r="Z455" t="str">
        <f t="shared" si="114"/>
        <v>BrandD9</v>
      </c>
      <c r="AA455" t="str">
        <f t="shared" si="115"/>
        <v>BrandD 9</v>
      </c>
      <c r="AB455" t="str">
        <f t="shared" si="116"/>
        <v>Telangana Mobile App</v>
      </c>
      <c r="AC455">
        <f t="shared" si="117"/>
        <v>6</v>
      </c>
      <c r="AD455">
        <f t="shared" si="118"/>
        <v>11</v>
      </c>
      <c r="AE455" t="str">
        <f t="shared" si="119"/>
        <v>Telapna Mobile App</v>
      </c>
      <c r="AF455" t="s">
        <v>129</v>
      </c>
      <c r="AG455" t="s">
        <v>131</v>
      </c>
      <c r="AH455" t="s">
        <v>134</v>
      </c>
    </row>
    <row r="456" spans="1:34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t="s">
        <v>45</v>
      </c>
      <c r="Q456" t="str">
        <f t="shared" si="105"/>
        <v>ard</v>
      </c>
      <c r="R456" t="str">
        <f t="shared" si="106"/>
        <v xml:space="preserve">ace </v>
      </c>
      <c r="S456">
        <f t="shared" si="107"/>
        <v>10</v>
      </c>
      <c r="T456" t="str">
        <f t="shared" si="108"/>
        <v>Face Cream</v>
      </c>
      <c r="U456">
        <f t="shared" si="109"/>
        <v>10</v>
      </c>
      <c r="V456" t="str">
        <f t="shared" si="110"/>
        <v>FACE CREAM</v>
      </c>
      <c r="W456" t="str">
        <f t="shared" si="111"/>
        <v>face cream</v>
      </c>
      <c r="X456" t="str">
        <f t="shared" si="112"/>
        <v>Face Cream</v>
      </c>
      <c r="Y456" t="str">
        <f t="shared" si="113"/>
        <v>West Bengal 2</v>
      </c>
      <c r="Z456" t="str">
        <f t="shared" si="114"/>
        <v>BrandC2</v>
      </c>
      <c r="AA456" t="str">
        <f t="shared" si="115"/>
        <v>BrandC 2</v>
      </c>
      <c r="AB456" t="str">
        <f t="shared" si="116"/>
        <v>West Bengal Mobile App</v>
      </c>
      <c r="AC456">
        <f t="shared" si="117"/>
        <v>6</v>
      </c>
      <c r="AD456">
        <f t="shared" si="118"/>
        <v>13</v>
      </c>
      <c r="AE456" t="str">
        <f t="shared" si="119"/>
        <v>Westpngal Mobile App</v>
      </c>
      <c r="AF456" t="s">
        <v>127</v>
      </c>
      <c r="AG456" t="s">
        <v>131</v>
      </c>
      <c r="AH456" t="s">
        <v>134</v>
      </c>
    </row>
    <row r="457" spans="1:34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t="s">
        <v>21</v>
      </c>
      <c r="Q457" t="str">
        <f t="shared" si="105"/>
        <v>UPI</v>
      </c>
      <c r="R457" t="str">
        <f t="shared" si="106"/>
        <v>ootb</v>
      </c>
      <c r="S457">
        <f t="shared" si="107"/>
        <v>8</v>
      </c>
      <c r="T457" t="str">
        <f t="shared" si="108"/>
        <v>Football</v>
      </c>
      <c r="U457">
        <f t="shared" si="109"/>
        <v>8</v>
      </c>
      <c r="V457" t="str">
        <f t="shared" si="110"/>
        <v>FOOTBALL</v>
      </c>
      <c r="W457" t="str">
        <f t="shared" si="111"/>
        <v>football</v>
      </c>
      <c r="X457" t="str">
        <f t="shared" si="112"/>
        <v>Football</v>
      </c>
      <c r="Y457" t="str">
        <f t="shared" si="113"/>
        <v>Karnataka 3</v>
      </c>
      <c r="Z457" t="str">
        <f t="shared" si="114"/>
        <v>BrandA3</v>
      </c>
      <c r="AA457" t="str">
        <f t="shared" si="115"/>
        <v>BrandA 3</v>
      </c>
      <c r="AB457" t="str">
        <f t="shared" si="116"/>
        <v>Karnataka Website</v>
      </c>
      <c r="AC457">
        <f t="shared" si="117"/>
        <v>2</v>
      </c>
      <c r="AD457" t="e">
        <f t="shared" si="118"/>
        <v>#VALUE!</v>
      </c>
      <c r="AE457" t="str">
        <f t="shared" si="119"/>
        <v>Karnpka Website</v>
      </c>
      <c r="AF457" t="s">
        <v>128</v>
      </c>
      <c r="AG457" t="s">
        <v>132</v>
      </c>
      <c r="AH457" t="s">
        <v>132</v>
      </c>
    </row>
    <row r="458" spans="1:34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t="s">
        <v>28</v>
      </c>
      <c r="Q458" t="str">
        <f t="shared" si="105"/>
        <v>UPI</v>
      </c>
      <c r="R458" t="str">
        <f t="shared" si="106"/>
        <v>ootb</v>
      </c>
      <c r="S458">
        <f t="shared" si="107"/>
        <v>8</v>
      </c>
      <c r="T458" t="str">
        <f t="shared" si="108"/>
        <v>Football</v>
      </c>
      <c r="U458">
        <f t="shared" si="109"/>
        <v>8</v>
      </c>
      <c r="V458" t="str">
        <f t="shared" si="110"/>
        <v>FOOTBALL</v>
      </c>
      <c r="W458" t="str">
        <f t="shared" si="111"/>
        <v>football</v>
      </c>
      <c r="X458" t="str">
        <f t="shared" si="112"/>
        <v>Football</v>
      </c>
      <c r="Y458" t="str">
        <f t="shared" si="113"/>
        <v>West Bengal 5</v>
      </c>
      <c r="Z458" t="str">
        <f t="shared" si="114"/>
        <v>BrandD5</v>
      </c>
      <c r="AA458" t="str">
        <f t="shared" si="115"/>
        <v>BrandD 5</v>
      </c>
      <c r="AB458" t="str">
        <f t="shared" si="116"/>
        <v>West Bengal Website</v>
      </c>
      <c r="AC458">
        <f t="shared" si="117"/>
        <v>2</v>
      </c>
      <c r="AD458" t="e">
        <f t="shared" si="118"/>
        <v>#VALUE!</v>
      </c>
      <c r="AE458" t="str">
        <f t="shared" si="119"/>
        <v>Westpngal Website</v>
      </c>
      <c r="AF458" t="s">
        <v>127</v>
      </c>
      <c r="AG458" t="s">
        <v>132</v>
      </c>
      <c r="AH458" t="s">
        <v>132</v>
      </c>
    </row>
    <row r="459" spans="1:34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t="s">
        <v>21</v>
      </c>
      <c r="Q459" t="str">
        <f t="shared" si="105"/>
        <v>ing</v>
      </c>
      <c r="R459" t="str">
        <f t="shared" si="106"/>
        <v>urta</v>
      </c>
      <c r="S459">
        <f t="shared" si="107"/>
        <v>8</v>
      </c>
      <c r="T459" t="str">
        <f t="shared" si="108"/>
        <v>Curtains</v>
      </c>
      <c r="U459">
        <f t="shared" si="109"/>
        <v>8</v>
      </c>
      <c r="V459" t="str">
        <f t="shared" si="110"/>
        <v>CURTAINS</v>
      </c>
      <c r="W459" t="str">
        <f t="shared" si="111"/>
        <v>curtains</v>
      </c>
      <c r="X459" t="str">
        <f t="shared" si="112"/>
        <v>Curtains</v>
      </c>
      <c r="Y459" t="str">
        <f t="shared" si="113"/>
        <v>Karnataka 9</v>
      </c>
      <c r="Z459" t="str">
        <f t="shared" si="114"/>
        <v>BrandA9</v>
      </c>
      <c r="AA459" t="str">
        <f t="shared" si="115"/>
        <v>BrandA 9</v>
      </c>
      <c r="AB459" t="str">
        <f t="shared" si="116"/>
        <v>Karnataka Mobile App</v>
      </c>
      <c r="AC459">
        <f t="shared" si="117"/>
        <v>6</v>
      </c>
      <c r="AD459">
        <f t="shared" si="118"/>
        <v>11</v>
      </c>
      <c r="AE459" t="str">
        <f t="shared" si="119"/>
        <v>Karnpka Mobile App</v>
      </c>
      <c r="AF459" t="s">
        <v>128</v>
      </c>
      <c r="AG459" t="s">
        <v>131</v>
      </c>
      <c r="AH459" t="s">
        <v>134</v>
      </c>
    </row>
    <row r="460" spans="1:34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t="s">
        <v>47</v>
      </c>
      <c r="Q460" t="str">
        <f t="shared" si="105"/>
        <v>UPI</v>
      </c>
      <c r="R460" t="str">
        <f t="shared" si="106"/>
        <v>apto</v>
      </c>
      <c r="S460">
        <f t="shared" si="107"/>
        <v>6</v>
      </c>
      <c r="T460" t="str">
        <f t="shared" si="108"/>
        <v>Laptop</v>
      </c>
      <c r="U460">
        <f t="shared" si="109"/>
        <v>6</v>
      </c>
      <c r="V460" t="str">
        <f t="shared" si="110"/>
        <v>LAPTOP</v>
      </c>
      <c r="W460" t="str">
        <f t="shared" si="111"/>
        <v>laptop</v>
      </c>
      <c r="X460" t="str">
        <f t="shared" si="112"/>
        <v>Laptop</v>
      </c>
      <c r="Y460" t="str">
        <f t="shared" si="113"/>
        <v>Karnataka 4</v>
      </c>
      <c r="Z460" t="str">
        <f t="shared" si="114"/>
        <v>BrandB4</v>
      </c>
      <c r="AA460" t="str">
        <f t="shared" si="115"/>
        <v>BrandB 4</v>
      </c>
      <c r="AB460" t="str">
        <f t="shared" si="116"/>
        <v>Karnataka Marketplace</v>
      </c>
      <c r="AC460">
        <f t="shared" si="117"/>
        <v>5</v>
      </c>
      <c r="AD460">
        <f t="shared" si="118"/>
        <v>11</v>
      </c>
      <c r="AE460" t="str">
        <f t="shared" si="119"/>
        <v>Karnpka Marketplace</v>
      </c>
      <c r="AF460" t="s">
        <v>128</v>
      </c>
      <c r="AG460" t="s">
        <v>133</v>
      </c>
      <c r="AH460" t="s">
        <v>133</v>
      </c>
    </row>
    <row r="461" spans="1:34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t="s">
        <v>21</v>
      </c>
      <c r="Q461" t="str">
        <f t="shared" si="105"/>
        <v>ard</v>
      </c>
      <c r="R461" t="str">
        <f t="shared" si="106"/>
        <v>eadp</v>
      </c>
      <c r="S461">
        <f t="shared" si="107"/>
        <v>10</v>
      </c>
      <c r="T461" t="str">
        <f t="shared" si="108"/>
        <v>Headphones</v>
      </c>
      <c r="U461">
        <f t="shared" si="109"/>
        <v>10</v>
      </c>
      <c r="V461" t="str">
        <f t="shared" si="110"/>
        <v>HEADPHONES</v>
      </c>
      <c r="W461" t="str">
        <f t="shared" si="111"/>
        <v>headphones</v>
      </c>
      <c r="X461" t="str">
        <f t="shared" si="112"/>
        <v>Headphones</v>
      </c>
      <c r="Y461" t="str">
        <f t="shared" si="113"/>
        <v>West Bengal 1</v>
      </c>
      <c r="Z461" t="str">
        <f t="shared" si="114"/>
        <v>BrandA1</v>
      </c>
      <c r="AA461" t="str">
        <f t="shared" si="115"/>
        <v>BrandA 1</v>
      </c>
      <c r="AB461" t="str">
        <f t="shared" si="116"/>
        <v>West Bengal Website</v>
      </c>
      <c r="AC461">
        <f t="shared" si="117"/>
        <v>2</v>
      </c>
      <c r="AD461" t="e">
        <f t="shared" si="118"/>
        <v>#VALUE!</v>
      </c>
      <c r="AE461" t="str">
        <f t="shared" si="119"/>
        <v>Westpngal Website</v>
      </c>
      <c r="AF461" t="s">
        <v>127</v>
      </c>
      <c r="AG461" t="s">
        <v>132</v>
      </c>
      <c r="AH461" t="s">
        <v>132</v>
      </c>
    </row>
    <row r="462" spans="1:34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t="s">
        <v>47</v>
      </c>
      <c r="Q462" t="str">
        <f t="shared" si="105"/>
        <v>ard</v>
      </c>
      <c r="R462" t="str">
        <f t="shared" si="106"/>
        <v xml:space="preserve">ace </v>
      </c>
      <c r="S462">
        <f t="shared" si="107"/>
        <v>10</v>
      </c>
      <c r="T462" t="str">
        <f t="shared" si="108"/>
        <v>Face Cream</v>
      </c>
      <c r="U462">
        <f t="shared" si="109"/>
        <v>10</v>
      </c>
      <c r="V462" t="str">
        <f t="shared" si="110"/>
        <v>FACE CREAM</v>
      </c>
      <c r="W462" t="str">
        <f t="shared" si="111"/>
        <v>face cream</v>
      </c>
      <c r="X462" t="str">
        <f t="shared" si="112"/>
        <v>Face Cream</v>
      </c>
      <c r="Y462" t="str">
        <f t="shared" si="113"/>
        <v>Karnataka 4</v>
      </c>
      <c r="Z462" t="str">
        <f t="shared" si="114"/>
        <v>BrandB4</v>
      </c>
      <c r="AA462" t="str">
        <f t="shared" si="115"/>
        <v>BrandB 4</v>
      </c>
      <c r="AB462" t="str">
        <f t="shared" si="116"/>
        <v>Karnataka Marketplace</v>
      </c>
      <c r="AC462">
        <f t="shared" si="117"/>
        <v>5</v>
      </c>
      <c r="AD462">
        <f t="shared" si="118"/>
        <v>11</v>
      </c>
      <c r="AE462" t="str">
        <f t="shared" si="119"/>
        <v>Karnpka Marketplace</v>
      </c>
      <c r="AF462" t="s">
        <v>128</v>
      </c>
      <c r="AG462" t="s">
        <v>133</v>
      </c>
      <c r="AH462" t="s">
        <v>133</v>
      </c>
    </row>
    <row r="463" spans="1:34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t="s">
        <v>45</v>
      </c>
      <c r="Q463" t="str">
        <f t="shared" si="105"/>
        <v>ard</v>
      </c>
      <c r="R463" t="str">
        <f t="shared" si="106"/>
        <v xml:space="preserve">ace </v>
      </c>
      <c r="S463">
        <f t="shared" si="107"/>
        <v>10</v>
      </c>
      <c r="T463" t="str">
        <f t="shared" si="108"/>
        <v>Face Cream</v>
      </c>
      <c r="U463">
        <f t="shared" si="109"/>
        <v>10</v>
      </c>
      <c r="V463" t="str">
        <f t="shared" si="110"/>
        <v>FACE CREAM</v>
      </c>
      <c r="W463" t="str">
        <f t="shared" si="111"/>
        <v>face cream</v>
      </c>
      <c r="X463" t="str">
        <f t="shared" si="112"/>
        <v>Face Cream</v>
      </c>
      <c r="Y463" t="str">
        <f t="shared" si="113"/>
        <v>Karnataka 6</v>
      </c>
      <c r="Z463" t="str">
        <f t="shared" si="114"/>
        <v>BrandC6</v>
      </c>
      <c r="AA463" t="str">
        <f t="shared" si="115"/>
        <v>BrandC 6</v>
      </c>
      <c r="AB463" t="str">
        <f t="shared" si="116"/>
        <v>Karnataka Mobile App</v>
      </c>
      <c r="AC463">
        <f t="shared" si="117"/>
        <v>6</v>
      </c>
      <c r="AD463">
        <f t="shared" si="118"/>
        <v>11</v>
      </c>
      <c r="AE463" t="str">
        <f t="shared" si="119"/>
        <v>Karnpka Mobile App</v>
      </c>
      <c r="AF463" t="s">
        <v>128</v>
      </c>
      <c r="AG463" t="s">
        <v>131</v>
      </c>
      <c r="AH463" t="s">
        <v>134</v>
      </c>
    </row>
    <row r="464" spans="1:34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t="s">
        <v>47</v>
      </c>
      <c r="Q464" t="str">
        <f t="shared" si="105"/>
        <v>ery</v>
      </c>
      <c r="R464" t="str">
        <f t="shared" si="106"/>
        <v xml:space="preserve">oga </v>
      </c>
      <c r="S464">
        <f t="shared" si="107"/>
        <v>8</v>
      </c>
      <c r="T464" t="str">
        <f t="shared" si="108"/>
        <v>Yoga Mat</v>
      </c>
      <c r="U464">
        <f t="shared" si="109"/>
        <v>8</v>
      </c>
      <c r="V464" t="str">
        <f t="shared" si="110"/>
        <v>YOGA MAT</v>
      </c>
      <c r="W464" t="str">
        <f t="shared" si="111"/>
        <v>yoga mat</v>
      </c>
      <c r="X464" t="str">
        <f t="shared" si="112"/>
        <v>Yoga Mat</v>
      </c>
      <c r="Y464" t="str">
        <f t="shared" si="113"/>
        <v>Delhi 5</v>
      </c>
      <c r="Z464" t="str">
        <f t="shared" si="114"/>
        <v>BrandB5</v>
      </c>
      <c r="AA464" t="str">
        <f t="shared" si="115"/>
        <v>BrandB 5</v>
      </c>
      <c r="AB464" t="str">
        <f t="shared" si="116"/>
        <v>Delhi Website</v>
      </c>
      <c r="AC464">
        <f t="shared" si="117"/>
        <v>2</v>
      </c>
      <c r="AD464" t="e">
        <f t="shared" si="118"/>
        <v>#VALUE!</v>
      </c>
      <c r="AE464" t="str">
        <f t="shared" si="119"/>
        <v>Delhpebsite</v>
      </c>
      <c r="AF464" t="s">
        <v>125</v>
      </c>
      <c r="AG464" t="s">
        <v>132</v>
      </c>
      <c r="AH464" t="s">
        <v>132</v>
      </c>
    </row>
    <row r="465" spans="1:34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t="s">
        <v>47</v>
      </c>
      <c r="Q465" t="str">
        <f t="shared" si="105"/>
        <v>ing</v>
      </c>
      <c r="R465" t="str">
        <f t="shared" si="106"/>
        <v>eans</v>
      </c>
      <c r="S465">
        <f t="shared" si="107"/>
        <v>5</v>
      </c>
      <c r="T465" t="str">
        <f t="shared" si="108"/>
        <v>Jeans</v>
      </c>
      <c r="U465">
        <f t="shared" si="109"/>
        <v>5</v>
      </c>
      <c r="V465" t="str">
        <f t="shared" si="110"/>
        <v>JEANS</v>
      </c>
      <c r="W465" t="str">
        <f t="shared" si="111"/>
        <v>jeans</v>
      </c>
      <c r="X465" t="str">
        <f t="shared" si="112"/>
        <v>Jeans</v>
      </c>
      <c r="Y465" t="str">
        <f t="shared" si="113"/>
        <v>Tamil Nadu 1</v>
      </c>
      <c r="Z465" t="str">
        <f t="shared" si="114"/>
        <v>BrandB1</v>
      </c>
      <c r="AA465" t="str">
        <f t="shared" si="115"/>
        <v>BrandB 1</v>
      </c>
      <c r="AB465" t="str">
        <f t="shared" si="116"/>
        <v>Tamil Nadu Marketplace</v>
      </c>
      <c r="AC465">
        <f t="shared" si="117"/>
        <v>5</v>
      </c>
      <c r="AD465">
        <f t="shared" si="118"/>
        <v>3</v>
      </c>
      <c r="AE465" t="str">
        <f t="shared" si="119"/>
        <v>Tamipadu Marketplace</v>
      </c>
      <c r="AF465" t="s">
        <v>126</v>
      </c>
      <c r="AG465" t="s">
        <v>133</v>
      </c>
      <c r="AH465" t="s">
        <v>133</v>
      </c>
    </row>
    <row r="466" spans="1:34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t="s">
        <v>33</v>
      </c>
      <c r="Q466" t="str">
        <f t="shared" si="105"/>
        <v>UPI</v>
      </c>
      <c r="R466" t="str">
        <f t="shared" si="106"/>
        <v>edsh</v>
      </c>
      <c r="S466">
        <f t="shared" si="107"/>
        <v>8</v>
      </c>
      <c r="T466" t="str">
        <f t="shared" si="108"/>
        <v>Bedsheet</v>
      </c>
      <c r="U466">
        <f t="shared" si="109"/>
        <v>8</v>
      </c>
      <c r="V466" t="str">
        <f t="shared" si="110"/>
        <v>BEDSHEET</v>
      </c>
      <c r="W466" t="str">
        <f t="shared" si="111"/>
        <v>bedsheet</v>
      </c>
      <c r="X466" t="str">
        <f t="shared" si="112"/>
        <v>Bedsheet</v>
      </c>
      <c r="Y466" t="str">
        <f t="shared" si="113"/>
        <v>Tamil Nadu 4</v>
      </c>
      <c r="Z466" t="str">
        <f t="shared" si="114"/>
        <v>BrandE4</v>
      </c>
      <c r="AA466" t="str">
        <f t="shared" si="115"/>
        <v>BrandE 4</v>
      </c>
      <c r="AB466" t="str">
        <f t="shared" si="116"/>
        <v>Tamil Nadu Marketplace</v>
      </c>
      <c r="AC466">
        <f t="shared" si="117"/>
        <v>5</v>
      </c>
      <c r="AD466">
        <f t="shared" si="118"/>
        <v>3</v>
      </c>
      <c r="AE466" t="str">
        <f t="shared" si="119"/>
        <v>Tamipadu Marketplace</v>
      </c>
      <c r="AF466" t="s">
        <v>126</v>
      </c>
      <c r="AG466" t="s">
        <v>133</v>
      </c>
      <c r="AH466" t="s">
        <v>133</v>
      </c>
    </row>
    <row r="467" spans="1:34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t="s">
        <v>28</v>
      </c>
      <c r="Q467" t="str">
        <f t="shared" si="105"/>
        <v>ery</v>
      </c>
      <c r="R467" t="str">
        <f t="shared" si="106"/>
        <v>edsh</v>
      </c>
      <c r="S467">
        <f t="shared" si="107"/>
        <v>8</v>
      </c>
      <c r="T467" t="str">
        <f t="shared" si="108"/>
        <v>Bedsheet</v>
      </c>
      <c r="U467">
        <f t="shared" si="109"/>
        <v>8</v>
      </c>
      <c r="V467" t="str">
        <f t="shared" si="110"/>
        <v>BEDSHEET</v>
      </c>
      <c r="W467" t="str">
        <f t="shared" si="111"/>
        <v>bedsheet</v>
      </c>
      <c r="X467" t="str">
        <f t="shared" si="112"/>
        <v>Bedsheet</v>
      </c>
      <c r="Y467" t="str">
        <f t="shared" si="113"/>
        <v>Telangana 6</v>
      </c>
      <c r="Z467" t="str">
        <f t="shared" si="114"/>
        <v>BrandD6</v>
      </c>
      <c r="AA467" t="str">
        <f t="shared" si="115"/>
        <v>BrandD 6</v>
      </c>
      <c r="AB467" t="str">
        <f t="shared" si="116"/>
        <v>Telangana Marketplace</v>
      </c>
      <c r="AC467">
        <f t="shared" si="117"/>
        <v>5</v>
      </c>
      <c r="AD467">
        <f t="shared" si="118"/>
        <v>11</v>
      </c>
      <c r="AE467" t="str">
        <f t="shared" si="119"/>
        <v>Telapna Marketplace</v>
      </c>
      <c r="AF467" t="s">
        <v>129</v>
      </c>
      <c r="AG467" t="s">
        <v>133</v>
      </c>
      <c r="AH467" t="s">
        <v>133</v>
      </c>
    </row>
    <row r="468" spans="1:34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t="s">
        <v>28</v>
      </c>
      <c r="Q468" t="str">
        <f t="shared" si="105"/>
        <v>UPI</v>
      </c>
      <c r="R468" t="str">
        <f t="shared" si="106"/>
        <v>umbb</v>
      </c>
      <c r="S468">
        <f t="shared" si="107"/>
        <v>9</v>
      </c>
      <c r="T468" t="str">
        <f t="shared" si="108"/>
        <v>Dumbbells</v>
      </c>
      <c r="U468">
        <f t="shared" si="109"/>
        <v>9</v>
      </c>
      <c r="V468" t="str">
        <f t="shared" si="110"/>
        <v>DUMBBELLS</v>
      </c>
      <c r="W468" t="str">
        <f t="shared" si="111"/>
        <v>dumbbells</v>
      </c>
      <c r="X468" t="str">
        <f t="shared" si="112"/>
        <v>Dumbbells</v>
      </c>
      <c r="Y468" t="str">
        <f t="shared" si="113"/>
        <v>Telangana 4</v>
      </c>
      <c r="Z468" t="str">
        <f t="shared" si="114"/>
        <v>BrandD4</v>
      </c>
      <c r="AA468" t="str">
        <f t="shared" si="115"/>
        <v>BrandD 4</v>
      </c>
      <c r="AB468" t="str">
        <f t="shared" si="116"/>
        <v>Telangana Mobile App</v>
      </c>
      <c r="AC468">
        <f t="shared" si="117"/>
        <v>6</v>
      </c>
      <c r="AD468">
        <f t="shared" si="118"/>
        <v>11</v>
      </c>
      <c r="AE468" t="str">
        <f t="shared" si="119"/>
        <v>Telapna Mobile App</v>
      </c>
      <c r="AF468" t="s">
        <v>129</v>
      </c>
      <c r="AG468" t="s">
        <v>131</v>
      </c>
      <c r="AH468" t="s">
        <v>134</v>
      </c>
    </row>
    <row r="469" spans="1:34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t="s">
        <v>45</v>
      </c>
      <c r="Q469" t="str">
        <f t="shared" si="105"/>
        <v>ard</v>
      </c>
      <c r="R469" t="str">
        <f t="shared" si="106"/>
        <v>omic</v>
      </c>
      <c r="S469">
        <f t="shared" si="107"/>
        <v>6</v>
      </c>
      <c r="T469" t="str">
        <f t="shared" si="108"/>
        <v>Comics</v>
      </c>
      <c r="U469">
        <f t="shared" si="109"/>
        <v>6</v>
      </c>
      <c r="V469" t="str">
        <f t="shared" si="110"/>
        <v>COMICS</v>
      </c>
      <c r="W469" t="str">
        <f t="shared" si="111"/>
        <v>comics</v>
      </c>
      <c r="X469" t="str">
        <f t="shared" si="112"/>
        <v>Comics</v>
      </c>
      <c r="Y469" t="str">
        <f t="shared" si="113"/>
        <v>Delhi 9</v>
      </c>
      <c r="Z469" t="str">
        <f t="shared" si="114"/>
        <v>BrandC9</v>
      </c>
      <c r="AA469" t="str">
        <f t="shared" si="115"/>
        <v>BrandC 9</v>
      </c>
      <c r="AB469" t="str">
        <f t="shared" si="116"/>
        <v>Delhi Mobile App</v>
      </c>
      <c r="AC469">
        <f t="shared" si="117"/>
        <v>6</v>
      </c>
      <c r="AD469">
        <f t="shared" si="118"/>
        <v>7</v>
      </c>
      <c r="AE469" t="str">
        <f t="shared" si="119"/>
        <v>Delhpobile App</v>
      </c>
      <c r="AF469" t="s">
        <v>125</v>
      </c>
      <c r="AG469" t="s">
        <v>131</v>
      </c>
      <c r="AH469" t="s">
        <v>134</v>
      </c>
    </row>
    <row r="470" spans="1:34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t="s">
        <v>45</v>
      </c>
      <c r="Q470" t="str">
        <f t="shared" si="105"/>
        <v>ard</v>
      </c>
      <c r="R470" t="str">
        <f t="shared" si="106"/>
        <v>-Shi</v>
      </c>
      <c r="S470">
        <f t="shared" si="107"/>
        <v>7</v>
      </c>
      <c r="T470" t="str">
        <f t="shared" si="108"/>
        <v>T-Shirt</v>
      </c>
      <c r="U470">
        <f t="shared" si="109"/>
        <v>7</v>
      </c>
      <c r="V470" t="str">
        <f t="shared" si="110"/>
        <v>T-SHIRT</v>
      </c>
      <c r="W470" t="str">
        <f t="shared" si="111"/>
        <v>t-shirt</v>
      </c>
      <c r="X470" t="str">
        <f t="shared" si="112"/>
        <v>T-Shirt</v>
      </c>
      <c r="Y470" t="str">
        <f t="shared" si="113"/>
        <v>Telangana 5</v>
      </c>
      <c r="Z470" t="str">
        <f t="shared" si="114"/>
        <v>BrandC5</v>
      </c>
      <c r="AA470" t="str">
        <f t="shared" si="115"/>
        <v>BrandC 5</v>
      </c>
      <c r="AB470" t="str">
        <f t="shared" si="116"/>
        <v>Telangana Marketplace</v>
      </c>
      <c r="AC470">
        <f t="shared" si="117"/>
        <v>5</v>
      </c>
      <c r="AD470">
        <f t="shared" si="118"/>
        <v>11</v>
      </c>
      <c r="AE470" t="str">
        <f t="shared" si="119"/>
        <v>Telapna Marketplace</v>
      </c>
      <c r="AF470" t="s">
        <v>129</v>
      </c>
      <c r="AG470" t="s">
        <v>133</v>
      </c>
      <c r="AH470" t="s">
        <v>133</v>
      </c>
    </row>
    <row r="471" spans="1:34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t="s">
        <v>28</v>
      </c>
      <c r="Q471" t="str">
        <f t="shared" si="105"/>
        <v>ard</v>
      </c>
      <c r="R471" t="str">
        <f t="shared" si="106"/>
        <v xml:space="preserve">oga </v>
      </c>
      <c r="S471">
        <f t="shared" si="107"/>
        <v>8</v>
      </c>
      <c r="T471" t="str">
        <f t="shared" si="108"/>
        <v>Yoga Mat</v>
      </c>
      <c r="U471">
        <f t="shared" si="109"/>
        <v>8</v>
      </c>
      <c r="V471" t="str">
        <f t="shared" si="110"/>
        <v>YOGA MAT</v>
      </c>
      <c r="W471" t="str">
        <f t="shared" si="111"/>
        <v>yoga mat</v>
      </c>
      <c r="X471" t="str">
        <f t="shared" si="112"/>
        <v>Yoga Mat</v>
      </c>
      <c r="Y471" t="str">
        <f t="shared" si="113"/>
        <v>West Bengal 8</v>
      </c>
      <c r="Z471" t="str">
        <f t="shared" si="114"/>
        <v>BrandD8</v>
      </c>
      <c r="AA471" t="str">
        <f t="shared" si="115"/>
        <v>BrandD 8</v>
      </c>
      <c r="AB471" t="str">
        <f t="shared" si="116"/>
        <v>West Bengal Marketplace</v>
      </c>
      <c r="AC471">
        <f t="shared" si="117"/>
        <v>5</v>
      </c>
      <c r="AD471">
        <f t="shared" si="118"/>
        <v>13</v>
      </c>
      <c r="AE471" t="str">
        <f t="shared" si="119"/>
        <v>Westpngal Marketplace</v>
      </c>
      <c r="AF471" t="s">
        <v>127</v>
      </c>
      <c r="AG471" t="s">
        <v>133</v>
      </c>
      <c r="AH471" t="s">
        <v>133</v>
      </c>
    </row>
    <row r="472" spans="1:34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t="s">
        <v>33</v>
      </c>
      <c r="Q472" t="str">
        <f t="shared" si="105"/>
        <v>UPI</v>
      </c>
      <c r="R472" t="str">
        <f t="shared" si="106"/>
        <v>-Shi</v>
      </c>
      <c r="S472">
        <f t="shared" si="107"/>
        <v>7</v>
      </c>
      <c r="T472" t="str">
        <f t="shared" si="108"/>
        <v>T-Shirt</v>
      </c>
      <c r="U472">
        <f t="shared" si="109"/>
        <v>7</v>
      </c>
      <c r="V472" t="str">
        <f t="shared" si="110"/>
        <v>T-SHIRT</v>
      </c>
      <c r="W472" t="str">
        <f t="shared" si="111"/>
        <v>t-shirt</v>
      </c>
      <c r="X472" t="str">
        <f t="shared" si="112"/>
        <v>T-Shirt</v>
      </c>
      <c r="Y472" t="str">
        <f t="shared" si="113"/>
        <v>Maharashtra 9</v>
      </c>
      <c r="Z472" t="str">
        <f t="shared" si="114"/>
        <v>BrandE9</v>
      </c>
      <c r="AA472" t="str">
        <f t="shared" si="115"/>
        <v>BrandE 9</v>
      </c>
      <c r="AB472" t="str">
        <f t="shared" si="116"/>
        <v>Maharashtra Mobile App</v>
      </c>
      <c r="AC472">
        <f t="shared" si="117"/>
        <v>6</v>
      </c>
      <c r="AD472">
        <f t="shared" si="118"/>
        <v>1</v>
      </c>
      <c r="AE472" t="str">
        <f t="shared" si="119"/>
        <v>Mahaphtra Mobile App</v>
      </c>
      <c r="AF472" t="s">
        <v>130</v>
      </c>
      <c r="AG472" t="s">
        <v>131</v>
      </c>
      <c r="AH472" t="s">
        <v>134</v>
      </c>
    </row>
    <row r="473" spans="1:34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t="s">
        <v>28</v>
      </c>
      <c r="Q473" t="str">
        <f t="shared" si="105"/>
        <v>ery</v>
      </c>
      <c r="R473" t="str">
        <f t="shared" si="106"/>
        <v>-Shi</v>
      </c>
      <c r="S473">
        <f t="shared" si="107"/>
        <v>7</v>
      </c>
      <c r="T473" t="str">
        <f t="shared" si="108"/>
        <v>T-Shirt</v>
      </c>
      <c r="U473">
        <f t="shared" si="109"/>
        <v>7</v>
      </c>
      <c r="V473" t="str">
        <f t="shared" si="110"/>
        <v>T-SHIRT</v>
      </c>
      <c r="W473" t="str">
        <f t="shared" si="111"/>
        <v>t-shirt</v>
      </c>
      <c r="X473" t="str">
        <f t="shared" si="112"/>
        <v>T-Shirt</v>
      </c>
      <c r="Y473" t="str">
        <f t="shared" si="113"/>
        <v>Maharashtra 5</v>
      </c>
      <c r="Z473" t="str">
        <f t="shared" si="114"/>
        <v>BrandD5</v>
      </c>
      <c r="AA473" t="str">
        <f t="shared" si="115"/>
        <v>BrandD 5</v>
      </c>
      <c r="AB473" t="str">
        <f t="shared" si="116"/>
        <v>Maharashtra Marketplace</v>
      </c>
      <c r="AC473">
        <f t="shared" si="117"/>
        <v>5</v>
      </c>
      <c r="AD473">
        <f t="shared" si="118"/>
        <v>1</v>
      </c>
      <c r="AE473" t="str">
        <f t="shared" si="119"/>
        <v>Mahaphtra Marketplace</v>
      </c>
      <c r="AF473" t="s">
        <v>130</v>
      </c>
      <c r="AG473" t="s">
        <v>133</v>
      </c>
      <c r="AH473" t="s">
        <v>133</v>
      </c>
    </row>
    <row r="474" spans="1:34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t="s">
        <v>33</v>
      </c>
      <c r="Q474" t="str">
        <f t="shared" si="105"/>
        <v>ard</v>
      </c>
      <c r="R474" t="str">
        <f t="shared" si="106"/>
        <v>-Shi</v>
      </c>
      <c r="S474">
        <f t="shared" si="107"/>
        <v>7</v>
      </c>
      <c r="T474" t="str">
        <f t="shared" si="108"/>
        <v>T-Shirt</v>
      </c>
      <c r="U474">
        <f t="shared" si="109"/>
        <v>7</v>
      </c>
      <c r="V474" t="str">
        <f t="shared" si="110"/>
        <v>T-SHIRT</v>
      </c>
      <c r="W474" t="str">
        <f t="shared" si="111"/>
        <v>t-shirt</v>
      </c>
      <c r="X474" t="str">
        <f t="shared" si="112"/>
        <v>T-Shirt</v>
      </c>
      <c r="Y474" t="str">
        <f t="shared" si="113"/>
        <v>Maharashtra 6</v>
      </c>
      <c r="Z474" t="str">
        <f t="shared" si="114"/>
        <v>BrandE6</v>
      </c>
      <c r="AA474" t="str">
        <f t="shared" si="115"/>
        <v>BrandE 6</v>
      </c>
      <c r="AB474" t="str">
        <f t="shared" si="116"/>
        <v>Maharashtra Marketplace</v>
      </c>
      <c r="AC474">
        <f t="shared" si="117"/>
        <v>5</v>
      </c>
      <c r="AD474">
        <f t="shared" si="118"/>
        <v>1</v>
      </c>
      <c r="AE474" t="str">
        <f t="shared" si="119"/>
        <v>Mahaphtra Marketplace</v>
      </c>
      <c r="AF474" t="s">
        <v>130</v>
      </c>
      <c r="AG474" t="s">
        <v>133</v>
      </c>
      <c r="AH474" t="s">
        <v>133</v>
      </c>
    </row>
    <row r="475" spans="1:34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t="s">
        <v>45</v>
      </c>
      <c r="Q475" t="str">
        <f t="shared" si="105"/>
        <v>ery</v>
      </c>
      <c r="R475" t="str">
        <f t="shared" si="106"/>
        <v>ootb</v>
      </c>
      <c r="S475">
        <f t="shared" si="107"/>
        <v>8</v>
      </c>
      <c r="T475" t="str">
        <f t="shared" si="108"/>
        <v>Football</v>
      </c>
      <c r="U475">
        <f t="shared" si="109"/>
        <v>8</v>
      </c>
      <c r="V475" t="str">
        <f t="shared" si="110"/>
        <v>FOOTBALL</v>
      </c>
      <c r="W475" t="str">
        <f t="shared" si="111"/>
        <v>football</v>
      </c>
      <c r="X475" t="str">
        <f t="shared" si="112"/>
        <v>Football</v>
      </c>
      <c r="Y475" t="str">
        <f t="shared" si="113"/>
        <v>Delhi 1</v>
      </c>
      <c r="Z475" t="str">
        <f t="shared" si="114"/>
        <v>BrandC1</v>
      </c>
      <c r="AA475" t="str">
        <f t="shared" si="115"/>
        <v>BrandC 1</v>
      </c>
      <c r="AB475" t="str">
        <f t="shared" si="116"/>
        <v>Delhi Mobile App</v>
      </c>
      <c r="AC475">
        <f t="shared" si="117"/>
        <v>6</v>
      </c>
      <c r="AD475">
        <f t="shared" si="118"/>
        <v>7</v>
      </c>
      <c r="AE475" t="str">
        <f t="shared" si="119"/>
        <v>Delhpobile App</v>
      </c>
      <c r="AF475" t="s">
        <v>125</v>
      </c>
      <c r="AG475" t="s">
        <v>131</v>
      </c>
      <c r="AH475" t="s">
        <v>134</v>
      </c>
    </row>
    <row r="476" spans="1:34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t="s">
        <v>21</v>
      </c>
      <c r="Q476" t="str">
        <f t="shared" si="105"/>
        <v>UPI</v>
      </c>
      <c r="R476" t="str">
        <f t="shared" si="106"/>
        <v>urta</v>
      </c>
      <c r="S476">
        <f t="shared" si="107"/>
        <v>8</v>
      </c>
      <c r="T476" t="str">
        <f t="shared" si="108"/>
        <v>Curtains</v>
      </c>
      <c r="U476">
        <f t="shared" si="109"/>
        <v>8</v>
      </c>
      <c r="V476" t="str">
        <f t="shared" si="110"/>
        <v>CURTAINS</v>
      </c>
      <c r="W476" t="str">
        <f t="shared" si="111"/>
        <v>curtains</v>
      </c>
      <c r="X476" t="str">
        <f t="shared" si="112"/>
        <v>Curtains</v>
      </c>
      <c r="Y476" t="str">
        <f t="shared" si="113"/>
        <v>Delhi 7</v>
      </c>
      <c r="Z476" t="str">
        <f t="shared" si="114"/>
        <v>BrandA7</v>
      </c>
      <c r="AA476" t="str">
        <f t="shared" si="115"/>
        <v>BrandA 7</v>
      </c>
      <c r="AB476" t="str">
        <f t="shared" si="116"/>
        <v>Delhi Marketplace</v>
      </c>
      <c r="AC476">
        <f t="shared" si="117"/>
        <v>5</v>
      </c>
      <c r="AD476">
        <f t="shared" si="118"/>
        <v>7</v>
      </c>
      <c r="AE476" t="str">
        <f t="shared" si="119"/>
        <v>Delhparketplace</v>
      </c>
      <c r="AF476" t="s">
        <v>125</v>
      </c>
      <c r="AG476" t="s">
        <v>133</v>
      </c>
      <c r="AH476" t="s">
        <v>133</v>
      </c>
    </row>
    <row r="477" spans="1:34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t="s">
        <v>45</v>
      </c>
      <c r="Q477" t="str">
        <f t="shared" si="105"/>
        <v>ery</v>
      </c>
      <c r="R477" t="str">
        <f t="shared" si="106"/>
        <v>ixer</v>
      </c>
      <c r="S477">
        <f t="shared" si="107"/>
        <v>13</v>
      </c>
      <c r="T477" t="str">
        <f t="shared" si="108"/>
        <v>Mixer Grinder</v>
      </c>
      <c r="U477">
        <f t="shared" si="109"/>
        <v>13</v>
      </c>
      <c r="V477" t="str">
        <f t="shared" si="110"/>
        <v>MIXER GRINDER</v>
      </c>
      <c r="W477" t="str">
        <f t="shared" si="111"/>
        <v>mixer grinder</v>
      </c>
      <c r="X477" t="str">
        <f t="shared" si="112"/>
        <v>Mixer Grinder</v>
      </c>
      <c r="Y477" t="str">
        <f t="shared" si="113"/>
        <v>Karnataka 4</v>
      </c>
      <c r="Z477" t="str">
        <f t="shared" si="114"/>
        <v>BrandC4</v>
      </c>
      <c r="AA477" t="str">
        <f t="shared" si="115"/>
        <v>BrandC 4</v>
      </c>
      <c r="AB477" t="str">
        <f t="shared" si="116"/>
        <v>Karnataka Marketplace</v>
      </c>
      <c r="AC477">
        <f t="shared" si="117"/>
        <v>5</v>
      </c>
      <c r="AD477">
        <f t="shared" si="118"/>
        <v>11</v>
      </c>
      <c r="AE477" t="str">
        <f t="shared" si="119"/>
        <v>Karnpka Marketplace</v>
      </c>
      <c r="AF477" t="s">
        <v>128</v>
      </c>
      <c r="AG477" t="s">
        <v>133</v>
      </c>
      <c r="AH477" t="s">
        <v>133</v>
      </c>
    </row>
    <row r="478" spans="1:34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t="s">
        <v>45</v>
      </c>
      <c r="Q478" t="str">
        <f t="shared" si="105"/>
        <v>UPI</v>
      </c>
      <c r="R478" t="str">
        <f t="shared" si="106"/>
        <v>-Shi</v>
      </c>
      <c r="S478">
        <f t="shared" si="107"/>
        <v>7</v>
      </c>
      <c r="T478" t="str">
        <f t="shared" si="108"/>
        <v>T-Shirt</v>
      </c>
      <c r="U478">
        <f t="shared" si="109"/>
        <v>7</v>
      </c>
      <c r="V478" t="str">
        <f t="shared" si="110"/>
        <v>T-SHIRT</v>
      </c>
      <c r="W478" t="str">
        <f t="shared" si="111"/>
        <v>t-shirt</v>
      </c>
      <c r="X478" t="str">
        <f t="shared" si="112"/>
        <v>T-Shirt</v>
      </c>
      <c r="Y478" t="str">
        <f t="shared" si="113"/>
        <v>Maharashtra 2</v>
      </c>
      <c r="Z478" t="str">
        <f t="shared" si="114"/>
        <v>BrandC2</v>
      </c>
      <c r="AA478" t="str">
        <f t="shared" si="115"/>
        <v>BrandC 2</v>
      </c>
      <c r="AB478" t="str">
        <f t="shared" si="116"/>
        <v>Maharashtra Marketplace</v>
      </c>
      <c r="AC478">
        <f t="shared" si="117"/>
        <v>5</v>
      </c>
      <c r="AD478">
        <f t="shared" si="118"/>
        <v>1</v>
      </c>
      <c r="AE478" t="str">
        <f t="shared" si="119"/>
        <v>Mahaphtra Marketplace</v>
      </c>
      <c r="AF478" t="s">
        <v>130</v>
      </c>
      <c r="AG478" t="s">
        <v>133</v>
      </c>
      <c r="AH478" t="s">
        <v>133</v>
      </c>
    </row>
    <row r="479" spans="1:34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t="s">
        <v>47</v>
      </c>
      <c r="Q479" t="str">
        <f t="shared" si="105"/>
        <v>UPI</v>
      </c>
      <c r="R479" t="str">
        <f t="shared" si="106"/>
        <v>extb</v>
      </c>
      <c r="S479">
        <f t="shared" si="107"/>
        <v>8</v>
      </c>
      <c r="T479" t="str">
        <f t="shared" si="108"/>
        <v>Textbook</v>
      </c>
      <c r="U479">
        <f t="shared" si="109"/>
        <v>8</v>
      </c>
      <c r="V479" t="str">
        <f t="shared" si="110"/>
        <v>TEXTBOOK</v>
      </c>
      <c r="W479" t="str">
        <f t="shared" si="111"/>
        <v>textbook</v>
      </c>
      <c r="X479" t="str">
        <f t="shared" si="112"/>
        <v>Textbook</v>
      </c>
      <c r="Y479" t="str">
        <f t="shared" si="113"/>
        <v>West Bengal 5</v>
      </c>
      <c r="Z479" t="str">
        <f t="shared" si="114"/>
        <v>BrandB5</v>
      </c>
      <c r="AA479" t="str">
        <f t="shared" si="115"/>
        <v>BrandB 5</v>
      </c>
      <c r="AB479" t="str">
        <f t="shared" si="116"/>
        <v>West Bengal Mobile App</v>
      </c>
      <c r="AC479">
        <f t="shared" si="117"/>
        <v>6</v>
      </c>
      <c r="AD479">
        <f t="shared" si="118"/>
        <v>13</v>
      </c>
      <c r="AE479" t="str">
        <f t="shared" si="119"/>
        <v>Westpngal Mobile App</v>
      </c>
      <c r="AF479" t="s">
        <v>127</v>
      </c>
      <c r="AG479" t="s">
        <v>131</v>
      </c>
      <c r="AH479" t="s">
        <v>134</v>
      </c>
    </row>
    <row r="480" spans="1:34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t="s">
        <v>47</v>
      </c>
      <c r="Q480" t="str">
        <f t="shared" si="105"/>
        <v>ing</v>
      </c>
      <c r="R480" t="str">
        <f t="shared" si="106"/>
        <v>mart</v>
      </c>
      <c r="S480">
        <f t="shared" si="107"/>
        <v>10</v>
      </c>
      <c r="T480" t="str">
        <f t="shared" si="108"/>
        <v>Smartphone</v>
      </c>
      <c r="U480">
        <f t="shared" si="109"/>
        <v>10</v>
      </c>
      <c r="V480" t="str">
        <f t="shared" si="110"/>
        <v>SMARTPHONE</v>
      </c>
      <c r="W480" t="str">
        <f t="shared" si="111"/>
        <v>smartphone</v>
      </c>
      <c r="X480" t="str">
        <f t="shared" si="112"/>
        <v>Smartphone</v>
      </c>
      <c r="Y480" t="str">
        <f t="shared" si="113"/>
        <v>Telangana 3</v>
      </c>
      <c r="Z480" t="str">
        <f t="shared" si="114"/>
        <v>BrandB3</v>
      </c>
      <c r="AA480" t="str">
        <f t="shared" si="115"/>
        <v>BrandB 3</v>
      </c>
      <c r="AB480" t="str">
        <f t="shared" si="116"/>
        <v>Telangana Marketplace</v>
      </c>
      <c r="AC480">
        <f t="shared" si="117"/>
        <v>5</v>
      </c>
      <c r="AD480">
        <f t="shared" si="118"/>
        <v>11</v>
      </c>
      <c r="AE480" t="str">
        <f t="shared" si="119"/>
        <v>Telapna Marketplace</v>
      </c>
      <c r="AF480" t="s">
        <v>129</v>
      </c>
      <c r="AG480" t="s">
        <v>133</v>
      </c>
      <c r="AH480" t="s">
        <v>133</v>
      </c>
    </row>
    <row r="481" spans="1:34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t="s">
        <v>47</v>
      </c>
      <c r="Q481" t="str">
        <f t="shared" si="105"/>
        <v>UPI</v>
      </c>
      <c r="R481" t="str">
        <f t="shared" si="106"/>
        <v xml:space="preserve">oga </v>
      </c>
      <c r="S481">
        <f t="shared" si="107"/>
        <v>8</v>
      </c>
      <c r="T481" t="str">
        <f t="shared" si="108"/>
        <v>Yoga Mat</v>
      </c>
      <c r="U481">
        <f t="shared" si="109"/>
        <v>8</v>
      </c>
      <c r="V481" t="str">
        <f t="shared" si="110"/>
        <v>YOGA MAT</v>
      </c>
      <c r="W481" t="str">
        <f t="shared" si="111"/>
        <v>yoga mat</v>
      </c>
      <c r="X481" t="str">
        <f t="shared" si="112"/>
        <v>Yoga Mat</v>
      </c>
      <c r="Y481" t="str">
        <f t="shared" si="113"/>
        <v>West Bengal 6</v>
      </c>
      <c r="Z481" t="str">
        <f t="shared" si="114"/>
        <v>BrandB6</v>
      </c>
      <c r="AA481" t="str">
        <f t="shared" si="115"/>
        <v>BrandB 6</v>
      </c>
      <c r="AB481" t="str">
        <f t="shared" si="116"/>
        <v>West Bengal Mobile App</v>
      </c>
      <c r="AC481">
        <f t="shared" si="117"/>
        <v>6</v>
      </c>
      <c r="AD481">
        <f t="shared" si="118"/>
        <v>13</v>
      </c>
      <c r="AE481" t="str">
        <f t="shared" si="119"/>
        <v>Westpngal Mobile App</v>
      </c>
      <c r="AF481" t="s">
        <v>127</v>
      </c>
      <c r="AG481" t="s">
        <v>131</v>
      </c>
      <c r="AH481" t="s">
        <v>134</v>
      </c>
    </row>
    <row r="482" spans="1:34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t="s">
        <v>47</v>
      </c>
      <c r="Q482" t="str">
        <f t="shared" si="105"/>
        <v>UPI</v>
      </c>
      <c r="R482" t="str">
        <f t="shared" si="106"/>
        <v>eadp</v>
      </c>
      <c r="S482">
        <f t="shared" si="107"/>
        <v>10</v>
      </c>
      <c r="T482" t="str">
        <f t="shared" si="108"/>
        <v>Headphones</v>
      </c>
      <c r="U482">
        <f t="shared" si="109"/>
        <v>10</v>
      </c>
      <c r="V482" t="str">
        <f t="shared" si="110"/>
        <v>HEADPHONES</v>
      </c>
      <c r="W482" t="str">
        <f t="shared" si="111"/>
        <v>headphones</v>
      </c>
      <c r="X482" t="str">
        <f t="shared" si="112"/>
        <v>Headphones</v>
      </c>
      <c r="Y482" t="str">
        <f t="shared" si="113"/>
        <v>Telangana 8</v>
      </c>
      <c r="Z482" t="str">
        <f t="shared" si="114"/>
        <v>BrandB8</v>
      </c>
      <c r="AA482" t="str">
        <f t="shared" si="115"/>
        <v>BrandB 8</v>
      </c>
      <c r="AB482" t="str">
        <f t="shared" si="116"/>
        <v>Telangana Mobile App</v>
      </c>
      <c r="AC482">
        <f t="shared" si="117"/>
        <v>6</v>
      </c>
      <c r="AD482">
        <f t="shared" si="118"/>
        <v>11</v>
      </c>
      <c r="AE482" t="str">
        <f t="shared" si="119"/>
        <v>Telapna Mobile App</v>
      </c>
      <c r="AF482" t="s">
        <v>129</v>
      </c>
      <c r="AG482" t="s">
        <v>131</v>
      </c>
      <c r="AH482" t="s">
        <v>134</v>
      </c>
    </row>
    <row r="483" spans="1:34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t="s">
        <v>33</v>
      </c>
      <c r="Q483" t="str">
        <f t="shared" si="105"/>
        <v>ard</v>
      </c>
      <c r="R483" t="str">
        <f t="shared" si="106"/>
        <v>iogr</v>
      </c>
      <c r="S483">
        <f t="shared" si="107"/>
        <v>9</v>
      </c>
      <c r="T483" t="str">
        <f t="shared" si="108"/>
        <v>Biography</v>
      </c>
      <c r="U483">
        <f t="shared" si="109"/>
        <v>9</v>
      </c>
      <c r="V483" t="str">
        <f t="shared" si="110"/>
        <v>BIOGRAPHY</v>
      </c>
      <c r="W483" t="str">
        <f t="shared" si="111"/>
        <v>biography</v>
      </c>
      <c r="X483" t="str">
        <f t="shared" si="112"/>
        <v>Biography</v>
      </c>
      <c r="Y483" t="str">
        <f t="shared" si="113"/>
        <v>Maharashtra 7</v>
      </c>
      <c r="Z483" t="str">
        <f t="shared" si="114"/>
        <v>BrandE7</v>
      </c>
      <c r="AA483" t="str">
        <f t="shared" si="115"/>
        <v>BrandE 7</v>
      </c>
      <c r="AB483" t="str">
        <f t="shared" si="116"/>
        <v>Maharashtra Website</v>
      </c>
      <c r="AC483">
        <f t="shared" si="117"/>
        <v>2</v>
      </c>
      <c r="AD483">
        <f t="shared" si="118"/>
        <v>1</v>
      </c>
      <c r="AE483" t="str">
        <f t="shared" si="119"/>
        <v>Mahaphtra Website</v>
      </c>
      <c r="AF483" t="s">
        <v>130</v>
      </c>
      <c r="AG483" t="s">
        <v>132</v>
      </c>
      <c r="AH483" t="s">
        <v>132</v>
      </c>
    </row>
    <row r="484" spans="1:34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t="s">
        <v>28</v>
      </c>
      <c r="Q484" t="str">
        <f t="shared" si="105"/>
        <v>ard</v>
      </c>
      <c r="R484" t="str">
        <f t="shared" si="106"/>
        <v>rick</v>
      </c>
      <c r="S484">
        <f t="shared" si="107"/>
        <v>11</v>
      </c>
      <c r="T484" t="str">
        <f t="shared" si="108"/>
        <v>Cricket Bat</v>
      </c>
      <c r="U484">
        <f t="shared" si="109"/>
        <v>11</v>
      </c>
      <c r="V484" t="str">
        <f t="shared" si="110"/>
        <v>CRICKET BAT</v>
      </c>
      <c r="W484" t="str">
        <f t="shared" si="111"/>
        <v>cricket bat</v>
      </c>
      <c r="X484" t="str">
        <f t="shared" si="112"/>
        <v>Cricket Bat</v>
      </c>
      <c r="Y484" t="str">
        <f t="shared" si="113"/>
        <v>Maharashtra 3</v>
      </c>
      <c r="Z484" t="str">
        <f t="shared" si="114"/>
        <v>BrandD3</v>
      </c>
      <c r="AA484" t="str">
        <f t="shared" si="115"/>
        <v>BrandD 3</v>
      </c>
      <c r="AB484" t="str">
        <f t="shared" si="116"/>
        <v>Maharashtra Website</v>
      </c>
      <c r="AC484">
        <f t="shared" si="117"/>
        <v>2</v>
      </c>
      <c r="AD484">
        <f t="shared" si="118"/>
        <v>1</v>
      </c>
      <c r="AE484" t="str">
        <f t="shared" si="119"/>
        <v>Mahaphtra Website</v>
      </c>
      <c r="AF484" t="s">
        <v>130</v>
      </c>
      <c r="AG484" t="s">
        <v>132</v>
      </c>
      <c r="AH484" t="s">
        <v>132</v>
      </c>
    </row>
    <row r="485" spans="1:34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t="s">
        <v>21</v>
      </c>
      <c r="Q485" t="str">
        <f t="shared" si="105"/>
        <v>ing</v>
      </c>
      <c r="R485" t="str">
        <f t="shared" si="106"/>
        <v>eans</v>
      </c>
      <c r="S485">
        <f t="shared" si="107"/>
        <v>5</v>
      </c>
      <c r="T485" t="str">
        <f t="shared" si="108"/>
        <v>Jeans</v>
      </c>
      <c r="U485">
        <f t="shared" si="109"/>
        <v>5</v>
      </c>
      <c r="V485" t="str">
        <f t="shared" si="110"/>
        <v>JEANS</v>
      </c>
      <c r="W485" t="str">
        <f t="shared" si="111"/>
        <v>jeans</v>
      </c>
      <c r="X485" t="str">
        <f t="shared" si="112"/>
        <v>Jeans</v>
      </c>
      <c r="Y485" t="str">
        <f t="shared" si="113"/>
        <v>Maharashtra 8</v>
      </c>
      <c r="Z485" t="str">
        <f t="shared" si="114"/>
        <v>BrandA8</v>
      </c>
      <c r="AA485" t="str">
        <f t="shared" si="115"/>
        <v>BrandA 8</v>
      </c>
      <c r="AB485" t="str">
        <f t="shared" si="116"/>
        <v>Maharashtra Marketplace</v>
      </c>
      <c r="AC485">
        <f t="shared" si="117"/>
        <v>5</v>
      </c>
      <c r="AD485">
        <f t="shared" si="118"/>
        <v>1</v>
      </c>
      <c r="AE485" t="str">
        <f t="shared" si="119"/>
        <v>Mahaphtra Marketplace</v>
      </c>
      <c r="AF485" t="s">
        <v>130</v>
      </c>
      <c r="AG485" t="s">
        <v>133</v>
      </c>
      <c r="AH485" t="s">
        <v>133</v>
      </c>
    </row>
    <row r="486" spans="1:34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t="s">
        <v>45</v>
      </c>
      <c r="Q486" t="str">
        <f t="shared" si="105"/>
        <v>ing</v>
      </c>
      <c r="R486" t="str">
        <f t="shared" si="106"/>
        <v>edsh</v>
      </c>
      <c r="S486">
        <f t="shared" si="107"/>
        <v>8</v>
      </c>
      <c r="T486" t="str">
        <f t="shared" si="108"/>
        <v>Bedsheet</v>
      </c>
      <c r="U486">
        <f t="shared" si="109"/>
        <v>8</v>
      </c>
      <c r="V486" t="str">
        <f t="shared" si="110"/>
        <v>BEDSHEET</v>
      </c>
      <c r="W486" t="str">
        <f t="shared" si="111"/>
        <v>bedsheet</v>
      </c>
      <c r="X486" t="str">
        <f t="shared" si="112"/>
        <v>Bedsheet</v>
      </c>
      <c r="Y486" t="str">
        <f t="shared" si="113"/>
        <v>Delhi 2</v>
      </c>
      <c r="Z486" t="str">
        <f t="shared" si="114"/>
        <v>BrandC2</v>
      </c>
      <c r="AA486" t="str">
        <f t="shared" si="115"/>
        <v>BrandC 2</v>
      </c>
      <c r="AB486" t="str">
        <f t="shared" si="116"/>
        <v>Delhi Mobile App</v>
      </c>
      <c r="AC486">
        <f t="shared" si="117"/>
        <v>6</v>
      </c>
      <c r="AD486">
        <f t="shared" si="118"/>
        <v>7</v>
      </c>
      <c r="AE486" t="str">
        <f t="shared" si="119"/>
        <v>Delhpobile App</v>
      </c>
      <c r="AF486" t="s">
        <v>125</v>
      </c>
      <c r="AG486" t="s">
        <v>131</v>
      </c>
      <c r="AH486" t="s">
        <v>134</v>
      </c>
    </row>
    <row r="487" spans="1:34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t="s">
        <v>33</v>
      </c>
      <c r="Q487" t="str">
        <f t="shared" si="105"/>
        <v>ing</v>
      </c>
      <c r="R487" t="str">
        <f t="shared" si="106"/>
        <v>apto</v>
      </c>
      <c r="S487">
        <f t="shared" si="107"/>
        <v>6</v>
      </c>
      <c r="T487" t="str">
        <f t="shared" si="108"/>
        <v>Laptop</v>
      </c>
      <c r="U487">
        <f t="shared" si="109"/>
        <v>6</v>
      </c>
      <c r="V487" t="str">
        <f t="shared" si="110"/>
        <v>LAPTOP</v>
      </c>
      <c r="W487" t="str">
        <f t="shared" si="111"/>
        <v>laptop</v>
      </c>
      <c r="X487" t="str">
        <f t="shared" si="112"/>
        <v>Laptop</v>
      </c>
      <c r="Y487" t="str">
        <f t="shared" si="113"/>
        <v>Telangana 9</v>
      </c>
      <c r="Z487" t="str">
        <f t="shared" si="114"/>
        <v>BrandE9</v>
      </c>
      <c r="AA487" t="str">
        <f t="shared" si="115"/>
        <v>BrandE 9</v>
      </c>
      <c r="AB487" t="str">
        <f t="shared" si="116"/>
        <v>Telangana Website</v>
      </c>
      <c r="AC487">
        <f t="shared" si="117"/>
        <v>2</v>
      </c>
      <c r="AD487" t="e">
        <f t="shared" si="118"/>
        <v>#VALUE!</v>
      </c>
      <c r="AE487" t="str">
        <f t="shared" si="119"/>
        <v>Telapna Website</v>
      </c>
      <c r="AF487" t="s">
        <v>129</v>
      </c>
      <c r="AG487" t="s">
        <v>132</v>
      </c>
      <c r="AH487" t="s">
        <v>132</v>
      </c>
    </row>
    <row r="488" spans="1:34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t="s">
        <v>21</v>
      </c>
      <c r="Q488" t="str">
        <f t="shared" si="105"/>
        <v>ard</v>
      </c>
      <c r="R488" t="str">
        <f t="shared" si="106"/>
        <v>hamp</v>
      </c>
      <c r="S488">
        <f t="shared" si="107"/>
        <v>7</v>
      </c>
      <c r="T488" t="str">
        <f t="shared" si="108"/>
        <v>Shampoo</v>
      </c>
      <c r="U488">
        <f t="shared" si="109"/>
        <v>7</v>
      </c>
      <c r="V488" t="str">
        <f t="shared" si="110"/>
        <v>SHAMPOO</v>
      </c>
      <c r="W488" t="str">
        <f t="shared" si="111"/>
        <v>shampoo</v>
      </c>
      <c r="X488" t="str">
        <f t="shared" si="112"/>
        <v>Shampoo</v>
      </c>
      <c r="Y488" t="str">
        <f t="shared" si="113"/>
        <v>Delhi 4</v>
      </c>
      <c r="Z488" t="str">
        <f t="shared" si="114"/>
        <v>BrandA4</v>
      </c>
      <c r="AA488" t="str">
        <f t="shared" si="115"/>
        <v>BrandA 4</v>
      </c>
      <c r="AB488" t="str">
        <f t="shared" si="116"/>
        <v>Delhi Marketplace</v>
      </c>
      <c r="AC488">
        <f t="shared" si="117"/>
        <v>5</v>
      </c>
      <c r="AD488">
        <f t="shared" si="118"/>
        <v>7</v>
      </c>
      <c r="AE488" t="str">
        <f t="shared" si="119"/>
        <v>Delhparketplace</v>
      </c>
      <c r="AF488" t="s">
        <v>125</v>
      </c>
      <c r="AG488" t="s">
        <v>133</v>
      </c>
      <c r="AH488" t="s">
        <v>133</v>
      </c>
    </row>
    <row r="489" spans="1:34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t="s">
        <v>33</v>
      </c>
      <c r="Q489" t="str">
        <f t="shared" si="105"/>
        <v>UPI</v>
      </c>
      <c r="R489" t="str">
        <f t="shared" si="106"/>
        <v>erfu</v>
      </c>
      <c r="S489">
        <f t="shared" si="107"/>
        <v>7</v>
      </c>
      <c r="T489" t="str">
        <f t="shared" si="108"/>
        <v>Perfume</v>
      </c>
      <c r="U489">
        <f t="shared" si="109"/>
        <v>7</v>
      </c>
      <c r="V489" t="str">
        <f t="shared" si="110"/>
        <v>PERFUME</v>
      </c>
      <c r="W489" t="str">
        <f t="shared" si="111"/>
        <v>perfume</v>
      </c>
      <c r="X489" t="str">
        <f t="shared" si="112"/>
        <v>Perfume</v>
      </c>
      <c r="Y489" t="str">
        <f t="shared" si="113"/>
        <v>Delhi 1</v>
      </c>
      <c r="Z489" t="str">
        <f t="shared" si="114"/>
        <v>BrandE1</v>
      </c>
      <c r="AA489" t="str">
        <f t="shared" si="115"/>
        <v>BrandE 1</v>
      </c>
      <c r="AB489" t="str">
        <f t="shared" si="116"/>
        <v>Delhi Website</v>
      </c>
      <c r="AC489">
        <f t="shared" si="117"/>
        <v>2</v>
      </c>
      <c r="AD489" t="e">
        <f t="shared" si="118"/>
        <v>#VALUE!</v>
      </c>
      <c r="AE489" t="str">
        <f t="shared" si="119"/>
        <v>Delhpebsite</v>
      </c>
      <c r="AF489" t="s">
        <v>125</v>
      </c>
      <c r="AG489" t="s">
        <v>132</v>
      </c>
      <c r="AH489" t="s">
        <v>132</v>
      </c>
    </row>
    <row r="490" spans="1:34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t="s">
        <v>33</v>
      </c>
      <c r="Q490" t="str">
        <f t="shared" si="105"/>
        <v>ard</v>
      </c>
      <c r="R490" t="str">
        <f t="shared" si="106"/>
        <v>extb</v>
      </c>
      <c r="S490">
        <f t="shared" si="107"/>
        <v>8</v>
      </c>
      <c r="T490" t="str">
        <f t="shared" si="108"/>
        <v>Textbook</v>
      </c>
      <c r="U490">
        <f t="shared" si="109"/>
        <v>8</v>
      </c>
      <c r="V490" t="str">
        <f t="shared" si="110"/>
        <v>TEXTBOOK</v>
      </c>
      <c r="W490" t="str">
        <f t="shared" si="111"/>
        <v>textbook</v>
      </c>
      <c r="X490" t="str">
        <f t="shared" si="112"/>
        <v>Textbook</v>
      </c>
      <c r="Y490" t="str">
        <f t="shared" si="113"/>
        <v>Tamil Nadu 8</v>
      </c>
      <c r="Z490" t="str">
        <f t="shared" si="114"/>
        <v>BrandE8</v>
      </c>
      <c r="AA490" t="str">
        <f t="shared" si="115"/>
        <v>BrandE 8</v>
      </c>
      <c r="AB490" t="str">
        <f t="shared" si="116"/>
        <v>Tamil Nadu Website</v>
      </c>
      <c r="AC490">
        <f t="shared" si="117"/>
        <v>2</v>
      </c>
      <c r="AD490">
        <f t="shared" si="118"/>
        <v>3</v>
      </c>
      <c r="AE490" t="str">
        <f t="shared" si="119"/>
        <v>Tamipadu Website</v>
      </c>
      <c r="AF490" t="s">
        <v>126</v>
      </c>
      <c r="AG490" t="s">
        <v>132</v>
      </c>
      <c r="AH490" t="s">
        <v>132</v>
      </c>
    </row>
    <row r="491" spans="1:34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t="s">
        <v>45</v>
      </c>
      <c r="Q491" t="str">
        <f t="shared" si="105"/>
        <v>ery</v>
      </c>
      <c r="R491" t="str">
        <f t="shared" si="106"/>
        <v>neak</v>
      </c>
      <c r="S491">
        <f t="shared" si="107"/>
        <v>8</v>
      </c>
      <c r="T491" t="str">
        <f t="shared" si="108"/>
        <v>Sneakers</v>
      </c>
      <c r="U491">
        <f t="shared" si="109"/>
        <v>8</v>
      </c>
      <c r="V491" t="str">
        <f t="shared" si="110"/>
        <v>SNEAKERS</v>
      </c>
      <c r="W491" t="str">
        <f t="shared" si="111"/>
        <v>sneakers</v>
      </c>
      <c r="X491" t="str">
        <f t="shared" si="112"/>
        <v>Sneakers</v>
      </c>
      <c r="Y491" t="str">
        <f t="shared" si="113"/>
        <v>West Bengal 7</v>
      </c>
      <c r="Z491" t="str">
        <f t="shared" si="114"/>
        <v>BrandC7</v>
      </c>
      <c r="AA491" t="str">
        <f t="shared" si="115"/>
        <v>BrandC 7</v>
      </c>
      <c r="AB491" t="str">
        <f t="shared" si="116"/>
        <v>West Bengal Mobile App</v>
      </c>
      <c r="AC491">
        <f t="shared" si="117"/>
        <v>6</v>
      </c>
      <c r="AD491">
        <f t="shared" si="118"/>
        <v>13</v>
      </c>
      <c r="AE491" t="str">
        <f t="shared" si="119"/>
        <v>Westpngal Mobile App</v>
      </c>
      <c r="AF491" t="s">
        <v>127</v>
      </c>
      <c r="AG491" t="s">
        <v>131</v>
      </c>
      <c r="AH491" t="s">
        <v>134</v>
      </c>
    </row>
    <row r="492" spans="1:34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t="s">
        <v>28</v>
      </c>
      <c r="Q492" t="str">
        <f t="shared" si="105"/>
        <v>UPI</v>
      </c>
      <c r="R492" t="str">
        <f t="shared" si="106"/>
        <v>apto</v>
      </c>
      <c r="S492">
        <f t="shared" si="107"/>
        <v>6</v>
      </c>
      <c r="T492" t="str">
        <f t="shared" si="108"/>
        <v>Laptop</v>
      </c>
      <c r="U492">
        <f t="shared" si="109"/>
        <v>6</v>
      </c>
      <c r="V492" t="str">
        <f t="shared" si="110"/>
        <v>LAPTOP</v>
      </c>
      <c r="W492" t="str">
        <f t="shared" si="111"/>
        <v>laptop</v>
      </c>
      <c r="X492" t="str">
        <f t="shared" si="112"/>
        <v>Laptop</v>
      </c>
      <c r="Y492" t="str">
        <f t="shared" si="113"/>
        <v>West Bengal 5</v>
      </c>
      <c r="Z492" t="str">
        <f t="shared" si="114"/>
        <v>BrandD5</v>
      </c>
      <c r="AA492" t="str">
        <f t="shared" si="115"/>
        <v>BrandD 5</v>
      </c>
      <c r="AB492" t="str">
        <f t="shared" si="116"/>
        <v>West Bengal Mobile App</v>
      </c>
      <c r="AC492">
        <f t="shared" si="117"/>
        <v>6</v>
      </c>
      <c r="AD492">
        <f t="shared" si="118"/>
        <v>13</v>
      </c>
      <c r="AE492" t="str">
        <f t="shared" si="119"/>
        <v>Westpngal Mobile App</v>
      </c>
      <c r="AF492" t="s">
        <v>127</v>
      </c>
      <c r="AG492" t="s">
        <v>131</v>
      </c>
      <c r="AH492" t="s">
        <v>134</v>
      </c>
    </row>
    <row r="493" spans="1:34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t="s">
        <v>47</v>
      </c>
      <c r="Q493" t="str">
        <f t="shared" si="105"/>
        <v>ard</v>
      </c>
      <c r="R493" t="str">
        <f t="shared" si="106"/>
        <v>neak</v>
      </c>
      <c r="S493">
        <f t="shared" si="107"/>
        <v>8</v>
      </c>
      <c r="T493" t="str">
        <f t="shared" si="108"/>
        <v>Sneakers</v>
      </c>
      <c r="U493">
        <f t="shared" si="109"/>
        <v>8</v>
      </c>
      <c r="V493" t="str">
        <f t="shared" si="110"/>
        <v>SNEAKERS</v>
      </c>
      <c r="W493" t="str">
        <f t="shared" si="111"/>
        <v>sneakers</v>
      </c>
      <c r="X493" t="str">
        <f t="shared" si="112"/>
        <v>Sneakers</v>
      </c>
      <c r="Y493" t="str">
        <f t="shared" si="113"/>
        <v>Karnataka 5</v>
      </c>
      <c r="Z493" t="str">
        <f t="shared" si="114"/>
        <v>BrandB5</v>
      </c>
      <c r="AA493" t="str">
        <f t="shared" si="115"/>
        <v>BrandB 5</v>
      </c>
      <c r="AB493" t="str">
        <f t="shared" si="116"/>
        <v>Karnataka Website</v>
      </c>
      <c r="AC493">
        <f t="shared" si="117"/>
        <v>2</v>
      </c>
      <c r="AD493" t="e">
        <f t="shared" si="118"/>
        <v>#VALUE!</v>
      </c>
      <c r="AE493" t="str">
        <f t="shared" si="119"/>
        <v>Karnpka Website</v>
      </c>
      <c r="AF493" t="s">
        <v>128</v>
      </c>
      <c r="AG493" t="s">
        <v>132</v>
      </c>
      <c r="AH493" t="s">
        <v>132</v>
      </c>
    </row>
    <row r="494" spans="1:34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t="s">
        <v>28</v>
      </c>
      <c r="Q494" t="str">
        <f t="shared" si="105"/>
        <v>UPI</v>
      </c>
      <c r="R494" t="str">
        <f t="shared" si="106"/>
        <v>mart</v>
      </c>
      <c r="S494">
        <f t="shared" si="107"/>
        <v>10</v>
      </c>
      <c r="T494" t="str">
        <f t="shared" si="108"/>
        <v>Smartphone</v>
      </c>
      <c r="U494">
        <f t="shared" si="109"/>
        <v>10</v>
      </c>
      <c r="V494" t="str">
        <f t="shared" si="110"/>
        <v>SMARTPHONE</v>
      </c>
      <c r="W494" t="str">
        <f t="shared" si="111"/>
        <v>smartphone</v>
      </c>
      <c r="X494" t="str">
        <f t="shared" si="112"/>
        <v>Smartphone</v>
      </c>
      <c r="Y494" t="str">
        <f t="shared" si="113"/>
        <v>Delhi 7</v>
      </c>
      <c r="Z494" t="str">
        <f t="shared" si="114"/>
        <v>BrandD7</v>
      </c>
      <c r="AA494" t="str">
        <f t="shared" si="115"/>
        <v>BrandD 7</v>
      </c>
      <c r="AB494" t="str">
        <f t="shared" si="116"/>
        <v>Delhi Website</v>
      </c>
      <c r="AC494">
        <f t="shared" si="117"/>
        <v>2</v>
      </c>
      <c r="AD494" t="e">
        <f t="shared" si="118"/>
        <v>#VALUE!</v>
      </c>
      <c r="AE494" t="str">
        <f t="shared" si="119"/>
        <v>Delhpebsite</v>
      </c>
      <c r="AF494" t="s">
        <v>125</v>
      </c>
      <c r="AG494" t="s">
        <v>132</v>
      </c>
      <c r="AH494" t="s">
        <v>132</v>
      </c>
    </row>
    <row r="495" spans="1:34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t="s">
        <v>45</v>
      </c>
      <c r="Q495" t="str">
        <f t="shared" si="105"/>
        <v>UPI</v>
      </c>
      <c r="R495" t="str">
        <f t="shared" si="106"/>
        <v>iogr</v>
      </c>
      <c r="S495">
        <f t="shared" si="107"/>
        <v>9</v>
      </c>
      <c r="T495" t="str">
        <f t="shared" si="108"/>
        <v>Biography</v>
      </c>
      <c r="U495">
        <f t="shared" si="109"/>
        <v>9</v>
      </c>
      <c r="V495" t="str">
        <f t="shared" si="110"/>
        <v>BIOGRAPHY</v>
      </c>
      <c r="W495" t="str">
        <f t="shared" si="111"/>
        <v>biography</v>
      </c>
      <c r="X495" t="str">
        <f t="shared" si="112"/>
        <v>Biography</v>
      </c>
      <c r="Y495" t="str">
        <f t="shared" si="113"/>
        <v>Telangana 5</v>
      </c>
      <c r="Z495" t="str">
        <f t="shared" si="114"/>
        <v>BrandC5</v>
      </c>
      <c r="AA495" t="str">
        <f t="shared" si="115"/>
        <v>BrandC 5</v>
      </c>
      <c r="AB495" t="str">
        <f t="shared" si="116"/>
        <v>Telangana Mobile App</v>
      </c>
      <c r="AC495">
        <f t="shared" si="117"/>
        <v>6</v>
      </c>
      <c r="AD495">
        <f t="shared" si="118"/>
        <v>11</v>
      </c>
      <c r="AE495" t="str">
        <f t="shared" si="119"/>
        <v>Telapna Mobile App</v>
      </c>
      <c r="AF495" t="s">
        <v>129</v>
      </c>
      <c r="AG495" t="s">
        <v>131</v>
      </c>
      <c r="AH495" t="s">
        <v>134</v>
      </c>
    </row>
    <row r="496" spans="1:34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t="s">
        <v>45</v>
      </c>
      <c r="Q496" t="str">
        <f t="shared" si="105"/>
        <v>ard</v>
      </c>
      <c r="R496" t="str">
        <f t="shared" si="106"/>
        <v>omic</v>
      </c>
      <c r="S496">
        <f t="shared" si="107"/>
        <v>6</v>
      </c>
      <c r="T496" t="str">
        <f t="shared" si="108"/>
        <v>Comics</v>
      </c>
      <c r="U496">
        <f t="shared" si="109"/>
        <v>6</v>
      </c>
      <c r="V496" t="str">
        <f t="shared" si="110"/>
        <v>COMICS</v>
      </c>
      <c r="W496" t="str">
        <f t="shared" si="111"/>
        <v>comics</v>
      </c>
      <c r="X496" t="str">
        <f t="shared" si="112"/>
        <v>Comics</v>
      </c>
      <c r="Y496" t="str">
        <f t="shared" si="113"/>
        <v>Tamil Nadu 8</v>
      </c>
      <c r="Z496" t="str">
        <f t="shared" si="114"/>
        <v>BrandC8</v>
      </c>
      <c r="AA496" t="str">
        <f t="shared" si="115"/>
        <v>BrandC 8</v>
      </c>
      <c r="AB496" t="str">
        <f t="shared" si="116"/>
        <v>Tamil Nadu Marketplace</v>
      </c>
      <c r="AC496">
        <f t="shared" si="117"/>
        <v>5</v>
      </c>
      <c r="AD496">
        <f t="shared" si="118"/>
        <v>3</v>
      </c>
      <c r="AE496" t="str">
        <f t="shared" si="119"/>
        <v>Tamipadu Marketplace</v>
      </c>
      <c r="AF496" t="s">
        <v>126</v>
      </c>
      <c r="AG496" t="s">
        <v>133</v>
      </c>
      <c r="AH496" t="s">
        <v>133</v>
      </c>
    </row>
    <row r="497" spans="1:34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t="s">
        <v>45</v>
      </c>
      <c r="Q497" t="str">
        <f t="shared" si="105"/>
        <v>ing</v>
      </c>
      <c r="R497" t="str">
        <f t="shared" si="106"/>
        <v>erfu</v>
      </c>
      <c r="S497">
        <f t="shared" si="107"/>
        <v>7</v>
      </c>
      <c r="T497" t="str">
        <f t="shared" si="108"/>
        <v>Perfume</v>
      </c>
      <c r="U497">
        <f t="shared" si="109"/>
        <v>7</v>
      </c>
      <c r="V497" t="str">
        <f t="shared" si="110"/>
        <v>PERFUME</v>
      </c>
      <c r="W497" t="str">
        <f t="shared" si="111"/>
        <v>perfume</v>
      </c>
      <c r="X497" t="str">
        <f t="shared" si="112"/>
        <v>Perfume</v>
      </c>
      <c r="Y497" t="str">
        <f t="shared" si="113"/>
        <v>Tamil Nadu 6</v>
      </c>
      <c r="Z497" t="str">
        <f t="shared" si="114"/>
        <v>BrandC6</v>
      </c>
      <c r="AA497" t="str">
        <f t="shared" si="115"/>
        <v>BrandC 6</v>
      </c>
      <c r="AB497" t="str">
        <f t="shared" si="116"/>
        <v>Tamil Nadu Mobile App</v>
      </c>
      <c r="AC497">
        <f t="shared" si="117"/>
        <v>6</v>
      </c>
      <c r="AD497">
        <f t="shared" si="118"/>
        <v>3</v>
      </c>
      <c r="AE497" t="str">
        <f t="shared" si="119"/>
        <v>Tamipadu Mobile App</v>
      </c>
      <c r="AF497" t="s">
        <v>126</v>
      </c>
      <c r="AG497" t="s">
        <v>131</v>
      </c>
      <c r="AH497" t="s">
        <v>134</v>
      </c>
    </row>
    <row r="498" spans="1:34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t="s">
        <v>21</v>
      </c>
      <c r="Q498" t="str">
        <f t="shared" si="105"/>
        <v>ing</v>
      </c>
      <c r="R498" t="str">
        <f t="shared" si="106"/>
        <v>acke</v>
      </c>
      <c r="S498">
        <f t="shared" si="107"/>
        <v>6</v>
      </c>
      <c r="T498" t="str">
        <f t="shared" si="108"/>
        <v>Jacket</v>
      </c>
      <c r="U498">
        <f t="shared" si="109"/>
        <v>6</v>
      </c>
      <c r="V498" t="str">
        <f t="shared" si="110"/>
        <v>JACKET</v>
      </c>
      <c r="W498" t="str">
        <f t="shared" si="111"/>
        <v>jacket</v>
      </c>
      <c r="X498" t="str">
        <f t="shared" si="112"/>
        <v>Jacket</v>
      </c>
      <c r="Y498" t="str">
        <f t="shared" si="113"/>
        <v>West Bengal 5</v>
      </c>
      <c r="Z498" t="str">
        <f t="shared" si="114"/>
        <v>BrandA5</v>
      </c>
      <c r="AA498" t="str">
        <f t="shared" si="115"/>
        <v>BrandA 5</v>
      </c>
      <c r="AB498" t="str">
        <f t="shared" si="116"/>
        <v>West Bengal Website</v>
      </c>
      <c r="AC498">
        <f t="shared" si="117"/>
        <v>2</v>
      </c>
      <c r="AD498" t="e">
        <f t="shared" si="118"/>
        <v>#VALUE!</v>
      </c>
      <c r="AE498" t="str">
        <f t="shared" si="119"/>
        <v>Westpngal Website</v>
      </c>
      <c r="AF498" t="s">
        <v>127</v>
      </c>
      <c r="AG498" t="s">
        <v>132</v>
      </c>
      <c r="AH498" t="s">
        <v>132</v>
      </c>
    </row>
    <row r="499" spans="1:34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t="s">
        <v>28</v>
      </c>
      <c r="Q499" t="str">
        <f t="shared" si="105"/>
        <v>ard</v>
      </c>
      <c r="R499" t="str">
        <f t="shared" si="106"/>
        <v xml:space="preserve">oga </v>
      </c>
      <c r="S499">
        <f t="shared" si="107"/>
        <v>8</v>
      </c>
      <c r="T499" t="str">
        <f t="shared" si="108"/>
        <v>Yoga Mat</v>
      </c>
      <c r="U499">
        <f t="shared" si="109"/>
        <v>8</v>
      </c>
      <c r="V499" t="str">
        <f t="shared" si="110"/>
        <v>YOGA MAT</v>
      </c>
      <c r="W499" t="str">
        <f t="shared" si="111"/>
        <v>yoga mat</v>
      </c>
      <c r="X499" t="str">
        <f t="shared" si="112"/>
        <v>Yoga Mat</v>
      </c>
      <c r="Y499" t="str">
        <f t="shared" si="113"/>
        <v>Delhi 9</v>
      </c>
      <c r="Z499" t="str">
        <f t="shared" si="114"/>
        <v>BrandD9</v>
      </c>
      <c r="AA499" t="str">
        <f t="shared" si="115"/>
        <v>BrandD 9</v>
      </c>
      <c r="AB499" t="str">
        <f t="shared" si="116"/>
        <v>Delhi Marketplace</v>
      </c>
      <c r="AC499">
        <f t="shared" si="117"/>
        <v>5</v>
      </c>
      <c r="AD499">
        <f t="shared" si="118"/>
        <v>7</v>
      </c>
      <c r="AE499" t="str">
        <f t="shared" si="119"/>
        <v>Delhparketplace</v>
      </c>
      <c r="AF499" t="s">
        <v>125</v>
      </c>
      <c r="AG499" t="s">
        <v>133</v>
      </c>
      <c r="AH499" t="s">
        <v>133</v>
      </c>
    </row>
    <row r="500" spans="1:34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t="s">
        <v>28</v>
      </c>
      <c r="Q500" t="str">
        <f t="shared" si="105"/>
        <v>ard</v>
      </c>
      <c r="R500" t="str">
        <f t="shared" si="106"/>
        <v>erfu</v>
      </c>
      <c r="S500">
        <f t="shared" si="107"/>
        <v>7</v>
      </c>
      <c r="T500" t="str">
        <f t="shared" si="108"/>
        <v>Perfume</v>
      </c>
      <c r="U500">
        <f t="shared" si="109"/>
        <v>7</v>
      </c>
      <c r="V500" t="str">
        <f t="shared" si="110"/>
        <v>PERFUME</v>
      </c>
      <c r="W500" t="str">
        <f t="shared" si="111"/>
        <v>perfume</v>
      </c>
      <c r="X500" t="str">
        <f t="shared" si="112"/>
        <v>Perfume</v>
      </c>
      <c r="Y500" t="str">
        <f t="shared" si="113"/>
        <v>Karnataka 2</v>
      </c>
      <c r="Z500" t="str">
        <f t="shared" si="114"/>
        <v>BrandD2</v>
      </c>
      <c r="AA500" t="str">
        <f t="shared" si="115"/>
        <v>BrandD 2</v>
      </c>
      <c r="AB500" t="str">
        <f t="shared" si="116"/>
        <v>Karnataka Website</v>
      </c>
      <c r="AC500">
        <f t="shared" si="117"/>
        <v>2</v>
      </c>
      <c r="AD500" t="e">
        <f t="shared" si="118"/>
        <v>#VALUE!</v>
      </c>
      <c r="AE500" t="str">
        <f t="shared" si="119"/>
        <v>Karnpka Website</v>
      </c>
      <c r="AF500" t="s">
        <v>128</v>
      </c>
      <c r="AG500" t="s">
        <v>132</v>
      </c>
      <c r="AH500" t="s">
        <v>132</v>
      </c>
    </row>
    <row r="501" spans="1:34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t="s">
        <v>33</v>
      </c>
      <c r="Q501" t="str">
        <f t="shared" si="105"/>
        <v>ing</v>
      </c>
      <c r="R501" t="str">
        <f t="shared" si="106"/>
        <v>eans</v>
      </c>
      <c r="S501">
        <f t="shared" si="107"/>
        <v>5</v>
      </c>
      <c r="T501" t="str">
        <f t="shared" si="108"/>
        <v>Jeans</v>
      </c>
      <c r="U501">
        <f t="shared" si="109"/>
        <v>5</v>
      </c>
      <c r="V501" t="str">
        <f t="shared" si="110"/>
        <v>JEANS</v>
      </c>
      <c r="W501" t="str">
        <f t="shared" si="111"/>
        <v>jeans</v>
      </c>
      <c r="X501" t="str">
        <f t="shared" si="112"/>
        <v>Jeans</v>
      </c>
      <c r="Y501" t="str">
        <f t="shared" si="113"/>
        <v>Delhi 1</v>
      </c>
      <c r="Z501" t="str">
        <f t="shared" si="114"/>
        <v>BrandE1</v>
      </c>
      <c r="AA501" t="str">
        <f t="shared" si="115"/>
        <v>BrandE 1</v>
      </c>
      <c r="AB501" t="str">
        <f t="shared" si="116"/>
        <v>Delhi Marketplace</v>
      </c>
      <c r="AC501">
        <f t="shared" si="117"/>
        <v>5</v>
      </c>
      <c r="AD501">
        <f t="shared" si="118"/>
        <v>7</v>
      </c>
      <c r="AE501" t="str">
        <f t="shared" si="119"/>
        <v>Delhparketplace</v>
      </c>
      <c r="AF501" t="s">
        <v>125</v>
      </c>
      <c r="AG501" t="s">
        <v>133</v>
      </c>
      <c r="AH501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384D-359B-450C-B2F3-47BEF7C6ACD3}">
  <dimension ref="A1:Z502"/>
  <sheetViews>
    <sheetView workbookViewId="0">
      <selection activeCell="Y16" sqref="Y16"/>
    </sheetView>
  </sheetViews>
  <sheetFormatPr defaultRowHeight="14.4" x14ac:dyDescent="0.3"/>
  <cols>
    <col min="1" max="1" width="9.88671875" customWidth="1"/>
    <col min="2" max="2" width="13.21875" customWidth="1"/>
    <col min="3" max="3" width="12" customWidth="1"/>
    <col min="4" max="4" width="10.88671875" customWidth="1"/>
    <col min="5" max="5" width="9.77734375" bestFit="1" customWidth="1"/>
    <col min="6" max="6" width="11.44140625" bestFit="1" customWidth="1"/>
    <col min="7" max="7" width="14.44140625" customWidth="1"/>
    <col min="8" max="8" width="17.6640625" customWidth="1"/>
    <col min="9" max="9" width="17.5546875" customWidth="1"/>
    <col min="10" max="10" width="15" customWidth="1"/>
    <col min="11" max="11" width="7.88671875" customWidth="1"/>
    <col min="12" max="12" width="11.33203125" customWidth="1"/>
    <col min="13" max="13" width="11" customWidth="1"/>
    <col min="14" max="14" width="12.109375" customWidth="1"/>
    <col min="15" max="15" width="10.5546875" customWidth="1"/>
    <col min="17" max="17" width="11.33203125" bestFit="1" customWidth="1"/>
    <col min="19" max="19" width="15.77734375" bestFit="1" customWidth="1"/>
  </cols>
  <sheetData>
    <row r="1" spans="1:26" x14ac:dyDescent="0.3">
      <c r="A1" s="11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12" t="s">
        <v>14</v>
      </c>
      <c r="V1" s="38" t="s">
        <v>135</v>
      </c>
      <c r="W1" s="38" t="s">
        <v>100</v>
      </c>
      <c r="X1" s="37"/>
      <c r="Y1" s="37"/>
      <c r="Z1" s="37"/>
    </row>
    <row r="2" spans="1:26" x14ac:dyDescent="0.3">
      <c r="A2" s="33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0">
        <v>19907.09</v>
      </c>
      <c r="V2" s="36">
        <v>0</v>
      </c>
      <c r="W2" s="36" t="s">
        <v>136</v>
      </c>
      <c r="X2" s="37"/>
      <c r="Y2" s="38" t="s">
        <v>135</v>
      </c>
      <c r="Z2" s="38" t="s">
        <v>100</v>
      </c>
    </row>
    <row r="3" spans="1:26" x14ac:dyDescent="0.3">
      <c r="A3" s="33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0">
        <v>21590.720000000001</v>
      </c>
      <c r="V3" s="36">
        <v>40</v>
      </c>
      <c r="W3" s="36" t="s">
        <v>137</v>
      </c>
      <c r="X3" s="37"/>
      <c r="Y3" s="36">
        <v>57</v>
      </c>
      <c r="Z3" s="36" t="str">
        <f>VLOOKUP(Y3,V1:W5,2,1)</f>
        <v>C</v>
      </c>
    </row>
    <row r="4" spans="1:26" x14ac:dyDescent="0.3">
      <c r="A4" s="33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0">
        <v>17719.13</v>
      </c>
      <c r="Q4" s="30" t="s">
        <v>0</v>
      </c>
      <c r="R4" s="30" t="s">
        <v>14</v>
      </c>
      <c r="S4" s="31"/>
      <c r="T4" s="31"/>
      <c r="V4" s="36">
        <v>60</v>
      </c>
      <c r="W4" s="36" t="s">
        <v>138</v>
      </c>
      <c r="X4" s="37"/>
      <c r="Y4" s="37"/>
      <c r="Z4" s="37"/>
    </row>
    <row r="5" spans="1:26" x14ac:dyDescent="0.3">
      <c r="A5" s="33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0">
        <v>857.47</v>
      </c>
      <c r="Q5" s="32">
        <v>10007</v>
      </c>
      <c r="R5" s="32">
        <f>VLOOKUP(Q5,A1:O502,15,0)</f>
        <v>13636.89</v>
      </c>
      <c r="S5" s="31"/>
      <c r="T5" s="31"/>
      <c r="V5" s="36">
        <v>80</v>
      </c>
      <c r="W5" s="36" t="s">
        <v>139</v>
      </c>
      <c r="X5" s="37"/>
      <c r="Y5" s="37"/>
      <c r="Z5" s="37"/>
    </row>
    <row r="6" spans="1:26" x14ac:dyDescent="0.3">
      <c r="A6" s="33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0">
        <v>19664.23</v>
      </c>
      <c r="Q6" s="31"/>
      <c r="R6" s="31"/>
      <c r="S6" s="31"/>
      <c r="T6" s="31"/>
    </row>
    <row r="7" spans="1:26" x14ac:dyDescent="0.3">
      <c r="A7" s="33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0">
        <v>8611.7800000000007</v>
      </c>
      <c r="Q7" s="30" t="s">
        <v>1</v>
      </c>
      <c r="R7" s="30" t="s">
        <v>11</v>
      </c>
      <c r="S7" s="31"/>
      <c r="T7" s="31"/>
    </row>
    <row r="8" spans="1:26" x14ac:dyDescent="0.3">
      <c r="A8" s="33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0">
        <v>13636.89</v>
      </c>
      <c r="Q8" s="32">
        <v>1458</v>
      </c>
      <c r="R8" s="32">
        <f>VLOOKUP(Q8,B1:O502,11,0)</f>
        <v>8</v>
      </c>
      <c r="S8" s="31"/>
      <c r="T8" s="31"/>
    </row>
    <row r="9" spans="1:26" x14ac:dyDescent="0.3">
      <c r="A9" s="33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0">
        <v>8318.99</v>
      </c>
      <c r="Q9" s="31"/>
      <c r="R9" s="31"/>
      <c r="S9" s="31"/>
      <c r="T9" s="31"/>
    </row>
    <row r="10" spans="1:26" x14ac:dyDescent="0.3">
      <c r="A10" s="33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0">
        <v>4666.67</v>
      </c>
      <c r="Q10" s="30" t="s">
        <v>0</v>
      </c>
      <c r="R10" s="30" t="s">
        <v>4</v>
      </c>
      <c r="S10" s="30" t="s">
        <v>8</v>
      </c>
      <c r="T10" s="30" t="s">
        <v>11</v>
      </c>
    </row>
    <row r="11" spans="1:26" x14ac:dyDescent="0.3">
      <c r="A11" s="33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0">
        <v>7122.64</v>
      </c>
      <c r="Q11" s="32">
        <v>10026</v>
      </c>
      <c r="R11" s="32" t="str" cm="1">
        <f t="array" ref="R11:T11">VLOOKUP(Q11,A1:O502,{5,9,12},0)</f>
        <v>Bengaluru</v>
      </c>
      <c r="S11" s="32" t="str">
        <v>Beauty</v>
      </c>
      <c r="T11" s="32">
        <v>9</v>
      </c>
    </row>
    <row r="12" spans="1:26" x14ac:dyDescent="0.3">
      <c r="A12" s="33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0">
        <v>19231.5</v>
      </c>
    </row>
    <row r="13" spans="1:26" x14ac:dyDescent="0.3">
      <c r="A13" s="33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0">
        <v>1552.39</v>
      </c>
      <c r="Q13" s="30" t="s">
        <v>0</v>
      </c>
      <c r="R13" s="30" t="s">
        <v>4</v>
      </c>
    </row>
    <row r="14" spans="1:26" x14ac:dyDescent="0.3">
      <c r="A14" s="33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0">
        <v>25287.200000000001</v>
      </c>
      <c r="Q14" s="36">
        <v>10007</v>
      </c>
      <c r="R14" s="36" t="str">
        <f>VLOOKUP(Q14,$A$1:$O$502,5,0)</f>
        <v>Bengaluru</v>
      </c>
    </row>
    <row r="15" spans="1:26" x14ac:dyDescent="0.3">
      <c r="A15" s="33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0">
        <v>7305.04</v>
      </c>
      <c r="Q15" s="36">
        <v>10009</v>
      </c>
      <c r="R15" s="36" t="str">
        <f>VLOOKUP(Q15,$A$1:$O$502,5,0)</f>
        <v>Chennai</v>
      </c>
    </row>
    <row r="16" spans="1:26" x14ac:dyDescent="0.3">
      <c r="A16" s="33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0">
        <v>5715.28</v>
      </c>
      <c r="Q16" s="36">
        <v>10001</v>
      </c>
      <c r="R16" s="36" t="str">
        <f>VLOOKUP(Q16,$A$1:$O$502,5,0)</f>
        <v>Chennai</v>
      </c>
    </row>
    <row r="17" spans="1:18" x14ac:dyDescent="0.3">
      <c r="A17" s="33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0">
        <v>4525.42</v>
      </c>
      <c r="Q17" s="36">
        <v>10005</v>
      </c>
      <c r="R17" s="36" t="str">
        <f>VLOOKUP(Q17,$A$1:$O$502,5,0)</f>
        <v>Kolkata</v>
      </c>
    </row>
    <row r="18" spans="1:18" x14ac:dyDescent="0.3">
      <c r="A18" s="33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0">
        <v>433.35</v>
      </c>
      <c r="Q18" s="37"/>
      <c r="R18" s="37"/>
    </row>
    <row r="19" spans="1:18" x14ac:dyDescent="0.3">
      <c r="A19" s="33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0">
        <v>1840.94</v>
      </c>
      <c r="Q19" s="30" t="s">
        <v>0</v>
      </c>
      <c r="R19" s="30" t="s">
        <v>14</v>
      </c>
    </row>
    <row r="20" spans="1:18" x14ac:dyDescent="0.3">
      <c r="A20" s="33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0">
        <v>1683.51</v>
      </c>
      <c r="Q20" s="36">
        <v>10502</v>
      </c>
      <c r="R20" s="36">
        <f>VLOOKUP(Q20,Table2[#All],15,0)</f>
        <v>732.19</v>
      </c>
    </row>
    <row r="21" spans="1:18" x14ac:dyDescent="0.3">
      <c r="A21" s="33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0">
        <v>7522.69</v>
      </c>
      <c r="Q21" s="37"/>
      <c r="R21" s="37"/>
    </row>
    <row r="22" spans="1:18" x14ac:dyDescent="0.3">
      <c r="A22" s="33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0">
        <v>6730.5</v>
      </c>
      <c r="Q22" s="38" t="s">
        <v>1</v>
      </c>
      <c r="R22" s="30" t="s">
        <v>0</v>
      </c>
    </row>
    <row r="23" spans="1:18" x14ac:dyDescent="0.3">
      <c r="A23" s="33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0">
        <v>3812.82</v>
      </c>
      <c r="Q23" s="36">
        <v>1106</v>
      </c>
      <c r="R23" s="36">
        <f>VLOOKUP(Q23,CHOOSE({1,2},Table2[[#All],[Customer ID]],Table2[[#All],[Order ID]]),2,0)</f>
        <v>10005</v>
      </c>
    </row>
    <row r="24" spans="1:18" x14ac:dyDescent="0.3">
      <c r="A24" s="33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0">
        <v>4482.78</v>
      </c>
    </row>
    <row r="25" spans="1:18" x14ac:dyDescent="0.3">
      <c r="A25" s="33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0">
        <v>3606.31</v>
      </c>
    </row>
    <row r="26" spans="1:18" x14ac:dyDescent="0.3">
      <c r="A26" s="33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0">
        <v>17207.96</v>
      </c>
    </row>
    <row r="27" spans="1:18" x14ac:dyDescent="0.3">
      <c r="A27" s="33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0">
        <v>3798.68</v>
      </c>
      <c r="Q27" t="s">
        <v>140</v>
      </c>
    </row>
    <row r="28" spans="1:18" x14ac:dyDescent="0.3">
      <c r="A28" s="33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0">
        <v>10257.58</v>
      </c>
    </row>
    <row r="29" spans="1:18" x14ac:dyDescent="0.3">
      <c r="A29" s="33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0">
        <v>15391.82</v>
      </c>
    </row>
    <row r="30" spans="1:18" x14ac:dyDescent="0.3">
      <c r="A30" s="33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0">
        <v>1936.65</v>
      </c>
    </row>
    <row r="31" spans="1:18" x14ac:dyDescent="0.3">
      <c r="A31" s="33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0">
        <v>314.44</v>
      </c>
    </row>
    <row r="32" spans="1:18" x14ac:dyDescent="0.3">
      <c r="A32" s="33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0">
        <v>9182.6</v>
      </c>
    </row>
    <row r="33" spans="1:15" x14ac:dyDescent="0.3">
      <c r="A33" s="33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0">
        <v>2852.81</v>
      </c>
    </row>
    <row r="34" spans="1:15" x14ac:dyDescent="0.3">
      <c r="A34" s="33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0">
        <v>18833.810000000001</v>
      </c>
    </row>
    <row r="35" spans="1:15" x14ac:dyDescent="0.3">
      <c r="A35" s="33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0">
        <v>9177.5400000000009</v>
      </c>
    </row>
    <row r="36" spans="1:15" x14ac:dyDescent="0.3">
      <c r="A36" s="33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0">
        <v>24369.86</v>
      </c>
    </row>
    <row r="37" spans="1:15" x14ac:dyDescent="0.3">
      <c r="A37" s="33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0">
        <v>11639.5</v>
      </c>
    </row>
    <row r="38" spans="1:15" x14ac:dyDescent="0.3">
      <c r="A38" s="33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0">
        <v>3242.5</v>
      </c>
    </row>
    <row r="39" spans="1:15" x14ac:dyDescent="0.3">
      <c r="A39" s="33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0">
        <v>3849.78</v>
      </c>
    </row>
    <row r="40" spans="1:15" x14ac:dyDescent="0.3">
      <c r="A40" s="33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0">
        <v>14098.05</v>
      </c>
    </row>
    <row r="41" spans="1:15" x14ac:dyDescent="0.3">
      <c r="A41" s="33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0">
        <v>16649.55</v>
      </c>
    </row>
    <row r="42" spans="1:15" x14ac:dyDescent="0.3">
      <c r="A42" s="33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0">
        <v>25270.400000000001</v>
      </c>
    </row>
    <row r="43" spans="1:15" x14ac:dyDescent="0.3">
      <c r="A43" s="33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0">
        <v>3877.34</v>
      </c>
    </row>
    <row r="44" spans="1:15" x14ac:dyDescent="0.3">
      <c r="A44" s="33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0">
        <v>3979.49</v>
      </c>
    </row>
    <row r="45" spans="1:15" x14ac:dyDescent="0.3">
      <c r="A45" s="33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0">
        <v>686.43</v>
      </c>
    </row>
    <row r="46" spans="1:15" x14ac:dyDescent="0.3">
      <c r="A46" s="33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0">
        <v>2764.92</v>
      </c>
    </row>
    <row r="47" spans="1:15" x14ac:dyDescent="0.3">
      <c r="A47" s="33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0">
        <v>3202.49</v>
      </c>
    </row>
    <row r="48" spans="1:15" x14ac:dyDescent="0.3">
      <c r="A48" s="33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0">
        <v>1415.94</v>
      </c>
    </row>
    <row r="49" spans="1:15" x14ac:dyDescent="0.3">
      <c r="A49" s="33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0">
        <v>11715.78</v>
      </c>
    </row>
    <row r="50" spans="1:15" x14ac:dyDescent="0.3">
      <c r="A50" s="33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0">
        <v>19165.14</v>
      </c>
    </row>
    <row r="51" spans="1:15" x14ac:dyDescent="0.3">
      <c r="A51" s="33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0">
        <v>6482.11</v>
      </c>
    </row>
    <row r="52" spans="1:15" x14ac:dyDescent="0.3">
      <c r="A52" s="33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0">
        <v>4724.3900000000003</v>
      </c>
    </row>
    <row r="53" spans="1:15" x14ac:dyDescent="0.3">
      <c r="A53" s="33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0">
        <v>7605.28</v>
      </c>
    </row>
    <row r="54" spans="1:15" x14ac:dyDescent="0.3">
      <c r="A54" s="33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0">
        <v>11403.31</v>
      </c>
    </row>
    <row r="55" spans="1:15" x14ac:dyDescent="0.3">
      <c r="A55" s="33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0">
        <v>10286.06</v>
      </c>
    </row>
    <row r="56" spans="1:15" x14ac:dyDescent="0.3">
      <c r="A56" s="33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0">
        <v>7074.06</v>
      </c>
    </row>
    <row r="57" spans="1:15" x14ac:dyDescent="0.3">
      <c r="A57" s="33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0">
        <v>17353.87</v>
      </c>
    </row>
    <row r="58" spans="1:15" x14ac:dyDescent="0.3">
      <c r="A58" s="33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0">
        <v>7288.78</v>
      </c>
    </row>
    <row r="59" spans="1:15" x14ac:dyDescent="0.3">
      <c r="A59" s="33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0">
        <v>8137.32</v>
      </c>
    </row>
    <row r="60" spans="1:15" x14ac:dyDescent="0.3">
      <c r="A60" s="33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0">
        <v>16978.88</v>
      </c>
    </row>
    <row r="61" spans="1:15" x14ac:dyDescent="0.3">
      <c r="A61" s="33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0">
        <v>21272.1</v>
      </c>
    </row>
    <row r="62" spans="1:15" x14ac:dyDescent="0.3">
      <c r="A62" s="33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0">
        <v>2013.23</v>
      </c>
    </row>
    <row r="63" spans="1:15" x14ac:dyDescent="0.3">
      <c r="A63" s="33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0">
        <v>21426.98</v>
      </c>
    </row>
    <row r="64" spans="1:15" x14ac:dyDescent="0.3">
      <c r="A64" s="33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0">
        <v>14286.83</v>
      </c>
    </row>
    <row r="65" spans="1:15" x14ac:dyDescent="0.3">
      <c r="A65" s="33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0">
        <v>1770.04</v>
      </c>
    </row>
    <row r="66" spans="1:15" x14ac:dyDescent="0.3">
      <c r="A66" s="33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0">
        <v>4991.78</v>
      </c>
    </row>
    <row r="67" spans="1:15" x14ac:dyDescent="0.3">
      <c r="A67" s="33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0">
        <v>28649.8</v>
      </c>
    </row>
    <row r="68" spans="1:15" x14ac:dyDescent="0.3">
      <c r="A68" s="33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0">
        <v>280.61</v>
      </c>
    </row>
    <row r="69" spans="1:15" x14ac:dyDescent="0.3">
      <c r="A69" s="33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0">
        <v>8283.9599999999991</v>
      </c>
    </row>
    <row r="70" spans="1:15" x14ac:dyDescent="0.3">
      <c r="A70" s="33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0">
        <v>10470.790000000001</v>
      </c>
    </row>
    <row r="71" spans="1:15" x14ac:dyDescent="0.3">
      <c r="A71" s="33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0">
        <v>11558.88</v>
      </c>
    </row>
    <row r="72" spans="1:15" x14ac:dyDescent="0.3">
      <c r="A72" s="33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0">
        <v>10985.92</v>
      </c>
    </row>
    <row r="73" spans="1:15" x14ac:dyDescent="0.3">
      <c r="A73" s="33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0">
        <v>4742.59</v>
      </c>
    </row>
    <row r="74" spans="1:15" x14ac:dyDescent="0.3">
      <c r="A74" s="33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0">
        <v>2885.73</v>
      </c>
    </row>
    <row r="75" spans="1:15" x14ac:dyDescent="0.3">
      <c r="A75" s="33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0">
        <v>6590.67</v>
      </c>
    </row>
    <row r="76" spans="1:15" x14ac:dyDescent="0.3">
      <c r="A76" s="33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0">
        <v>8881.84</v>
      </c>
    </row>
    <row r="77" spans="1:15" x14ac:dyDescent="0.3">
      <c r="A77" s="33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0">
        <v>4882.72</v>
      </c>
    </row>
    <row r="78" spans="1:15" x14ac:dyDescent="0.3">
      <c r="A78" s="33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0">
        <v>2660.26</v>
      </c>
    </row>
    <row r="79" spans="1:15" x14ac:dyDescent="0.3">
      <c r="A79" s="33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0">
        <v>6419.98</v>
      </c>
    </row>
    <row r="80" spans="1:15" x14ac:dyDescent="0.3">
      <c r="A80" s="33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0">
        <v>9740.4</v>
      </c>
    </row>
    <row r="81" spans="1:15" x14ac:dyDescent="0.3">
      <c r="A81" s="33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0">
        <v>708.07</v>
      </c>
    </row>
    <row r="82" spans="1:15" x14ac:dyDescent="0.3">
      <c r="A82" s="33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0">
        <v>21857.46</v>
      </c>
    </row>
    <row r="83" spans="1:15" x14ac:dyDescent="0.3">
      <c r="A83" s="33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0">
        <v>4510.1400000000003</v>
      </c>
    </row>
    <row r="84" spans="1:15" x14ac:dyDescent="0.3">
      <c r="A84" s="33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0">
        <v>7579.78</v>
      </c>
    </row>
    <row r="85" spans="1:15" x14ac:dyDescent="0.3">
      <c r="A85" s="33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0">
        <v>3432.58</v>
      </c>
    </row>
    <row r="86" spans="1:15" x14ac:dyDescent="0.3">
      <c r="A86" s="33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0">
        <v>2307.15</v>
      </c>
    </row>
    <row r="87" spans="1:15" x14ac:dyDescent="0.3">
      <c r="A87" s="33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0">
        <v>1659.39</v>
      </c>
    </row>
    <row r="88" spans="1:15" x14ac:dyDescent="0.3">
      <c r="A88" s="33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0">
        <v>9131.25</v>
      </c>
    </row>
    <row r="89" spans="1:15" x14ac:dyDescent="0.3">
      <c r="A89" s="33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0">
        <v>9310.56</v>
      </c>
    </row>
    <row r="90" spans="1:15" x14ac:dyDescent="0.3">
      <c r="A90" s="33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0">
        <v>3132.05</v>
      </c>
    </row>
    <row r="91" spans="1:15" x14ac:dyDescent="0.3">
      <c r="A91" s="33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0">
        <v>6437.39</v>
      </c>
    </row>
    <row r="92" spans="1:15" x14ac:dyDescent="0.3">
      <c r="A92" s="33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0">
        <v>15167.34</v>
      </c>
    </row>
    <row r="93" spans="1:15" x14ac:dyDescent="0.3">
      <c r="A93" s="33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0">
        <v>978.49</v>
      </c>
    </row>
    <row r="94" spans="1:15" x14ac:dyDescent="0.3">
      <c r="A94" s="33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0">
        <v>13959.07</v>
      </c>
    </row>
    <row r="95" spans="1:15" x14ac:dyDescent="0.3">
      <c r="A95" s="33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0">
        <v>5801.47</v>
      </c>
    </row>
    <row r="96" spans="1:15" x14ac:dyDescent="0.3">
      <c r="A96" s="33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0">
        <v>3695.92</v>
      </c>
    </row>
    <row r="97" spans="1:15" x14ac:dyDescent="0.3">
      <c r="A97" s="33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0">
        <v>2249.89</v>
      </c>
    </row>
    <row r="98" spans="1:15" x14ac:dyDescent="0.3">
      <c r="A98" s="33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0">
        <v>4290.3</v>
      </c>
    </row>
    <row r="99" spans="1:15" x14ac:dyDescent="0.3">
      <c r="A99" s="33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0">
        <v>4631.07</v>
      </c>
    </row>
    <row r="100" spans="1:15" x14ac:dyDescent="0.3">
      <c r="A100" s="33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0">
        <v>757.8</v>
      </c>
    </row>
    <row r="101" spans="1:15" x14ac:dyDescent="0.3">
      <c r="A101" s="33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0">
        <v>19887.27</v>
      </c>
    </row>
    <row r="102" spans="1:15" x14ac:dyDescent="0.3">
      <c r="A102" s="33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0">
        <v>11445.62</v>
      </c>
    </row>
    <row r="103" spans="1:15" x14ac:dyDescent="0.3">
      <c r="A103" s="33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0">
        <v>2974.45</v>
      </c>
    </row>
    <row r="104" spans="1:15" x14ac:dyDescent="0.3">
      <c r="A104" s="33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0">
        <v>20105.900000000001</v>
      </c>
    </row>
    <row r="105" spans="1:15" x14ac:dyDescent="0.3">
      <c r="A105" s="33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0">
        <v>12075.79</v>
      </c>
    </row>
    <row r="106" spans="1:15" x14ac:dyDescent="0.3">
      <c r="A106" s="33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0">
        <v>814.63</v>
      </c>
    </row>
    <row r="107" spans="1:15" x14ac:dyDescent="0.3">
      <c r="A107" s="33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0">
        <v>10776.48</v>
      </c>
    </row>
    <row r="108" spans="1:15" x14ac:dyDescent="0.3">
      <c r="A108" s="33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0">
        <v>4517.79</v>
      </c>
    </row>
    <row r="109" spans="1:15" x14ac:dyDescent="0.3">
      <c r="A109" s="33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0">
        <v>959.33</v>
      </c>
    </row>
    <row r="110" spans="1:15" x14ac:dyDescent="0.3">
      <c r="A110" s="33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0">
        <v>11186.24</v>
      </c>
    </row>
    <row r="111" spans="1:15" x14ac:dyDescent="0.3">
      <c r="A111" s="33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0">
        <v>9968.83</v>
      </c>
    </row>
    <row r="112" spans="1:15" x14ac:dyDescent="0.3">
      <c r="A112" s="33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0">
        <v>1638.02</v>
      </c>
    </row>
    <row r="113" spans="1:15" x14ac:dyDescent="0.3">
      <c r="A113" s="33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0">
        <v>3553.89</v>
      </c>
    </row>
    <row r="114" spans="1:15" x14ac:dyDescent="0.3">
      <c r="A114" s="33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0">
        <v>10837.3</v>
      </c>
    </row>
    <row r="115" spans="1:15" x14ac:dyDescent="0.3">
      <c r="A115" s="33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0">
        <v>9771.68</v>
      </c>
    </row>
    <row r="116" spans="1:15" x14ac:dyDescent="0.3">
      <c r="A116" s="33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0">
        <v>7242.18</v>
      </c>
    </row>
    <row r="117" spans="1:15" x14ac:dyDescent="0.3">
      <c r="A117" s="33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0">
        <v>5822.31</v>
      </c>
    </row>
    <row r="118" spans="1:15" x14ac:dyDescent="0.3">
      <c r="A118" s="33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0">
        <v>17062.900000000001</v>
      </c>
    </row>
    <row r="119" spans="1:15" x14ac:dyDescent="0.3">
      <c r="A119" s="33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0">
        <v>3685.94</v>
      </c>
    </row>
    <row r="120" spans="1:15" x14ac:dyDescent="0.3">
      <c r="A120" s="33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0">
        <v>26717.439999999999</v>
      </c>
    </row>
    <row r="121" spans="1:15" x14ac:dyDescent="0.3">
      <c r="A121" s="33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0">
        <v>19248.16</v>
      </c>
    </row>
    <row r="122" spans="1:15" x14ac:dyDescent="0.3">
      <c r="A122" s="33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0">
        <v>14161.4</v>
      </c>
    </row>
    <row r="123" spans="1:15" x14ac:dyDescent="0.3">
      <c r="A123" s="33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0">
        <v>6993.65</v>
      </c>
    </row>
    <row r="124" spans="1:15" x14ac:dyDescent="0.3">
      <c r="A124" s="33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0">
        <v>5882.8</v>
      </c>
    </row>
    <row r="125" spans="1:15" x14ac:dyDescent="0.3">
      <c r="A125" s="33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0">
        <v>7358.61</v>
      </c>
    </row>
    <row r="126" spans="1:15" x14ac:dyDescent="0.3">
      <c r="A126" s="33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0">
        <v>31051.71</v>
      </c>
    </row>
    <row r="127" spans="1:15" x14ac:dyDescent="0.3">
      <c r="A127" s="33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0">
        <v>28288.87</v>
      </c>
    </row>
    <row r="128" spans="1:15" x14ac:dyDescent="0.3">
      <c r="A128" s="33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0">
        <v>9969.5300000000007</v>
      </c>
    </row>
    <row r="129" spans="1:15" x14ac:dyDescent="0.3">
      <c r="A129" s="33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0">
        <v>3958.56</v>
      </c>
    </row>
    <row r="130" spans="1:15" x14ac:dyDescent="0.3">
      <c r="A130" s="33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0">
        <v>4865.01</v>
      </c>
    </row>
    <row r="131" spans="1:15" x14ac:dyDescent="0.3">
      <c r="A131" s="33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0">
        <v>2407.75</v>
      </c>
    </row>
    <row r="132" spans="1:15" x14ac:dyDescent="0.3">
      <c r="A132" s="33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0">
        <v>11301.73</v>
      </c>
    </row>
    <row r="133" spans="1:15" x14ac:dyDescent="0.3">
      <c r="A133" s="33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0">
        <v>12614.92</v>
      </c>
    </row>
    <row r="134" spans="1:15" x14ac:dyDescent="0.3">
      <c r="A134" s="33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0">
        <v>3990.85</v>
      </c>
    </row>
    <row r="135" spans="1:15" x14ac:dyDescent="0.3">
      <c r="A135" s="33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0">
        <v>6023.85</v>
      </c>
    </row>
    <row r="136" spans="1:15" x14ac:dyDescent="0.3">
      <c r="A136" s="33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0">
        <v>10942.06</v>
      </c>
    </row>
    <row r="137" spans="1:15" x14ac:dyDescent="0.3">
      <c r="A137" s="33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0">
        <v>10855.74</v>
      </c>
    </row>
    <row r="138" spans="1:15" x14ac:dyDescent="0.3">
      <c r="A138" s="33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0">
        <v>2247.91</v>
      </c>
    </row>
    <row r="139" spans="1:15" x14ac:dyDescent="0.3">
      <c r="A139" s="33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0">
        <v>912.67</v>
      </c>
    </row>
    <row r="140" spans="1:15" x14ac:dyDescent="0.3">
      <c r="A140" s="33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0">
        <v>725.24</v>
      </c>
    </row>
    <row r="141" spans="1:15" x14ac:dyDescent="0.3">
      <c r="A141" s="33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0">
        <v>11409.31</v>
      </c>
    </row>
    <row r="142" spans="1:15" x14ac:dyDescent="0.3">
      <c r="A142" s="33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0">
        <v>3179.56</v>
      </c>
    </row>
    <row r="143" spans="1:15" x14ac:dyDescent="0.3">
      <c r="A143" s="33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0">
        <v>2063.0500000000002</v>
      </c>
    </row>
    <row r="144" spans="1:15" x14ac:dyDescent="0.3">
      <c r="A144" s="33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0">
        <v>24473.53</v>
      </c>
    </row>
    <row r="145" spans="1:15" x14ac:dyDescent="0.3">
      <c r="A145" s="33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0">
        <v>20087.810000000001</v>
      </c>
    </row>
    <row r="146" spans="1:15" x14ac:dyDescent="0.3">
      <c r="A146" s="33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0">
        <v>3523.12</v>
      </c>
    </row>
    <row r="147" spans="1:15" x14ac:dyDescent="0.3">
      <c r="A147" s="33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0">
        <v>7911.36</v>
      </c>
    </row>
    <row r="148" spans="1:15" x14ac:dyDescent="0.3">
      <c r="A148" s="33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0">
        <v>10560.22</v>
      </c>
    </row>
    <row r="149" spans="1:15" x14ac:dyDescent="0.3">
      <c r="A149" s="33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0">
        <v>8692</v>
      </c>
    </row>
    <row r="150" spans="1:15" x14ac:dyDescent="0.3">
      <c r="A150" s="33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0">
        <v>19980.439999999999</v>
      </c>
    </row>
    <row r="151" spans="1:15" x14ac:dyDescent="0.3">
      <c r="A151" s="33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0">
        <v>5616.12</v>
      </c>
    </row>
    <row r="152" spans="1:15" x14ac:dyDescent="0.3">
      <c r="A152" s="33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0">
        <v>6209.68</v>
      </c>
    </row>
    <row r="153" spans="1:15" x14ac:dyDescent="0.3">
      <c r="A153" s="33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0">
        <v>2924.2</v>
      </c>
    </row>
    <row r="154" spans="1:15" x14ac:dyDescent="0.3">
      <c r="A154" s="33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0">
        <v>1899.23</v>
      </c>
    </row>
    <row r="155" spans="1:15" x14ac:dyDescent="0.3">
      <c r="A155" s="33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0">
        <v>1529.12</v>
      </c>
    </row>
    <row r="156" spans="1:15" x14ac:dyDescent="0.3">
      <c r="A156" s="33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0">
        <v>4903.3100000000004</v>
      </c>
    </row>
    <row r="157" spans="1:15" x14ac:dyDescent="0.3">
      <c r="A157" s="33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0">
        <v>2273.12</v>
      </c>
    </row>
    <row r="158" spans="1:15" x14ac:dyDescent="0.3">
      <c r="A158" s="33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0">
        <v>8437.84</v>
      </c>
    </row>
    <row r="159" spans="1:15" x14ac:dyDescent="0.3">
      <c r="A159" s="33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0">
        <v>22753.34</v>
      </c>
    </row>
    <row r="160" spans="1:15" x14ac:dyDescent="0.3">
      <c r="A160" s="33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0">
        <v>22804.62</v>
      </c>
    </row>
    <row r="161" spans="1:15" x14ac:dyDescent="0.3">
      <c r="A161" s="33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0">
        <v>5026.34</v>
      </c>
    </row>
    <row r="162" spans="1:15" x14ac:dyDescent="0.3">
      <c r="A162" s="33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0">
        <v>8412.41</v>
      </c>
    </row>
    <row r="163" spans="1:15" x14ac:dyDescent="0.3">
      <c r="A163" s="33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0">
        <v>9329.68</v>
      </c>
    </row>
    <row r="164" spans="1:15" x14ac:dyDescent="0.3">
      <c r="A164" s="33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0">
        <v>975.38</v>
      </c>
    </row>
    <row r="165" spans="1:15" x14ac:dyDescent="0.3">
      <c r="A165" s="33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0">
        <v>922.66</v>
      </c>
    </row>
    <row r="166" spans="1:15" x14ac:dyDescent="0.3">
      <c r="A166" s="33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0">
        <v>11899.62</v>
      </c>
    </row>
    <row r="167" spans="1:15" x14ac:dyDescent="0.3">
      <c r="A167" s="33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0">
        <v>6809.18</v>
      </c>
    </row>
    <row r="168" spans="1:15" x14ac:dyDescent="0.3">
      <c r="A168" s="33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0">
        <v>10513.77</v>
      </c>
    </row>
    <row r="169" spans="1:15" x14ac:dyDescent="0.3">
      <c r="A169" s="33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0">
        <v>1423.4</v>
      </c>
    </row>
    <row r="170" spans="1:15" x14ac:dyDescent="0.3">
      <c r="A170" s="33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0">
        <v>16402.37</v>
      </c>
    </row>
    <row r="171" spans="1:15" x14ac:dyDescent="0.3">
      <c r="A171" s="33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0">
        <v>19716.98</v>
      </c>
    </row>
    <row r="172" spans="1:15" x14ac:dyDescent="0.3">
      <c r="A172" s="33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0">
        <v>28842.080000000002</v>
      </c>
    </row>
    <row r="173" spans="1:15" x14ac:dyDescent="0.3">
      <c r="A173" s="33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0">
        <v>22746.38</v>
      </c>
    </row>
    <row r="174" spans="1:15" x14ac:dyDescent="0.3">
      <c r="A174" s="33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0">
        <v>3869.64</v>
      </c>
    </row>
    <row r="175" spans="1:15" x14ac:dyDescent="0.3">
      <c r="A175" s="33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0">
        <v>2815.99</v>
      </c>
    </row>
    <row r="176" spans="1:15" x14ac:dyDescent="0.3">
      <c r="A176" s="33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0">
        <v>9075.8700000000008</v>
      </c>
    </row>
    <row r="177" spans="1:15" x14ac:dyDescent="0.3">
      <c r="A177" s="33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0">
        <v>7371.19</v>
      </c>
    </row>
    <row r="178" spans="1:15" x14ac:dyDescent="0.3">
      <c r="A178" s="33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0">
        <v>2329.9299999999998</v>
      </c>
    </row>
    <row r="179" spans="1:15" x14ac:dyDescent="0.3">
      <c r="A179" s="33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0">
        <v>1096.77</v>
      </c>
    </row>
    <row r="180" spans="1:15" x14ac:dyDescent="0.3">
      <c r="A180" s="33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0">
        <v>3144.91</v>
      </c>
    </row>
    <row r="181" spans="1:15" x14ac:dyDescent="0.3">
      <c r="A181" s="33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0">
        <v>15920.42</v>
      </c>
    </row>
    <row r="182" spans="1:15" x14ac:dyDescent="0.3">
      <c r="A182" s="33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0">
        <v>9317.52</v>
      </c>
    </row>
    <row r="183" spans="1:15" x14ac:dyDescent="0.3">
      <c r="A183" s="33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0">
        <v>11563.74</v>
      </c>
    </row>
    <row r="184" spans="1:15" x14ac:dyDescent="0.3">
      <c r="A184" s="33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0">
        <v>3685.19</v>
      </c>
    </row>
    <row r="185" spans="1:15" x14ac:dyDescent="0.3">
      <c r="A185" s="33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0">
        <v>9034.44</v>
      </c>
    </row>
    <row r="186" spans="1:15" x14ac:dyDescent="0.3">
      <c r="A186" s="33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0">
        <v>6290.34</v>
      </c>
    </row>
    <row r="187" spans="1:15" x14ac:dyDescent="0.3">
      <c r="A187" s="33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0">
        <v>508.81</v>
      </c>
    </row>
    <row r="188" spans="1:15" x14ac:dyDescent="0.3">
      <c r="A188" s="33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0">
        <v>1557.37</v>
      </c>
    </row>
    <row r="189" spans="1:15" x14ac:dyDescent="0.3">
      <c r="A189" s="33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0">
        <v>2102.89</v>
      </c>
    </row>
    <row r="190" spans="1:15" x14ac:dyDescent="0.3">
      <c r="A190" s="33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0">
        <v>1806.95</v>
      </c>
    </row>
    <row r="191" spans="1:15" x14ac:dyDescent="0.3">
      <c r="A191" s="33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0">
        <v>2607.92</v>
      </c>
    </row>
    <row r="192" spans="1:15" x14ac:dyDescent="0.3">
      <c r="A192" s="33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0">
        <v>6834.47</v>
      </c>
    </row>
    <row r="193" spans="1:15" x14ac:dyDescent="0.3">
      <c r="A193" s="33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0">
        <v>828.29</v>
      </c>
    </row>
    <row r="194" spans="1:15" x14ac:dyDescent="0.3">
      <c r="A194" s="33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0">
        <v>1687.01</v>
      </c>
    </row>
    <row r="195" spans="1:15" x14ac:dyDescent="0.3">
      <c r="A195" s="33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0">
        <v>1519.82</v>
      </c>
    </row>
    <row r="196" spans="1:15" x14ac:dyDescent="0.3">
      <c r="A196" s="33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0">
        <v>1861.11</v>
      </c>
    </row>
    <row r="197" spans="1:15" x14ac:dyDescent="0.3">
      <c r="A197" s="33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0">
        <v>20494.88</v>
      </c>
    </row>
    <row r="198" spans="1:15" x14ac:dyDescent="0.3">
      <c r="A198" s="33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0">
        <v>4522.3599999999997</v>
      </c>
    </row>
    <row r="199" spans="1:15" x14ac:dyDescent="0.3">
      <c r="A199" s="33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0">
        <v>5214.84</v>
      </c>
    </row>
    <row r="200" spans="1:15" x14ac:dyDescent="0.3">
      <c r="A200" s="33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0">
        <v>5141.4799999999996</v>
      </c>
    </row>
    <row r="201" spans="1:15" x14ac:dyDescent="0.3">
      <c r="A201" s="33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0">
        <v>6889.51</v>
      </c>
    </row>
    <row r="202" spans="1:15" x14ac:dyDescent="0.3">
      <c r="A202" s="33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0">
        <v>14007.76</v>
      </c>
    </row>
    <row r="203" spans="1:15" x14ac:dyDescent="0.3">
      <c r="A203" s="33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0">
        <v>27652.32</v>
      </c>
    </row>
    <row r="204" spans="1:15" x14ac:dyDescent="0.3">
      <c r="A204" s="33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0">
        <v>18886.34</v>
      </c>
    </row>
    <row r="205" spans="1:15" x14ac:dyDescent="0.3">
      <c r="A205" s="33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0">
        <v>15313.32</v>
      </c>
    </row>
    <row r="206" spans="1:15" x14ac:dyDescent="0.3">
      <c r="A206" s="33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0">
        <v>20312.28</v>
      </c>
    </row>
    <row r="207" spans="1:15" x14ac:dyDescent="0.3">
      <c r="A207" s="33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0">
        <v>17313.86</v>
      </c>
    </row>
    <row r="208" spans="1:15" x14ac:dyDescent="0.3">
      <c r="A208" s="33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0">
        <v>6190.13</v>
      </c>
    </row>
    <row r="209" spans="1:15" x14ac:dyDescent="0.3">
      <c r="A209" s="33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0">
        <v>6099.65</v>
      </c>
    </row>
    <row r="210" spans="1:15" x14ac:dyDescent="0.3">
      <c r="A210" s="33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0">
        <v>8779.5499999999993</v>
      </c>
    </row>
    <row r="211" spans="1:15" x14ac:dyDescent="0.3">
      <c r="A211" s="33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0">
        <v>24864.81</v>
      </c>
    </row>
    <row r="212" spans="1:15" x14ac:dyDescent="0.3">
      <c r="A212" s="33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0">
        <v>14222.56</v>
      </c>
    </row>
    <row r="213" spans="1:15" x14ac:dyDescent="0.3">
      <c r="A213" s="33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0">
        <v>2529.21</v>
      </c>
    </row>
    <row r="214" spans="1:15" x14ac:dyDescent="0.3">
      <c r="A214" s="33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0">
        <v>4749.6000000000004</v>
      </c>
    </row>
    <row r="215" spans="1:15" x14ac:dyDescent="0.3">
      <c r="A215" s="33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0">
        <v>5847.01</v>
      </c>
    </row>
    <row r="216" spans="1:15" x14ac:dyDescent="0.3">
      <c r="A216" s="33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0">
        <v>2533.7199999999998</v>
      </c>
    </row>
    <row r="217" spans="1:15" x14ac:dyDescent="0.3">
      <c r="A217" s="33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0">
        <v>4614.09</v>
      </c>
    </row>
    <row r="218" spans="1:15" x14ac:dyDescent="0.3">
      <c r="A218" s="33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0">
        <v>10673.02</v>
      </c>
    </row>
    <row r="219" spans="1:15" x14ac:dyDescent="0.3">
      <c r="A219" s="33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0">
        <v>4803.26</v>
      </c>
    </row>
    <row r="220" spans="1:15" x14ac:dyDescent="0.3">
      <c r="A220" s="33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0">
        <v>8697</v>
      </c>
    </row>
    <row r="221" spans="1:15" x14ac:dyDescent="0.3">
      <c r="A221" s="33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0">
        <v>25927.84</v>
      </c>
    </row>
    <row r="222" spans="1:15" x14ac:dyDescent="0.3">
      <c r="A222" s="33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0">
        <v>7913.52</v>
      </c>
    </row>
    <row r="223" spans="1:15" x14ac:dyDescent="0.3">
      <c r="A223" s="33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0">
        <v>24618.7</v>
      </c>
    </row>
    <row r="224" spans="1:15" x14ac:dyDescent="0.3">
      <c r="A224" s="33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0">
        <v>7978.77</v>
      </c>
    </row>
    <row r="225" spans="1:15" x14ac:dyDescent="0.3">
      <c r="A225" s="33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0">
        <v>2317.84</v>
      </c>
    </row>
    <row r="226" spans="1:15" x14ac:dyDescent="0.3">
      <c r="A226" s="33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0">
        <v>8510.42</v>
      </c>
    </row>
    <row r="227" spans="1:15" x14ac:dyDescent="0.3">
      <c r="A227" s="33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0">
        <v>2945.62</v>
      </c>
    </row>
    <row r="228" spans="1:15" x14ac:dyDescent="0.3">
      <c r="A228" s="33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0">
        <v>3467.28</v>
      </c>
    </row>
    <row r="229" spans="1:15" x14ac:dyDescent="0.3">
      <c r="A229" s="33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0">
        <v>16929.28</v>
      </c>
    </row>
    <row r="230" spans="1:15" x14ac:dyDescent="0.3">
      <c r="A230" s="33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0">
        <v>28153.599999999999</v>
      </c>
    </row>
    <row r="231" spans="1:15" x14ac:dyDescent="0.3">
      <c r="A231" s="33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0">
        <v>8622.4500000000007</v>
      </c>
    </row>
    <row r="232" spans="1:15" x14ac:dyDescent="0.3">
      <c r="A232" s="33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0">
        <v>3882.26</v>
      </c>
    </row>
    <row r="233" spans="1:15" x14ac:dyDescent="0.3">
      <c r="A233" s="33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0">
        <v>1912.92</v>
      </c>
    </row>
    <row r="234" spans="1:15" x14ac:dyDescent="0.3">
      <c r="A234" s="33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0">
        <v>528.70000000000005</v>
      </c>
    </row>
    <row r="235" spans="1:15" x14ac:dyDescent="0.3">
      <c r="A235" s="33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0">
        <v>2043.59</v>
      </c>
    </row>
    <row r="236" spans="1:15" x14ac:dyDescent="0.3">
      <c r="A236" s="33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0">
        <v>21684.43</v>
      </c>
    </row>
    <row r="237" spans="1:15" x14ac:dyDescent="0.3">
      <c r="A237" s="33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0">
        <v>14698.76</v>
      </c>
    </row>
    <row r="238" spans="1:15" x14ac:dyDescent="0.3">
      <c r="A238" s="33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0">
        <v>2212.5</v>
      </c>
    </row>
    <row r="239" spans="1:15" x14ac:dyDescent="0.3">
      <c r="A239" s="33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0">
        <v>1934.74</v>
      </c>
    </row>
    <row r="240" spans="1:15" x14ac:dyDescent="0.3">
      <c r="A240" s="33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0">
        <v>7129.01</v>
      </c>
    </row>
    <row r="241" spans="1:15" x14ac:dyDescent="0.3">
      <c r="A241" s="33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0">
        <v>2151.1999999999998</v>
      </c>
    </row>
    <row r="242" spans="1:15" x14ac:dyDescent="0.3">
      <c r="A242" s="33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0">
        <v>11168.58</v>
      </c>
    </row>
    <row r="243" spans="1:15" x14ac:dyDescent="0.3">
      <c r="A243" s="33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0">
        <v>15068.02</v>
      </c>
    </row>
    <row r="244" spans="1:15" x14ac:dyDescent="0.3">
      <c r="A244" s="33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0">
        <v>962.45</v>
      </c>
    </row>
    <row r="245" spans="1:15" x14ac:dyDescent="0.3">
      <c r="A245" s="33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0">
        <v>2402.67</v>
      </c>
    </row>
    <row r="246" spans="1:15" x14ac:dyDescent="0.3">
      <c r="A246" s="33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0">
        <v>9628.48</v>
      </c>
    </row>
    <row r="247" spans="1:15" x14ac:dyDescent="0.3">
      <c r="A247" s="33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0">
        <v>2928.33</v>
      </c>
    </row>
    <row r="248" spans="1:15" x14ac:dyDescent="0.3">
      <c r="A248" s="33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0">
        <v>11772.71</v>
      </c>
    </row>
    <row r="249" spans="1:15" x14ac:dyDescent="0.3">
      <c r="A249" s="33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0">
        <v>14593.15</v>
      </c>
    </row>
    <row r="250" spans="1:15" x14ac:dyDescent="0.3">
      <c r="A250" s="33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0">
        <v>3942.92</v>
      </c>
    </row>
    <row r="251" spans="1:15" x14ac:dyDescent="0.3">
      <c r="A251" s="33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0">
        <v>23767.17</v>
      </c>
    </row>
    <row r="252" spans="1:15" x14ac:dyDescent="0.3">
      <c r="A252" s="33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0">
        <v>11662.66</v>
      </c>
    </row>
    <row r="253" spans="1:15" x14ac:dyDescent="0.3">
      <c r="A253" s="33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0">
        <v>5980.16</v>
      </c>
    </row>
    <row r="254" spans="1:15" x14ac:dyDescent="0.3">
      <c r="A254" s="33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0">
        <v>10762.15</v>
      </c>
    </row>
    <row r="255" spans="1:15" x14ac:dyDescent="0.3">
      <c r="A255" s="33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0">
        <v>5423.32</v>
      </c>
    </row>
    <row r="256" spans="1:15" x14ac:dyDescent="0.3">
      <c r="A256" s="33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0">
        <v>15894.71</v>
      </c>
    </row>
    <row r="257" spans="1:15" x14ac:dyDescent="0.3">
      <c r="A257" s="33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0">
        <v>15796.32</v>
      </c>
    </row>
    <row r="258" spans="1:15" x14ac:dyDescent="0.3">
      <c r="A258" s="33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0">
        <v>685.71</v>
      </c>
    </row>
    <row r="259" spans="1:15" x14ac:dyDescent="0.3">
      <c r="A259" s="33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0">
        <v>12628.35</v>
      </c>
    </row>
    <row r="260" spans="1:15" x14ac:dyDescent="0.3">
      <c r="A260" s="33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0">
        <v>10464.43</v>
      </c>
    </row>
    <row r="261" spans="1:15" x14ac:dyDescent="0.3">
      <c r="A261" s="33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0">
        <v>1844.86</v>
      </c>
    </row>
    <row r="262" spans="1:15" x14ac:dyDescent="0.3">
      <c r="A262" s="33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0">
        <v>1066.5</v>
      </c>
    </row>
    <row r="263" spans="1:15" x14ac:dyDescent="0.3">
      <c r="A263" s="33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0">
        <v>15575.43</v>
      </c>
    </row>
    <row r="264" spans="1:15" x14ac:dyDescent="0.3">
      <c r="A264" s="33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0">
        <v>15161.02</v>
      </c>
    </row>
    <row r="265" spans="1:15" x14ac:dyDescent="0.3">
      <c r="A265" s="33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0">
        <v>3604.16</v>
      </c>
    </row>
    <row r="266" spans="1:15" x14ac:dyDescent="0.3">
      <c r="A266" s="33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0">
        <v>14134.75</v>
      </c>
    </row>
    <row r="267" spans="1:15" x14ac:dyDescent="0.3">
      <c r="A267" s="33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0">
        <v>14724.65</v>
      </c>
    </row>
    <row r="268" spans="1:15" x14ac:dyDescent="0.3">
      <c r="A268" s="33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0">
        <v>855.74</v>
      </c>
    </row>
    <row r="269" spans="1:15" x14ac:dyDescent="0.3">
      <c r="A269" s="33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0">
        <v>2394.5</v>
      </c>
    </row>
    <row r="270" spans="1:15" x14ac:dyDescent="0.3">
      <c r="A270" s="33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0">
        <v>12626.16</v>
      </c>
    </row>
    <row r="271" spans="1:15" x14ac:dyDescent="0.3">
      <c r="A271" s="33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0">
        <v>17264.5</v>
      </c>
    </row>
    <row r="272" spans="1:15" x14ac:dyDescent="0.3">
      <c r="A272" s="33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0">
        <v>7408.53</v>
      </c>
    </row>
    <row r="273" spans="1:15" x14ac:dyDescent="0.3">
      <c r="A273" s="33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0">
        <v>17170.46</v>
      </c>
    </row>
    <row r="274" spans="1:15" x14ac:dyDescent="0.3">
      <c r="A274" s="33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0">
        <v>2193.8200000000002</v>
      </c>
    </row>
    <row r="275" spans="1:15" x14ac:dyDescent="0.3">
      <c r="A275" s="33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0">
        <v>5032.6000000000004</v>
      </c>
    </row>
    <row r="276" spans="1:15" x14ac:dyDescent="0.3">
      <c r="A276" s="33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0">
        <v>3029.14</v>
      </c>
    </row>
    <row r="277" spans="1:15" x14ac:dyDescent="0.3">
      <c r="A277" s="33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0">
        <v>24708.61</v>
      </c>
    </row>
    <row r="278" spans="1:15" x14ac:dyDescent="0.3">
      <c r="A278" s="33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0">
        <v>4824.43</v>
      </c>
    </row>
    <row r="279" spans="1:15" x14ac:dyDescent="0.3">
      <c r="A279" s="33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0">
        <v>3965.44</v>
      </c>
    </row>
    <row r="280" spans="1:15" x14ac:dyDescent="0.3">
      <c r="A280" s="33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0">
        <v>21449.22</v>
      </c>
    </row>
    <row r="281" spans="1:15" x14ac:dyDescent="0.3">
      <c r="A281" s="33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0">
        <v>25732.02</v>
      </c>
    </row>
    <row r="282" spans="1:15" x14ac:dyDescent="0.3">
      <c r="A282" s="33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0">
        <v>15492.2</v>
      </c>
    </row>
    <row r="283" spans="1:15" x14ac:dyDescent="0.3">
      <c r="A283" s="33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0">
        <v>409.94</v>
      </c>
    </row>
    <row r="284" spans="1:15" x14ac:dyDescent="0.3">
      <c r="A284" s="33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0">
        <v>465.54</v>
      </c>
    </row>
    <row r="285" spans="1:15" x14ac:dyDescent="0.3">
      <c r="A285" s="33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0">
        <v>8189.02</v>
      </c>
    </row>
    <row r="286" spans="1:15" x14ac:dyDescent="0.3">
      <c r="A286" s="33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0">
        <v>1263.73</v>
      </c>
    </row>
    <row r="287" spans="1:15" x14ac:dyDescent="0.3">
      <c r="A287" s="33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0">
        <v>1258.5</v>
      </c>
    </row>
    <row r="288" spans="1:15" x14ac:dyDescent="0.3">
      <c r="A288" s="33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0">
        <v>11619.96</v>
      </c>
    </row>
    <row r="289" spans="1:15" x14ac:dyDescent="0.3">
      <c r="A289" s="33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0">
        <v>28734</v>
      </c>
    </row>
    <row r="290" spans="1:15" x14ac:dyDescent="0.3">
      <c r="A290" s="33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0">
        <v>7821.58</v>
      </c>
    </row>
    <row r="291" spans="1:15" x14ac:dyDescent="0.3">
      <c r="A291" s="33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0">
        <v>19406.810000000001</v>
      </c>
    </row>
    <row r="292" spans="1:15" x14ac:dyDescent="0.3">
      <c r="A292" s="33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0">
        <v>21554.99</v>
      </c>
    </row>
    <row r="293" spans="1:15" x14ac:dyDescent="0.3">
      <c r="A293" s="33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0">
        <v>6699.96</v>
      </c>
    </row>
    <row r="294" spans="1:15" x14ac:dyDescent="0.3">
      <c r="A294" s="33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0">
        <v>7166.18</v>
      </c>
    </row>
    <row r="295" spans="1:15" x14ac:dyDescent="0.3">
      <c r="A295" s="33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0">
        <v>2902.47</v>
      </c>
    </row>
    <row r="296" spans="1:15" x14ac:dyDescent="0.3">
      <c r="A296" s="33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0">
        <v>619.73</v>
      </c>
    </row>
    <row r="297" spans="1:15" x14ac:dyDescent="0.3">
      <c r="A297" s="33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0">
        <v>13539.07</v>
      </c>
    </row>
    <row r="298" spans="1:15" x14ac:dyDescent="0.3">
      <c r="A298" s="33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0">
        <v>2112.3000000000002</v>
      </c>
    </row>
    <row r="299" spans="1:15" x14ac:dyDescent="0.3">
      <c r="A299" s="33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0">
        <v>35892.9</v>
      </c>
    </row>
    <row r="300" spans="1:15" x14ac:dyDescent="0.3">
      <c r="A300" s="33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0">
        <v>7321.28</v>
      </c>
    </row>
    <row r="301" spans="1:15" x14ac:dyDescent="0.3">
      <c r="A301" s="33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0">
        <v>10359.16</v>
      </c>
    </row>
    <row r="302" spans="1:15" x14ac:dyDescent="0.3">
      <c r="A302" s="33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0">
        <v>6588.4</v>
      </c>
    </row>
    <row r="303" spans="1:15" x14ac:dyDescent="0.3">
      <c r="A303" s="33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0">
        <v>4233.32</v>
      </c>
    </row>
    <row r="304" spans="1:15" x14ac:dyDescent="0.3">
      <c r="A304" s="33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0">
        <v>1543.2</v>
      </c>
    </row>
    <row r="305" spans="1:15" x14ac:dyDescent="0.3">
      <c r="A305" s="33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0">
        <v>8152.06</v>
      </c>
    </row>
    <row r="306" spans="1:15" x14ac:dyDescent="0.3">
      <c r="A306" s="33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0">
        <v>5209.63</v>
      </c>
    </row>
    <row r="307" spans="1:15" x14ac:dyDescent="0.3">
      <c r="A307" s="33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0">
        <v>2713.41</v>
      </c>
    </row>
    <row r="308" spans="1:15" x14ac:dyDescent="0.3">
      <c r="A308" s="33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0">
        <v>7632.11</v>
      </c>
    </row>
    <row r="309" spans="1:15" x14ac:dyDescent="0.3">
      <c r="A309" s="33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0">
        <v>12572.8</v>
      </c>
    </row>
    <row r="310" spans="1:15" x14ac:dyDescent="0.3">
      <c r="A310" s="33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0">
        <v>2466.41</v>
      </c>
    </row>
    <row r="311" spans="1:15" x14ac:dyDescent="0.3">
      <c r="A311" s="33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0">
        <v>16748.77</v>
      </c>
    </row>
    <row r="312" spans="1:15" x14ac:dyDescent="0.3">
      <c r="A312" s="33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0">
        <v>7776.74</v>
      </c>
    </row>
    <row r="313" spans="1:15" x14ac:dyDescent="0.3">
      <c r="A313" s="33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0">
        <v>2588.64</v>
      </c>
    </row>
    <row r="314" spans="1:15" x14ac:dyDescent="0.3">
      <c r="A314" s="33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0">
        <v>2763.58</v>
      </c>
    </row>
    <row r="315" spans="1:15" x14ac:dyDescent="0.3">
      <c r="A315" s="33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0">
        <v>1597.76</v>
      </c>
    </row>
    <row r="316" spans="1:15" x14ac:dyDescent="0.3">
      <c r="A316" s="33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0">
        <v>22120.54</v>
      </c>
    </row>
    <row r="317" spans="1:15" x14ac:dyDescent="0.3">
      <c r="A317" s="33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0">
        <v>16518.97</v>
      </c>
    </row>
    <row r="318" spans="1:15" x14ac:dyDescent="0.3">
      <c r="A318" s="33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0">
        <v>1261.95</v>
      </c>
    </row>
    <row r="319" spans="1:15" x14ac:dyDescent="0.3">
      <c r="A319" s="33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0">
        <v>1715.21</v>
      </c>
    </row>
    <row r="320" spans="1:15" x14ac:dyDescent="0.3">
      <c r="A320" s="33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0">
        <v>10516.88</v>
      </c>
    </row>
    <row r="321" spans="1:15" x14ac:dyDescent="0.3">
      <c r="A321" s="33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0">
        <v>18038.240000000002</v>
      </c>
    </row>
    <row r="322" spans="1:15" x14ac:dyDescent="0.3">
      <c r="A322" s="33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0">
        <v>18946.54</v>
      </c>
    </row>
    <row r="323" spans="1:15" x14ac:dyDescent="0.3">
      <c r="A323" s="33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0">
        <v>3204.1</v>
      </c>
    </row>
    <row r="324" spans="1:15" x14ac:dyDescent="0.3">
      <c r="A324" s="33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0">
        <v>3069.25</v>
      </c>
    </row>
    <row r="325" spans="1:15" x14ac:dyDescent="0.3">
      <c r="A325" s="33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0">
        <v>26565.24</v>
      </c>
    </row>
    <row r="326" spans="1:15" x14ac:dyDescent="0.3">
      <c r="A326" s="33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0">
        <v>5111.05</v>
      </c>
    </row>
    <row r="327" spans="1:15" x14ac:dyDescent="0.3">
      <c r="A327" s="33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0">
        <v>6171.55</v>
      </c>
    </row>
    <row r="328" spans="1:15" x14ac:dyDescent="0.3">
      <c r="A328" s="33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0">
        <v>23802.6</v>
      </c>
    </row>
    <row r="329" spans="1:15" x14ac:dyDescent="0.3">
      <c r="A329" s="33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0">
        <v>5012.16</v>
      </c>
    </row>
    <row r="330" spans="1:15" x14ac:dyDescent="0.3">
      <c r="A330" s="33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0">
        <v>2537.09</v>
      </c>
    </row>
    <row r="331" spans="1:15" x14ac:dyDescent="0.3">
      <c r="A331" s="33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0">
        <v>22279.599999999999</v>
      </c>
    </row>
    <row r="332" spans="1:15" x14ac:dyDescent="0.3">
      <c r="A332" s="33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0">
        <v>4217.87</v>
      </c>
    </row>
    <row r="333" spans="1:15" x14ac:dyDescent="0.3">
      <c r="A333" s="33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0">
        <v>2537.1799999999998</v>
      </c>
    </row>
    <row r="334" spans="1:15" x14ac:dyDescent="0.3">
      <c r="A334" s="33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0">
        <v>16028.83</v>
      </c>
    </row>
    <row r="335" spans="1:15" x14ac:dyDescent="0.3">
      <c r="A335" s="33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0">
        <v>10063.08</v>
      </c>
    </row>
    <row r="336" spans="1:15" x14ac:dyDescent="0.3">
      <c r="A336" s="33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0">
        <v>13370.56</v>
      </c>
    </row>
    <row r="337" spans="1:15" x14ac:dyDescent="0.3">
      <c r="A337" s="33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0">
        <v>957.52</v>
      </c>
    </row>
    <row r="338" spans="1:15" x14ac:dyDescent="0.3">
      <c r="A338" s="33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0">
        <v>23270.36</v>
      </c>
    </row>
    <row r="339" spans="1:15" x14ac:dyDescent="0.3">
      <c r="A339" s="33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0">
        <v>1114.6099999999999</v>
      </c>
    </row>
    <row r="340" spans="1:15" x14ac:dyDescent="0.3">
      <c r="A340" s="33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0">
        <v>14092.34</v>
      </c>
    </row>
    <row r="341" spans="1:15" x14ac:dyDescent="0.3">
      <c r="A341" s="33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0">
        <v>10111.82</v>
      </c>
    </row>
    <row r="342" spans="1:15" x14ac:dyDescent="0.3">
      <c r="A342" s="33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0">
        <v>2567.7199999999998</v>
      </c>
    </row>
    <row r="343" spans="1:15" x14ac:dyDescent="0.3">
      <c r="A343" s="33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0">
        <v>8338.99</v>
      </c>
    </row>
    <row r="344" spans="1:15" x14ac:dyDescent="0.3">
      <c r="A344" s="33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0">
        <v>2194.5700000000002</v>
      </c>
    </row>
    <row r="345" spans="1:15" x14ac:dyDescent="0.3">
      <c r="A345" s="33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0">
        <v>8914.59</v>
      </c>
    </row>
    <row r="346" spans="1:15" x14ac:dyDescent="0.3">
      <c r="A346" s="33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0">
        <v>3262.88</v>
      </c>
    </row>
    <row r="347" spans="1:15" x14ac:dyDescent="0.3">
      <c r="A347" s="33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0">
        <v>27325.03</v>
      </c>
    </row>
    <row r="348" spans="1:15" x14ac:dyDescent="0.3">
      <c r="A348" s="33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0">
        <v>2049.1799999999998</v>
      </c>
    </row>
    <row r="349" spans="1:15" x14ac:dyDescent="0.3">
      <c r="A349" s="33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0">
        <v>4580.21</v>
      </c>
    </row>
    <row r="350" spans="1:15" x14ac:dyDescent="0.3">
      <c r="A350" s="33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0">
        <v>18705.8</v>
      </c>
    </row>
    <row r="351" spans="1:15" x14ac:dyDescent="0.3">
      <c r="A351" s="33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0">
        <v>2966.7</v>
      </c>
    </row>
    <row r="352" spans="1:15" x14ac:dyDescent="0.3">
      <c r="A352" s="33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0">
        <v>4905.13</v>
      </c>
    </row>
    <row r="353" spans="1:15" x14ac:dyDescent="0.3">
      <c r="A353" s="33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0">
        <v>3313.66</v>
      </c>
    </row>
    <row r="354" spans="1:15" x14ac:dyDescent="0.3">
      <c r="A354" s="33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0">
        <v>10521.12</v>
      </c>
    </row>
    <row r="355" spans="1:15" x14ac:dyDescent="0.3">
      <c r="A355" s="33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0">
        <v>2874.34</v>
      </c>
    </row>
    <row r="356" spans="1:15" x14ac:dyDescent="0.3">
      <c r="A356" s="33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0">
        <v>22511.119999999999</v>
      </c>
    </row>
    <row r="357" spans="1:15" x14ac:dyDescent="0.3">
      <c r="A357" s="33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0">
        <v>9637.24</v>
      </c>
    </row>
    <row r="358" spans="1:15" x14ac:dyDescent="0.3">
      <c r="A358" s="33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0">
        <v>10402.48</v>
      </c>
    </row>
    <row r="359" spans="1:15" x14ac:dyDescent="0.3">
      <c r="A359" s="33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0">
        <v>24351.62</v>
      </c>
    </row>
    <row r="360" spans="1:15" x14ac:dyDescent="0.3">
      <c r="A360" s="33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0">
        <v>192.37</v>
      </c>
    </row>
    <row r="361" spans="1:15" x14ac:dyDescent="0.3">
      <c r="A361" s="33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0">
        <v>9469</v>
      </c>
    </row>
    <row r="362" spans="1:15" x14ac:dyDescent="0.3">
      <c r="A362" s="33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0">
        <v>5482.25</v>
      </c>
    </row>
    <row r="363" spans="1:15" x14ac:dyDescent="0.3">
      <c r="A363" s="33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0">
        <v>4035.58</v>
      </c>
    </row>
    <row r="364" spans="1:15" x14ac:dyDescent="0.3">
      <c r="A364" s="33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0">
        <v>479.35</v>
      </c>
    </row>
    <row r="365" spans="1:15" x14ac:dyDescent="0.3">
      <c r="A365" s="33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0">
        <v>2959.93</v>
      </c>
    </row>
    <row r="366" spans="1:15" x14ac:dyDescent="0.3">
      <c r="A366" s="33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0">
        <v>14373.84</v>
      </c>
    </row>
    <row r="367" spans="1:15" x14ac:dyDescent="0.3">
      <c r="A367" s="33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0">
        <v>16604.400000000001</v>
      </c>
    </row>
    <row r="368" spans="1:15" x14ac:dyDescent="0.3">
      <c r="A368" s="33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0">
        <v>27438.51</v>
      </c>
    </row>
    <row r="369" spans="1:15" x14ac:dyDescent="0.3">
      <c r="A369" s="33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0">
        <v>13562.91</v>
      </c>
    </row>
    <row r="370" spans="1:15" x14ac:dyDescent="0.3">
      <c r="A370" s="33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0">
        <v>22284.89</v>
      </c>
    </row>
    <row r="371" spans="1:15" x14ac:dyDescent="0.3">
      <c r="A371" s="33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0">
        <v>9771.36</v>
      </c>
    </row>
    <row r="372" spans="1:15" x14ac:dyDescent="0.3">
      <c r="A372" s="33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0">
        <v>13032.62</v>
      </c>
    </row>
    <row r="373" spans="1:15" x14ac:dyDescent="0.3">
      <c r="A373" s="33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0">
        <v>7518.34</v>
      </c>
    </row>
    <row r="374" spans="1:15" x14ac:dyDescent="0.3">
      <c r="A374" s="33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0">
        <v>6114.3</v>
      </c>
    </row>
    <row r="375" spans="1:15" x14ac:dyDescent="0.3">
      <c r="A375" s="33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0">
        <v>6604.44</v>
      </c>
    </row>
    <row r="376" spans="1:15" x14ac:dyDescent="0.3">
      <c r="A376" s="33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0">
        <v>5694.81</v>
      </c>
    </row>
    <row r="377" spans="1:15" x14ac:dyDescent="0.3">
      <c r="A377" s="33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0">
        <v>3474.94</v>
      </c>
    </row>
    <row r="378" spans="1:15" x14ac:dyDescent="0.3">
      <c r="A378" s="33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0">
        <v>3511.2</v>
      </c>
    </row>
    <row r="379" spans="1:15" x14ac:dyDescent="0.3">
      <c r="A379" s="33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0">
        <v>27089.88</v>
      </c>
    </row>
    <row r="380" spans="1:15" x14ac:dyDescent="0.3">
      <c r="A380" s="33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0">
        <v>3715.13</v>
      </c>
    </row>
    <row r="381" spans="1:15" x14ac:dyDescent="0.3">
      <c r="A381" s="33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0">
        <v>4612.1099999999997</v>
      </c>
    </row>
    <row r="382" spans="1:15" x14ac:dyDescent="0.3">
      <c r="A382" s="33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0">
        <v>1389.23</v>
      </c>
    </row>
    <row r="383" spans="1:15" x14ac:dyDescent="0.3">
      <c r="A383" s="33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0">
        <v>2904.34</v>
      </c>
    </row>
    <row r="384" spans="1:15" x14ac:dyDescent="0.3">
      <c r="A384" s="33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0">
        <v>3044.34</v>
      </c>
    </row>
    <row r="385" spans="1:15" x14ac:dyDescent="0.3">
      <c r="A385" s="33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0">
        <v>7742.72</v>
      </c>
    </row>
    <row r="386" spans="1:15" x14ac:dyDescent="0.3">
      <c r="A386" s="33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0">
        <v>3731.7</v>
      </c>
    </row>
    <row r="387" spans="1:15" x14ac:dyDescent="0.3">
      <c r="A387" s="33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0">
        <v>3571.88</v>
      </c>
    </row>
    <row r="388" spans="1:15" x14ac:dyDescent="0.3">
      <c r="A388" s="33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0">
        <v>9353.2000000000007</v>
      </c>
    </row>
    <row r="389" spans="1:15" x14ac:dyDescent="0.3">
      <c r="A389" s="33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0">
        <v>5488.53</v>
      </c>
    </row>
    <row r="390" spans="1:15" x14ac:dyDescent="0.3">
      <c r="A390" s="33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0">
        <v>24215.03</v>
      </c>
    </row>
    <row r="391" spans="1:15" x14ac:dyDescent="0.3">
      <c r="A391" s="33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0">
        <v>2065.81</v>
      </c>
    </row>
    <row r="392" spans="1:15" x14ac:dyDescent="0.3">
      <c r="A392" s="33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0">
        <v>16946.52</v>
      </c>
    </row>
    <row r="393" spans="1:15" x14ac:dyDescent="0.3">
      <c r="A393" s="33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0">
        <v>3962.65</v>
      </c>
    </row>
    <row r="394" spans="1:15" x14ac:dyDescent="0.3">
      <c r="A394" s="33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0">
        <v>21551.4</v>
      </c>
    </row>
    <row r="395" spans="1:15" x14ac:dyDescent="0.3">
      <c r="A395" s="33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0">
        <v>16298.88</v>
      </c>
    </row>
    <row r="396" spans="1:15" x14ac:dyDescent="0.3">
      <c r="A396" s="33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0">
        <v>1098.56</v>
      </c>
    </row>
    <row r="397" spans="1:15" x14ac:dyDescent="0.3">
      <c r="A397" s="33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0">
        <v>12008.82</v>
      </c>
    </row>
    <row r="398" spans="1:15" x14ac:dyDescent="0.3">
      <c r="A398" s="33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0">
        <v>7172.3</v>
      </c>
    </row>
    <row r="399" spans="1:15" x14ac:dyDescent="0.3">
      <c r="A399" s="33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0">
        <v>16228.85</v>
      </c>
    </row>
    <row r="400" spans="1:15" x14ac:dyDescent="0.3">
      <c r="A400" s="33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0">
        <v>5369.58</v>
      </c>
    </row>
    <row r="401" spans="1:15" x14ac:dyDescent="0.3">
      <c r="A401" s="33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0">
        <v>14326.31</v>
      </c>
    </row>
    <row r="402" spans="1:15" x14ac:dyDescent="0.3">
      <c r="A402" s="33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0">
        <v>1923.29</v>
      </c>
    </row>
    <row r="403" spans="1:15" x14ac:dyDescent="0.3">
      <c r="A403" s="33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0">
        <v>16087.13</v>
      </c>
    </row>
    <row r="404" spans="1:15" x14ac:dyDescent="0.3">
      <c r="A404" s="33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0">
        <v>2332.19</v>
      </c>
    </row>
    <row r="405" spans="1:15" x14ac:dyDescent="0.3">
      <c r="A405" s="33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0">
        <v>11177.53</v>
      </c>
    </row>
    <row r="406" spans="1:15" x14ac:dyDescent="0.3">
      <c r="A406" s="33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0">
        <v>5069.16</v>
      </c>
    </row>
    <row r="407" spans="1:15" x14ac:dyDescent="0.3">
      <c r="A407" s="33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0">
        <v>2044.41</v>
      </c>
    </row>
    <row r="408" spans="1:15" x14ac:dyDescent="0.3">
      <c r="A408" s="33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0">
        <v>23159.23</v>
      </c>
    </row>
    <row r="409" spans="1:15" x14ac:dyDescent="0.3">
      <c r="A409" s="33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0">
        <v>3344.9</v>
      </c>
    </row>
    <row r="410" spans="1:15" x14ac:dyDescent="0.3">
      <c r="A410" s="33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0">
        <v>6427.45</v>
      </c>
    </row>
    <row r="411" spans="1:15" x14ac:dyDescent="0.3">
      <c r="A411" s="33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0">
        <v>6473.92</v>
      </c>
    </row>
    <row r="412" spans="1:15" x14ac:dyDescent="0.3">
      <c r="A412" s="33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0">
        <v>6172.3</v>
      </c>
    </row>
    <row r="413" spans="1:15" x14ac:dyDescent="0.3">
      <c r="A413" s="33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0">
        <v>8409.6299999999992</v>
      </c>
    </row>
    <row r="414" spans="1:15" x14ac:dyDescent="0.3">
      <c r="A414" s="33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0">
        <v>10380.719999999999</v>
      </c>
    </row>
    <row r="415" spans="1:15" x14ac:dyDescent="0.3">
      <c r="A415" s="33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0">
        <v>1158.71</v>
      </c>
    </row>
    <row r="416" spans="1:15" x14ac:dyDescent="0.3">
      <c r="A416" s="33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0">
        <v>4992.51</v>
      </c>
    </row>
    <row r="417" spans="1:15" x14ac:dyDescent="0.3">
      <c r="A417" s="33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0">
        <v>21278.560000000001</v>
      </c>
    </row>
    <row r="418" spans="1:15" x14ac:dyDescent="0.3">
      <c r="A418" s="33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0">
        <v>3354.81</v>
      </c>
    </row>
    <row r="419" spans="1:15" x14ac:dyDescent="0.3">
      <c r="A419" s="33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0">
        <v>28120.1</v>
      </c>
    </row>
    <row r="420" spans="1:15" x14ac:dyDescent="0.3">
      <c r="A420" s="33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0">
        <v>15014.03</v>
      </c>
    </row>
    <row r="421" spans="1:15" x14ac:dyDescent="0.3">
      <c r="A421" s="33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0">
        <v>732.19</v>
      </c>
    </row>
    <row r="422" spans="1:15" x14ac:dyDescent="0.3">
      <c r="A422" s="33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0">
        <v>1273.6099999999999</v>
      </c>
    </row>
    <row r="423" spans="1:15" x14ac:dyDescent="0.3">
      <c r="A423" s="33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0">
        <v>6570.38</v>
      </c>
    </row>
    <row r="424" spans="1:15" x14ac:dyDescent="0.3">
      <c r="A424" s="33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0">
        <v>30296.43</v>
      </c>
    </row>
    <row r="425" spans="1:15" x14ac:dyDescent="0.3">
      <c r="A425" s="33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0">
        <v>15583.46</v>
      </c>
    </row>
    <row r="426" spans="1:15" x14ac:dyDescent="0.3">
      <c r="A426" s="33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0">
        <v>7656.83</v>
      </c>
    </row>
    <row r="427" spans="1:15" x14ac:dyDescent="0.3">
      <c r="A427" s="33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0">
        <v>10626.78</v>
      </c>
    </row>
    <row r="428" spans="1:15" x14ac:dyDescent="0.3">
      <c r="A428" s="33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0">
        <v>20986.74</v>
      </c>
    </row>
    <row r="429" spans="1:15" x14ac:dyDescent="0.3">
      <c r="A429" s="33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0">
        <v>4262.18</v>
      </c>
    </row>
    <row r="430" spans="1:15" x14ac:dyDescent="0.3">
      <c r="A430" s="33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0">
        <v>2004.99</v>
      </c>
    </row>
    <row r="431" spans="1:15" x14ac:dyDescent="0.3">
      <c r="A431" s="33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0">
        <v>28163.3</v>
      </c>
    </row>
    <row r="432" spans="1:15" x14ac:dyDescent="0.3">
      <c r="A432" s="33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0">
        <v>11461.59</v>
      </c>
    </row>
    <row r="433" spans="1:15" x14ac:dyDescent="0.3">
      <c r="A433" s="33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0">
        <v>5446.44</v>
      </c>
    </row>
    <row r="434" spans="1:15" x14ac:dyDescent="0.3">
      <c r="A434" s="33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0">
        <v>14362</v>
      </c>
    </row>
    <row r="435" spans="1:15" x14ac:dyDescent="0.3">
      <c r="A435" s="33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0">
        <v>2799.1</v>
      </c>
    </row>
    <row r="436" spans="1:15" x14ac:dyDescent="0.3">
      <c r="A436" s="33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0">
        <v>10934.34</v>
      </c>
    </row>
    <row r="437" spans="1:15" x14ac:dyDescent="0.3">
      <c r="A437" s="33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0">
        <v>9568.27</v>
      </c>
    </row>
    <row r="438" spans="1:15" x14ac:dyDescent="0.3">
      <c r="A438" s="33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0">
        <v>19357.29</v>
      </c>
    </row>
    <row r="439" spans="1:15" x14ac:dyDescent="0.3">
      <c r="A439" s="33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0">
        <v>14022.99</v>
      </c>
    </row>
    <row r="440" spans="1:15" x14ac:dyDescent="0.3">
      <c r="A440" s="33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0">
        <v>3911.27</v>
      </c>
    </row>
    <row r="441" spans="1:15" x14ac:dyDescent="0.3">
      <c r="A441" s="33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0">
        <v>3397.56</v>
      </c>
    </row>
    <row r="442" spans="1:15" x14ac:dyDescent="0.3">
      <c r="A442" s="33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0">
        <v>5254.56</v>
      </c>
    </row>
    <row r="443" spans="1:15" x14ac:dyDescent="0.3">
      <c r="A443" s="33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0">
        <v>24054.57</v>
      </c>
    </row>
    <row r="444" spans="1:15" x14ac:dyDescent="0.3">
      <c r="A444" s="33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0">
        <v>18539.05</v>
      </c>
    </row>
    <row r="445" spans="1:15" x14ac:dyDescent="0.3">
      <c r="A445" s="33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0">
        <v>7027.99</v>
      </c>
    </row>
    <row r="446" spans="1:15" x14ac:dyDescent="0.3">
      <c r="A446" s="33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0">
        <v>19979.150000000001</v>
      </c>
    </row>
    <row r="447" spans="1:15" x14ac:dyDescent="0.3">
      <c r="A447" s="33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0">
        <v>2633.24</v>
      </c>
    </row>
    <row r="448" spans="1:15" x14ac:dyDescent="0.3">
      <c r="A448" s="33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0">
        <v>13936.36</v>
      </c>
    </row>
    <row r="449" spans="1:15" x14ac:dyDescent="0.3">
      <c r="A449" s="33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0">
        <v>16180.04</v>
      </c>
    </row>
    <row r="450" spans="1:15" x14ac:dyDescent="0.3">
      <c r="A450" s="33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0">
        <v>14185.29</v>
      </c>
    </row>
    <row r="451" spans="1:15" x14ac:dyDescent="0.3">
      <c r="A451" s="33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0">
        <v>15416.8</v>
      </c>
    </row>
    <row r="452" spans="1:15" x14ac:dyDescent="0.3">
      <c r="A452" s="33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0">
        <v>9330.09</v>
      </c>
    </row>
    <row r="453" spans="1:15" x14ac:dyDescent="0.3">
      <c r="A453" s="33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0">
        <v>1495.86</v>
      </c>
    </row>
    <row r="454" spans="1:15" x14ac:dyDescent="0.3">
      <c r="A454" s="33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0">
        <v>11573.53</v>
      </c>
    </row>
    <row r="455" spans="1:15" x14ac:dyDescent="0.3">
      <c r="A455" s="33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0">
        <v>22979.23</v>
      </c>
    </row>
    <row r="456" spans="1:15" x14ac:dyDescent="0.3">
      <c r="A456" s="33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0">
        <v>2748.46</v>
      </c>
    </row>
    <row r="457" spans="1:15" x14ac:dyDescent="0.3">
      <c r="A457" s="33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0">
        <v>6431.29</v>
      </c>
    </row>
    <row r="458" spans="1:15" x14ac:dyDescent="0.3">
      <c r="A458" s="33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0">
        <v>7403.3</v>
      </c>
    </row>
    <row r="459" spans="1:15" x14ac:dyDescent="0.3">
      <c r="A459" s="33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0">
        <v>26654.75</v>
      </c>
    </row>
    <row r="460" spans="1:15" x14ac:dyDescent="0.3">
      <c r="A460" s="33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0">
        <v>6230.08</v>
      </c>
    </row>
    <row r="461" spans="1:15" x14ac:dyDescent="0.3">
      <c r="A461" s="33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0">
        <v>400.84</v>
      </c>
    </row>
    <row r="462" spans="1:15" x14ac:dyDescent="0.3">
      <c r="A462" s="33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0">
        <v>2683.62</v>
      </c>
    </row>
    <row r="463" spans="1:15" x14ac:dyDescent="0.3">
      <c r="A463" s="33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0">
        <v>2080.35</v>
      </c>
    </row>
    <row r="464" spans="1:15" x14ac:dyDescent="0.3">
      <c r="A464" s="33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0">
        <v>8807.36</v>
      </c>
    </row>
    <row r="465" spans="1:15" x14ac:dyDescent="0.3">
      <c r="A465" s="33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0">
        <v>447.52</v>
      </c>
    </row>
    <row r="466" spans="1:15" x14ac:dyDescent="0.3">
      <c r="A466" s="33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0">
        <v>1886.21</v>
      </c>
    </row>
    <row r="467" spans="1:15" x14ac:dyDescent="0.3">
      <c r="A467" s="33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0">
        <v>22638.240000000002</v>
      </c>
    </row>
    <row r="468" spans="1:15" x14ac:dyDescent="0.3">
      <c r="A468" s="33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0">
        <v>11933.05</v>
      </c>
    </row>
    <row r="469" spans="1:15" x14ac:dyDescent="0.3">
      <c r="A469" s="33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0">
        <v>14462.55</v>
      </c>
    </row>
    <row r="470" spans="1:15" x14ac:dyDescent="0.3">
      <c r="A470" s="33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0">
        <v>18740.41</v>
      </c>
    </row>
    <row r="471" spans="1:15" x14ac:dyDescent="0.3">
      <c r="A471" s="33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0">
        <v>1145.47</v>
      </c>
    </row>
    <row r="472" spans="1:15" x14ac:dyDescent="0.3">
      <c r="A472" s="33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0">
        <v>21493.16</v>
      </c>
    </row>
    <row r="473" spans="1:15" x14ac:dyDescent="0.3">
      <c r="A473" s="33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0">
        <v>11354.63</v>
      </c>
    </row>
    <row r="474" spans="1:15" x14ac:dyDescent="0.3">
      <c r="A474" s="33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0">
        <v>10893.61</v>
      </c>
    </row>
    <row r="475" spans="1:15" x14ac:dyDescent="0.3">
      <c r="A475" s="33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0">
        <v>1426.51</v>
      </c>
    </row>
    <row r="476" spans="1:15" x14ac:dyDescent="0.3">
      <c r="A476" s="33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0">
        <v>11990.35</v>
      </c>
    </row>
    <row r="477" spans="1:15" x14ac:dyDescent="0.3">
      <c r="A477" s="33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0">
        <v>5592.32</v>
      </c>
    </row>
    <row r="478" spans="1:15" x14ac:dyDescent="0.3">
      <c r="A478" s="33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0">
        <v>5924.8</v>
      </c>
    </row>
    <row r="479" spans="1:15" x14ac:dyDescent="0.3">
      <c r="A479" s="33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0">
        <v>3187.82</v>
      </c>
    </row>
    <row r="480" spans="1:15" x14ac:dyDescent="0.3">
      <c r="A480" s="33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0">
        <v>2186.1799999999998</v>
      </c>
    </row>
    <row r="481" spans="1:15" x14ac:dyDescent="0.3">
      <c r="A481" s="33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0">
        <v>4309.5</v>
      </c>
    </row>
    <row r="482" spans="1:15" x14ac:dyDescent="0.3">
      <c r="A482" s="33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0">
        <v>9284.08</v>
      </c>
    </row>
    <row r="483" spans="1:15" x14ac:dyDescent="0.3">
      <c r="A483" s="33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0">
        <v>12164.54</v>
      </c>
    </row>
    <row r="484" spans="1:15" x14ac:dyDescent="0.3">
      <c r="A484" s="33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0">
        <v>1734.45</v>
      </c>
    </row>
    <row r="485" spans="1:15" x14ac:dyDescent="0.3">
      <c r="A485" s="33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0">
        <v>26542.62</v>
      </c>
    </row>
    <row r="486" spans="1:15" x14ac:dyDescent="0.3">
      <c r="A486" s="33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0">
        <v>2201.23</v>
      </c>
    </row>
    <row r="487" spans="1:15" x14ac:dyDescent="0.3">
      <c r="A487" s="33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0">
        <v>6981.93</v>
      </c>
    </row>
    <row r="488" spans="1:15" x14ac:dyDescent="0.3">
      <c r="A488" s="33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0">
        <v>8803.65</v>
      </c>
    </row>
    <row r="489" spans="1:15" x14ac:dyDescent="0.3">
      <c r="A489" s="33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0">
        <v>281.8</v>
      </c>
    </row>
    <row r="490" spans="1:15" x14ac:dyDescent="0.3">
      <c r="A490" s="33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0">
        <v>19280.29</v>
      </c>
    </row>
    <row r="491" spans="1:15" x14ac:dyDescent="0.3">
      <c r="A491" s="33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0">
        <v>15893.14</v>
      </c>
    </row>
    <row r="492" spans="1:15" x14ac:dyDescent="0.3">
      <c r="A492" s="33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0">
        <v>3909.72</v>
      </c>
    </row>
    <row r="493" spans="1:15" x14ac:dyDescent="0.3">
      <c r="A493" s="33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0">
        <v>1557.8</v>
      </c>
    </row>
    <row r="494" spans="1:15" x14ac:dyDescent="0.3">
      <c r="A494" s="33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0">
        <v>9765.19</v>
      </c>
    </row>
    <row r="495" spans="1:15" x14ac:dyDescent="0.3">
      <c r="A495" s="33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0">
        <v>2515.5500000000002</v>
      </c>
    </row>
    <row r="496" spans="1:15" x14ac:dyDescent="0.3">
      <c r="A496" s="33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0">
        <v>4787.5200000000004</v>
      </c>
    </row>
    <row r="497" spans="1:15" x14ac:dyDescent="0.3">
      <c r="A497" s="33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0">
        <v>5418.77</v>
      </c>
    </row>
    <row r="498" spans="1:15" x14ac:dyDescent="0.3">
      <c r="A498" s="33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0">
        <v>6437.75</v>
      </c>
    </row>
    <row r="499" spans="1:15" x14ac:dyDescent="0.3">
      <c r="A499" s="33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0">
        <v>15770.81</v>
      </c>
    </row>
    <row r="500" spans="1:15" x14ac:dyDescent="0.3">
      <c r="A500" s="33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0">
        <v>4695.08</v>
      </c>
    </row>
    <row r="501" spans="1:15" x14ac:dyDescent="0.3">
      <c r="A501" s="13">
        <v>10500</v>
      </c>
      <c r="B501" s="29">
        <v>1569</v>
      </c>
      <c r="C501" s="35">
        <v>44972</v>
      </c>
      <c r="D501" s="35">
        <v>44977</v>
      </c>
      <c r="E501" s="29" t="s">
        <v>15</v>
      </c>
      <c r="F501" s="29" t="s">
        <v>16</v>
      </c>
      <c r="G501" s="29" t="s">
        <v>30</v>
      </c>
      <c r="H501" s="29" t="s">
        <v>42</v>
      </c>
      <c r="I501" s="29" t="s">
        <v>31</v>
      </c>
      <c r="J501" s="29" t="s">
        <v>65</v>
      </c>
      <c r="K501" s="29" t="s">
        <v>33</v>
      </c>
      <c r="L501" s="29">
        <v>1</v>
      </c>
      <c r="M501" s="29">
        <v>2432.17</v>
      </c>
      <c r="N501" s="29">
        <v>20</v>
      </c>
      <c r="O501" s="14">
        <v>1945.74</v>
      </c>
    </row>
    <row r="502" spans="1:15" x14ac:dyDescent="0.3">
      <c r="A502" s="13">
        <v>10502</v>
      </c>
      <c r="B502" s="29">
        <v>1570</v>
      </c>
      <c r="C502" s="35">
        <v>44973</v>
      </c>
      <c r="D502" s="35">
        <v>44978</v>
      </c>
      <c r="E502" s="29" t="s">
        <v>15</v>
      </c>
      <c r="F502" s="29" t="s">
        <v>16</v>
      </c>
      <c r="G502" s="29" t="s">
        <v>30</v>
      </c>
      <c r="H502" s="29" t="s">
        <v>44</v>
      </c>
      <c r="I502" s="29" t="s">
        <v>52</v>
      </c>
      <c r="J502" s="29" t="s">
        <v>60</v>
      </c>
      <c r="K502" s="29" t="s">
        <v>21</v>
      </c>
      <c r="L502" s="29">
        <v>8</v>
      </c>
      <c r="M502" s="29">
        <v>37888</v>
      </c>
      <c r="N502" s="29">
        <v>85</v>
      </c>
      <c r="O502" s="10">
        <v>732.19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5595-DCB1-4803-8092-3E0F2CAA335C}">
  <dimension ref="A1:SG501"/>
  <sheetViews>
    <sheetView workbookViewId="0">
      <selection activeCell="I26" sqref="I26"/>
    </sheetView>
  </sheetViews>
  <sheetFormatPr defaultRowHeight="14.4" x14ac:dyDescent="0.3"/>
  <cols>
    <col min="1" max="1" width="15.88671875" bestFit="1" customWidth="1"/>
    <col min="2" max="2" width="14.21875" bestFit="1" customWidth="1"/>
    <col min="3" max="3" width="10.33203125" bestFit="1" customWidth="1"/>
    <col min="4" max="4" width="11.21875" bestFit="1" customWidth="1"/>
    <col min="5" max="5" width="14.5546875" bestFit="1" customWidth="1"/>
    <col min="6" max="6" width="11.21875" bestFit="1" customWidth="1"/>
    <col min="7" max="7" width="14.21875" bestFit="1" customWidth="1"/>
    <col min="8" max="9" width="10.33203125" bestFit="1" customWidth="1"/>
    <col min="10" max="10" width="11.109375" bestFit="1" customWidth="1"/>
    <col min="11" max="12" width="14.5546875" bestFit="1" customWidth="1"/>
    <col min="13" max="13" width="10.77734375" bestFit="1" customWidth="1"/>
    <col min="14" max="15" width="14.5546875" bestFit="1" customWidth="1"/>
    <col min="16" max="16" width="10.33203125" bestFit="1" customWidth="1"/>
    <col min="17" max="17" width="11.109375" bestFit="1" customWidth="1"/>
    <col min="18" max="18" width="11.44140625" bestFit="1" customWidth="1"/>
    <col min="19" max="19" width="14.21875" bestFit="1" customWidth="1"/>
    <col min="20" max="20" width="11.21875" bestFit="1" customWidth="1"/>
    <col min="21" max="21" width="10.77734375" bestFit="1" customWidth="1"/>
    <col min="22" max="22" width="11.109375" bestFit="1" customWidth="1"/>
    <col min="23" max="23" width="14.5546875" bestFit="1" customWidth="1"/>
    <col min="24" max="25" width="10.77734375" bestFit="1" customWidth="1"/>
    <col min="26" max="27" width="11.21875" bestFit="1" customWidth="1"/>
    <col min="28" max="28" width="14.5546875" bestFit="1" customWidth="1"/>
    <col min="29" max="29" width="10.77734375" bestFit="1" customWidth="1"/>
    <col min="30" max="30" width="11.109375" bestFit="1" customWidth="1"/>
    <col min="31" max="31" width="14.5546875" bestFit="1" customWidth="1"/>
    <col min="32" max="32" width="11.21875" bestFit="1" customWidth="1"/>
    <col min="33" max="33" width="14.21875" bestFit="1" customWidth="1"/>
    <col min="34" max="34" width="10.33203125" bestFit="1" customWidth="1"/>
    <col min="35" max="36" width="11.21875" bestFit="1" customWidth="1"/>
    <col min="37" max="37" width="10.77734375" bestFit="1" customWidth="1"/>
    <col min="38" max="38" width="14.21875" bestFit="1" customWidth="1"/>
    <col min="39" max="39" width="11.109375" bestFit="1" customWidth="1"/>
    <col min="40" max="40" width="10.33203125" bestFit="1" customWidth="1"/>
    <col min="41" max="41" width="14.5546875" bestFit="1" customWidth="1"/>
    <col min="42" max="42" width="10.5546875" bestFit="1" customWidth="1"/>
    <col min="43" max="44" width="14.5546875" bestFit="1" customWidth="1"/>
    <col min="45" max="45" width="11.109375" bestFit="1" customWidth="1"/>
    <col min="46" max="46" width="10.33203125" bestFit="1" customWidth="1"/>
    <col min="47" max="47" width="11.44140625" bestFit="1" customWidth="1"/>
    <col min="48" max="49" width="10.33203125" bestFit="1" customWidth="1"/>
    <col min="50" max="50" width="11.109375" bestFit="1" customWidth="1"/>
    <col min="51" max="51" width="10.77734375" bestFit="1" customWidth="1"/>
    <col min="52" max="54" width="14.5546875" bestFit="1" customWidth="1"/>
    <col min="55" max="55" width="11.109375" bestFit="1" customWidth="1"/>
    <col min="56" max="56" width="10.5546875" bestFit="1" customWidth="1"/>
    <col min="57" max="57" width="11.109375" bestFit="1" customWidth="1"/>
    <col min="58" max="58" width="11.6640625" bestFit="1" customWidth="1"/>
    <col min="59" max="59" width="11.109375" bestFit="1" customWidth="1"/>
    <col min="60" max="60" width="10.77734375" bestFit="1" customWidth="1"/>
    <col min="61" max="61" width="11.21875" bestFit="1" customWidth="1"/>
    <col min="62" max="62" width="11.44140625" bestFit="1" customWidth="1"/>
    <col min="63" max="63" width="14.5546875" bestFit="1" customWidth="1"/>
    <col min="64" max="65" width="11.21875" bestFit="1" customWidth="1"/>
    <col min="66" max="66" width="14.21875" bestFit="1" customWidth="1"/>
    <col min="67" max="67" width="14.5546875" bestFit="1" customWidth="1"/>
    <col min="68" max="68" width="10.77734375" bestFit="1" customWidth="1"/>
    <col min="69" max="69" width="11.21875" bestFit="1" customWidth="1"/>
    <col min="70" max="70" width="10.33203125" bestFit="1" customWidth="1"/>
    <col min="71" max="71" width="14.5546875" bestFit="1" customWidth="1"/>
    <col min="72" max="72" width="11.109375" bestFit="1" customWidth="1"/>
    <col min="73" max="73" width="14.21875" bestFit="1" customWidth="1"/>
    <col min="74" max="74" width="10.88671875" bestFit="1" customWidth="1"/>
    <col min="75" max="75" width="14.5546875" bestFit="1" customWidth="1"/>
    <col min="76" max="76" width="11.6640625" bestFit="1" customWidth="1"/>
    <col min="77" max="77" width="14.5546875" bestFit="1" customWidth="1"/>
    <col min="78" max="78" width="11.44140625" bestFit="1" customWidth="1"/>
    <col min="79" max="80" width="14.5546875" bestFit="1" customWidth="1"/>
    <col min="81" max="81" width="11.44140625" bestFit="1" customWidth="1"/>
    <col min="82" max="82" width="11.21875" bestFit="1" customWidth="1"/>
    <col min="83" max="83" width="10.77734375" bestFit="1" customWidth="1"/>
    <col min="84" max="84" width="10.33203125" bestFit="1" customWidth="1"/>
    <col min="85" max="87" width="11.21875" bestFit="1" customWidth="1"/>
    <col min="88" max="89" width="11.109375" bestFit="1" customWidth="1"/>
    <col min="90" max="90" width="10.77734375" bestFit="1" customWidth="1"/>
    <col min="91" max="91" width="14.5546875" bestFit="1" customWidth="1"/>
    <col min="92" max="92" width="10.33203125" bestFit="1" customWidth="1"/>
    <col min="93" max="93" width="11.21875" bestFit="1" customWidth="1"/>
    <col min="94" max="94" width="11.109375" bestFit="1" customWidth="1"/>
    <col min="95" max="95" width="11.21875" bestFit="1" customWidth="1"/>
    <col min="96" max="96" width="11.44140625" bestFit="1" customWidth="1"/>
    <col min="97" max="98" width="10.33203125" bestFit="1" customWidth="1"/>
    <col min="99" max="99" width="11.44140625" bestFit="1" customWidth="1"/>
    <col min="100" max="100" width="10.77734375" bestFit="1" customWidth="1"/>
    <col min="101" max="101" width="14.21875" bestFit="1" customWidth="1"/>
    <col min="102" max="102" width="11.21875" bestFit="1" customWidth="1"/>
    <col min="103" max="103" width="11.44140625" bestFit="1" customWidth="1"/>
    <col min="104" max="104" width="14.21875" bestFit="1" customWidth="1"/>
    <col min="105" max="105" width="11.44140625" bestFit="1" customWidth="1"/>
    <col min="106" max="106" width="14.5546875" bestFit="1" customWidth="1"/>
    <col min="107" max="107" width="11.21875" bestFit="1" customWidth="1"/>
    <col min="108" max="108" width="10.33203125" bestFit="1" customWidth="1"/>
    <col min="109" max="109" width="11.109375" bestFit="1" customWidth="1"/>
    <col min="110" max="110" width="10.33203125" bestFit="1" customWidth="1"/>
    <col min="111" max="112" width="14.5546875" bestFit="1" customWidth="1"/>
    <col min="113" max="113" width="11.21875" bestFit="1" customWidth="1"/>
    <col min="114" max="114" width="10.33203125" bestFit="1" customWidth="1"/>
    <col min="115" max="115" width="11.21875" bestFit="1" customWidth="1"/>
    <col min="116" max="116" width="11.44140625" bestFit="1" customWidth="1"/>
    <col min="117" max="117" width="11.21875" bestFit="1" customWidth="1"/>
    <col min="118" max="118" width="11.6640625" bestFit="1" customWidth="1"/>
    <col min="119" max="119" width="10.33203125" bestFit="1" customWidth="1"/>
    <col min="120" max="120" width="14.5546875" bestFit="1" customWidth="1"/>
    <col min="121" max="121" width="10.77734375" bestFit="1" customWidth="1"/>
    <col min="122" max="122" width="14.5546875" bestFit="1" customWidth="1"/>
    <col min="123" max="123" width="10.77734375" bestFit="1" customWidth="1"/>
    <col min="124" max="125" width="10.33203125" bestFit="1" customWidth="1"/>
    <col min="126" max="126" width="11.21875" bestFit="1" customWidth="1"/>
    <col min="127" max="128" width="11.44140625" bestFit="1" customWidth="1"/>
    <col min="129" max="129" width="14.5546875" bestFit="1" customWidth="1"/>
    <col min="130" max="130" width="11.109375" bestFit="1" customWidth="1"/>
    <col min="131" max="131" width="10.77734375" bestFit="1" customWidth="1"/>
    <col min="132" max="132" width="10.33203125" bestFit="1" customWidth="1"/>
    <col min="133" max="133" width="14.5546875" bestFit="1" customWidth="1"/>
    <col min="134" max="134" width="10.33203125" bestFit="1" customWidth="1"/>
    <col min="135" max="135" width="14.5546875" bestFit="1" customWidth="1"/>
    <col min="136" max="136" width="14.21875" bestFit="1" customWidth="1"/>
    <col min="137" max="137" width="10.33203125" bestFit="1" customWidth="1"/>
    <col min="138" max="138" width="11.109375" bestFit="1" customWidth="1"/>
    <col min="139" max="139" width="14.5546875" bestFit="1" customWidth="1"/>
    <col min="140" max="140" width="10.77734375" bestFit="1" customWidth="1"/>
    <col min="141" max="141" width="11.44140625" bestFit="1" customWidth="1"/>
    <col min="142" max="142" width="11.109375" bestFit="1" customWidth="1"/>
    <col min="143" max="143" width="10.77734375" bestFit="1" customWidth="1"/>
    <col min="144" max="144" width="11.6640625" bestFit="1" customWidth="1"/>
    <col min="145" max="145" width="14.21875" bestFit="1" customWidth="1"/>
    <col min="146" max="146" width="14.5546875" bestFit="1" customWidth="1"/>
    <col min="147" max="147" width="11.21875" bestFit="1" customWidth="1"/>
    <col min="148" max="148" width="11.44140625" bestFit="1" customWidth="1"/>
    <col min="149" max="149" width="14.21875" bestFit="1" customWidth="1"/>
    <col min="150" max="150" width="11.21875" bestFit="1" customWidth="1"/>
    <col min="151" max="151" width="11.44140625" bestFit="1" customWidth="1"/>
    <col min="152" max="152" width="11.21875" bestFit="1" customWidth="1"/>
    <col min="153" max="153" width="10.33203125" bestFit="1" customWidth="1"/>
    <col min="154" max="155" width="14.21875" bestFit="1" customWidth="1"/>
    <col min="156" max="156" width="11.21875" bestFit="1" customWidth="1"/>
    <col min="157" max="157" width="10.33203125" bestFit="1" customWidth="1"/>
    <col min="158" max="158" width="14.21875" bestFit="1" customWidth="1"/>
    <col min="159" max="159" width="10.33203125" bestFit="1" customWidth="1"/>
    <col min="160" max="160" width="10.88671875" bestFit="1" customWidth="1"/>
    <col min="161" max="161" width="10.33203125" bestFit="1" customWidth="1"/>
    <col min="162" max="162" width="14.5546875" bestFit="1" customWidth="1"/>
    <col min="163" max="163" width="11.6640625" bestFit="1" customWidth="1"/>
    <col min="164" max="164" width="11.21875" bestFit="1" customWidth="1"/>
    <col min="165" max="166" width="14.5546875" bestFit="1" customWidth="1"/>
    <col min="167" max="169" width="11.21875" bestFit="1" customWidth="1"/>
    <col min="170" max="170" width="14.21875" bestFit="1" customWidth="1"/>
    <col min="171" max="171" width="10.33203125" bestFit="1" customWidth="1"/>
    <col min="172" max="172" width="14.21875" bestFit="1" customWidth="1"/>
    <col min="173" max="173" width="11.44140625" bestFit="1" customWidth="1"/>
    <col min="174" max="174" width="10.77734375" bestFit="1" customWidth="1"/>
    <col min="175" max="175" width="11.21875" bestFit="1" customWidth="1"/>
    <col min="176" max="176" width="10.33203125" bestFit="1" customWidth="1"/>
    <col min="177" max="177" width="11.21875" bestFit="1" customWidth="1"/>
    <col min="178" max="178" width="10.33203125" bestFit="1" customWidth="1"/>
    <col min="179" max="179" width="11.109375" bestFit="1" customWidth="1"/>
    <col min="180" max="180" width="11.21875" bestFit="1" customWidth="1"/>
    <col min="181" max="181" width="14.5546875" bestFit="1" customWidth="1"/>
    <col min="182" max="182" width="11.109375" bestFit="1" customWidth="1"/>
    <col min="183" max="183" width="10.77734375" bestFit="1" customWidth="1"/>
    <col min="184" max="184" width="11.21875" bestFit="1" customWidth="1"/>
    <col min="185" max="185" width="11.44140625" bestFit="1" customWidth="1"/>
    <col min="186" max="186" width="10.33203125" bestFit="1" customWidth="1"/>
    <col min="187" max="187" width="11.21875" bestFit="1" customWidth="1"/>
    <col min="188" max="188" width="14.21875" bestFit="1" customWidth="1"/>
    <col min="189" max="189" width="11.44140625" bestFit="1" customWidth="1"/>
    <col min="190" max="190" width="14.5546875" bestFit="1" customWidth="1"/>
    <col min="191" max="191" width="11.44140625" bestFit="1" customWidth="1"/>
    <col min="192" max="193" width="14.5546875" bestFit="1" customWidth="1"/>
    <col min="194" max="194" width="11.21875" bestFit="1" customWidth="1"/>
    <col min="195" max="195" width="10.33203125" bestFit="1" customWidth="1"/>
    <col min="196" max="196" width="14.5546875" bestFit="1" customWidth="1"/>
    <col min="197" max="197" width="11.21875" bestFit="1" customWidth="1"/>
    <col min="198" max="198" width="14.5546875" bestFit="1" customWidth="1"/>
    <col min="199" max="199" width="14.21875" bestFit="1" customWidth="1"/>
    <col min="200" max="200" width="14.5546875" bestFit="1" customWidth="1"/>
    <col min="201" max="201" width="14.21875" bestFit="1" customWidth="1"/>
    <col min="202" max="202" width="11.21875" bestFit="1" customWidth="1"/>
    <col min="203" max="204" width="11.44140625" bestFit="1" customWidth="1"/>
    <col min="205" max="205" width="10.33203125" bestFit="1" customWidth="1"/>
    <col min="206" max="206" width="14.5546875" bestFit="1" customWidth="1"/>
    <col min="207" max="207" width="11.109375" bestFit="1" customWidth="1"/>
    <col min="208" max="209" width="10.77734375" bestFit="1" customWidth="1"/>
    <col min="210" max="210" width="11.109375" bestFit="1" customWidth="1"/>
    <col min="211" max="211" width="14.21875" bestFit="1" customWidth="1"/>
    <col min="212" max="212" width="10.77734375" bestFit="1" customWidth="1"/>
    <col min="213" max="213" width="11.21875" bestFit="1" customWidth="1"/>
    <col min="214" max="214" width="10.77734375" bestFit="1" customWidth="1"/>
    <col min="215" max="215" width="11.109375" bestFit="1" customWidth="1"/>
    <col min="216" max="217" width="10.33203125" bestFit="1" customWidth="1"/>
    <col min="218" max="219" width="11.109375" bestFit="1" customWidth="1"/>
    <col min="220" max="220" width="14.5546875" bestFit="1" customWidth="1"/>
    <col min="221" max="222" width="14.21875" bestFit="1" customWidth="1"/>
    <col min="223" max="223" width="10.77734375" bestFit="1" customWidth="1"/>
    <col min="224" max="224" width="11.44140625" bestFit="1" customWidth="1"/>
    <col min="225" max="225" width="11.6640625" bestFit="1" customWidth="1"/>
    <col min="226" max="226" width="11.21875" bestFit="1" customWidth="1"/>
    <col min="227" max="227" width="10.77734375" bestFit="1" customWidth="1"/>
    <col min="228" max="228" width="14.21875" bestFit="1" customWidth="1"/>
    <col min="229" max="229" width="14.5546875" bestFit="1" customWidth="1"/>
    <col min="230" max="230" width="11.44140625" bestFit="1" customWidth="1"/>
    <col min="231" max="231" width="14.5546875" bestFit="1" customWidth="1"/>
    <col min="232" max="232" width="11.21875" bestFit="1" customWidth="1"/>
    <col min="233" max="233" width="11.109375" bestFit="1" customWidth="1"/>
    <col min="234" max="234" width="14.21875" bestFit="1" customWidth="1"/>
    <col min="235" max="235" width="11.21875" bestFit="1" customWidth="1"/>
    <col min="236" max="236" width="14.5546875" bestFit="1" customWidth="1"/>
    <col min="237" max="237" width="11.21875" bestFit="1" customWidth="1"/>
    <col min="238" max="238" width="14.21875" bestFit="1" customWidth="1"/>
    <col min="239" max="239" width="14.5546875" bestFit="1" customWidth="1"/>
    <col min="240" max="240" width="10.33203125" bestFit="1" customWidth="1"/>
    <col min="241" max="241" width="10.77734375" bestFit="1" customWidth="1"/>
    <col min="242" max="242" width="14.21875" bestFit="1" customWidth="1"/>
    <col min="243" max="243" width="11.109375" bestFit="1" customWidth="1"/>
    <col min="244" max="244" width="11.21875" bestFit="1" customWidth="1"/>
    <col min="245" max="245" width="11.109375" bestFit="1" customWidth="1"/>
    <col min="246" max="246" width="11.21875" bestFit="1" customWidth="1"/>
    <col min="247" max="247" width="11.109375" bestFit="1" customWidth="1"/>
    <col min="248" max="248" width="14.5546875" bestFit="1" customWidth="1"/>
    <col min="249" max="249" width="11.21875" bestFit="1" customWidth="1"/>
    <col min="250" max="250" width="10.33203125" bestFit="1" customWidth="1"/>
    <col min="251" max="251" width="14.5546875" bestFit="1" customWidth="1"/>
    <col min="252" max="252" width="10.33203125" bestFit="1" customWidth="1"/>
    <col min="253" max="253" width="10.77734375" bestFit="1" customWidth="1"/>
    <col min="254" max="254" width="14.5546875" bestFit="1" customWidth="1"/>
    <col min="255" max="255" width="10.77734375" bestFit="1" customWidth="1"/>
    <col min="256" max="257" width="14.21875" bestFit="1" customWidth="1"/>
    <col min="258" max="258" width="10.33203125" bestFit="1" customWidth="1"/>
    <col min="259" max="259" width="14.5546875" bestFit="1" customWidth="1"/>
    <col min="260" max="260" width="11.109375" bestFit="1" customWidth="1"/>
    <col min="261" max="261" width="10.77734375" bestFit="1" customWidth="1"/>
    <col min="262" max="262" width="11.44140625" bestFit="1" customWidth="1"/>
    <col min="263" max="263" width="10.33203125" bestFit="1" customWidth="1"/>
    <col min="264" max="264" width="14.5546875" bestFit="1" customWidth="1"/>
    <col min="265" max="265" width="11.21875" bestFit="1" customWidth="1"/>
    <col min="266" max="266" width="10.33203125" bestFit="1" customWidth="1"/>
    <col min="267" max="267" width="14.5546875" bestFit="1" customWidth="1"/>
    <col min="268" max="269" width="11.21875" bestFit="1" customWidth="1"/>
    <col min="270" max="271" width="14.5546875" bestFit="1" customWidth="1"/>
    <col min="272" max="272" width="14.21875" bestFit="1" customWidth="1"/>
    <col min="273" max="273" width="10.77734375" bestFit="1" customWidth="1"/>
    <col min="274" max="274" width="11.44140625" bestFit="1" customWidth="1"/>
    <col min="275" max="275" width="10.33203125" bestFit="1" customWidth="1"/>
    <col min="276" max="276" width="11.44140625" bestFit="1" customWidth="1"/>
    <col min="277" max="277" width="10.33203125" bestFit="1" customWidth="1"/>
    <col min="278" max="278" width="11.21875" bestFit="1" customWidth="1"/>
    <col min="279" max="279" width="14.21875" bestFit="1" customWidth="1"/>
    <col min="280" max="280" width="14.5546875" bestFit="1" customWidth="1"/>
    <col min="281" max="281" width="10.88671875" bestFit="1" customWidth="1"/>
    <col min="282" max="282" width="11.44140625" bestFit="1" customWidth="1"/>
    <col min="283" max="283" width="10.77734375" bestFit="1" customWidth="1"/>
    <col min="284" max="284" width="11.21875" bestFit="1" customWidth="1"/>
    <col min="285" max="285" width="14.5546875" bestFit="1" customWidth="1"/>
    <col min="286" max="286" width="10.33203125" bestFit="1" customWidth="1"/>
    <col min="287" max="287" width="11.6640625" bestFit="1" customWidth="1"/>
    <col min="288" max="289" width="10.33203125" bestFit="1" customWidth="1"/>
    <col min="290" max="290" width="11.6640625" bestFit="1" customWidth="1"/>
    <col min="291" max="291" width="14.21875" bestFit="1" customWidth="1"/>
    <col min="292" max="292" width="11.44140625" bestFit="1" customWidth="1"/>
    <col min="293" max="293" width="14.5546875" bestFit="1" customWidth="1"/>
    <col min="294" max="294" width="10.77734375" bestFit="1" customWidth="1"/>
    <col min="295" max="295" width="14.5546875" bestFit="1" customWidth="1"/>
    <col min="296" max="296" width="10.77734375" bestFit="1" customWidth="1"/>
    <col min="297" max="297" width="14.5546875" bestFit="1" customWidth="1"/>
    <col min="298" max="298" width="14.21875" bestFit="1" customWidth="1"/>
    <col min="299" max="299" width="11.44140625" bestFit="1" customWidth="1"/>
    <col min="300" max="300" width="14.21875" bestFit="1" customWidth="1"/>
    <col min="301" max="301" width="11.21875" bestFit="1" customWidth="1"/>
    <col min="302" max="304" width="11.109375" bestFit="1" customWidth="1"/>
    <col min="305" max="305" width="10.33203125" bestFit="1" customWidth="1"/>
    <col min="306" max="306" width="14.5546875" bestFit="1" customWidth="1"/>
    <col min="307" max="307" width="11.21875" bestFit="1" customWidth="1"/>
    <col min="308" max="308" width="11.6640625" bestFit="1" customWidth="1"/>
    <col min="309" max="310" width="11.21875" bestFit="1" customWidth="1"/>
    <col min="311" max="311" width="10.77734375" bestFit="1" customWidth="1"/>
    <col min="312" max="312" width="14.21875" bestFit="1" customWidth="1"/>
    <col min="313" max="313" width="11.21875" bestFit="1" customWidth="1"/>
    <col min="314" max="314" width="14.5546875" bestFit="1" customWidth="1"/>
    <col min="315" max="315" width="10.33203125" bestFit="1" customWidth="1"/>
    <col min="316" max="316" width="11.109375" bestFit="1" customWidth="1"/>
    <col min="317" max="317" width="11.6640625" bestFit="1" customWidth="1"/>
    <col min="318" max="318" width="10.33203125" bestFit="1" customWidth="1"/>
    <col min="319" max="319" width="14.5546875" bestFit="1" customWidth="1"/>
    <col min="320" max="320" width="11.109375" bestFit="1" customWidth="1"/>
    <col min="321" max="321" width="14.5546875" bestFit="1" customWidth="1"/>
    <col min="322" max="322" width="11.21875" bestFit="1" customWidth="1"/>
    <col min="323" max="323" width="14.5546875" bestFit="1" customWidth="1"/>
    <col min="324" max="324" width="10.33203125" bestFit="1" customWidth="1"/>
    <col min="325" max="325" width="11.6640625" bestFit="1" customWidth="1"/>
    <col min="326" max="326" width="14.5546875" bestFit="1" customWidth="1"/>
    <col min="327" max="327" width="10.33203125" bestFit="1" customWidth="1"/>
    <col min="328" max="328" width="10.77734375" bestFit="1" customWidth="1"/>
    <col min="329" max="329" width="11.44140625" bestFit="1" customWidth="1"/>
    <col min="330" max="330" width="10.33203125" bestFit="1" customWidth="1"/>
    <col min="331" max="331" width="11.44140625" bestFit="1" customWidth="1"/>
    <col min="332" max="332" width="14.5546875" bestFit="1" customWidth="1"/>
    <col min="333" max="333" width="10.77734375" bestFit="1" customWidth="1"/>
    <col min="334" max="334" width="11.44140625" bestFit="1" customWidth="1"/>
    <col min="335" max="336" width="14.5546875" bestFit="1" customWidth="1"/>
    <col min="337" max="337" width="14.21875" bestFit="1" customWidth="1"/>
    <col min="338" max="338" width="10.33203125" bestFit="1" customWidth="1"/>
    <col min="339" max="339" width="11.21875" bestFit="1" customWidth="1"/>
    <col min="340" max="340" width="11.44140625" bestFit="1" customWidth="1"/>
    <col min="341" max="341" width="11.21875" bestFit="1" customWidth="1"/>
    <col min="342" max="343" width="14.5546875" bestFit="1" customWidth="1"/>
    <col min="344" max="344" width="10.77734375" bestFit="1" customWidth="1"/>
    <col min="345" max="346" width="11.21875" bestFit="1" customWidth="1"/>
    <col min="347" max="347" width="10.33203125" bestFit="1" customWidth="1"/>
    <col min="348" max="348" width="14.21875" bestFit="1" customWidth="1"/>
    <col min="349" max="349" width="11.109375" bestFit="1" customWidth="1"/>
    <col min="350" max="350" width="14.21875" bestFit="1" customWidth="1"/>
    <col min="351" max="351" width="10.33203125" bestFit="1" customWidth="1"/>
    <col min="352" max="352" width="14.5546875" bestFit="1" customWidth="1"/>
    <col min="353" max="354" width="11.21875" bestFit="1" customWidth="1"/>
    <col min="355" max="355" width="11.6640625" bestFit="1" customWidth="1"/>
    <col min="356" max="356" width="14.5546875" bestFit="1" customWidth="1"/>
    <col min="357" max="357" width="11.21875" bestFit="1" customWidth="1"/>
    <col min="358" max="358" width="11.6640625" bestFit="1" customWidth="1"/>
    <col min="359" max="359" width="14.5546875" bestFit="1" customWidth="1"/>
    <col min="360" max="360" width="10.33203125" bestFit="1" customWidth="1"/>
    <col min="361" max="361" width="11.21875" bestFit="1" customWidth="1"/>
    <col min="362" max="363" width="10.33203125" bestFit="1" customWidth="1"/>
    <col min="364" max="364" width="11.21875" bestFit="1" customWidth="1"/>
    <col min="365" max="365" width="10.33203125" bestFit="1" customWidth="1"/>
    <col min="366" max="366" width="14.5546875" bestFit="1" customWidth="1"/>
    <col min="367" max="367" width="10.77734375" bestFit="1" customWidth="1"/>
    <col min="368" max="370" width="14.5546875" bestFit="1" customWidth="1"/>
    <col min="371" max="371" width="11.21875" bestFit="1" customWidth="1"/>
    <col min="372" max="372" width="10.88671875" bestFit="1" customWidth="1"/>
    <col min="373" max="373" width="14.5546875" bestFit="1" customWidth="1"/>
    <col min="374" max="374" width="10.33203125" bestFit="1" customWidth="1"/>
    <col min="375" max="375" width="11.6640625" bestFit="1" customWidth="1"/>
    <col min="376" max="376" width="14.5546875" bestFit="1" customWidth="1"/>
    <col min="377" max="377" width="11.44140625" bestFit="1" customWidth="1"/>
    <col min="378" max="378" width="10.33203125" bestFit="1" customWidth="1"/>
    <col min="379" max="380" width="14.5546875" bestFit="1" customWidth="1"/>
    <col min="381" max="381" width="14.21875" bestFit="1" customWidth="1"/>
    <col min="382" max="382" width="10.33203125" bestFit="1" customWidth="1"/>
    <col min="383" max="383" width="11.21875" bestFit="1" customWidth="1"/>
    <col min="384" max="384" width="10.77734375" bestFit="1" customWidth="1"/>
    <col min="385" max="385" width="14.21875" bestFit="1" customWidth="1"/>
    <col min="386" max="386" width="10.77734375" bestFit="1" customWidth="1"/>
    <col min="387" max="387" width="10.88671875" bestFit="1" customWidth="1"/>
    <col min="388" max="388" width="11.109375" bestFit="1" customWidth="1"/>
    <col min="389" max="389" width="11.44140625" bestFit="1" customWidth="1"/>
    <col min="390" max="391" width="14.5546875" bestFit="1" customWidth="1"/>
    <col min="392" max="392" width="14.21875" bestFit="1" customWidth="1"/>
    <col min="393" max="393" width="10.33203125" bestFit="1" customWidth="1"/>
    <col min="394" max="394" width="14.5546875" bestFit="1" customWidth="1"/>
    <col min="395" max="395" width="11.109375" bestFit="1" customWidth="1"/>
    <col min="396" max="396" width="10.33203125" bestFit="1" customWidth="1"/>
    <col min="397" max="398" width="11.21875" bestFit="1" customWidth="1"/>
    <col min="399" max="399" width="11.109375" bestFit="1" customWidth="1"/>
    <col min="400" max="400" width="14.21875" bestFit="1" customWidth="1"/>
    <col min="401" max="402" width="14.5546875" bestFit="1" customWidth="1"/>
    <col min="403" max="403" width="10.77734375" bestFit="1" customWidth="1"/>
    <col min="404" max="404" width="10.33203125" bestFit="1" customWidth="1"/>
    <col min="405" max="406" width="14.21875" bestFit="1" customWidth="1"/>
    <col min="407" max="407" width="11.21875" bestFit="1" customWidth="1"/>
    <col min="408" max="408" width="10.33203125" bestFit="1" customWidth="1"/>
    <col min="409" max="409" width="11.21875" bestFit="1" customWidth="1"/>
    <col min="410" max="410" width="10.33203125" bestFit="1" customWidth="1"/>
    <col min="411" max="411" width="11.21875" bestFit="1" customWidth="1"/>
    <col min="412" max="412" width="14.21875" bestFit="1" customWidth="1"/>
    <col min="413" max="413" width="10.33203125" bestFit="1" customWidth="1"/>
    <col min="414" max="418" width="11.44140625" bestFit="1" customWidth="1"/>
    <col min="419" max="420" width="14.5546875" bestFit="1" customWidth="1"/>
    <col min="421" max="421" width="14.21875" bestFit="1" customWidth="1"/>
    <col min="422" max="422" width="10.5546875" bestFit="1" customWidth="1"/>
    <col min="423" max="423" width="11.44140625" bestFit="1" customWidth="1"/>
    <col min="424" max="424" width="10.33203125" bestFit="1" customWidth="1"/>
    <col min="425" max="426" width="11.21875" bestFit="1" customWidth="1"/>
    <col min="427" max="427" width="11.109375" bestFit="1" customWidth="1"/>
    <col min="428" max="428" width="14.21875" bestFit="1" customWidth="1"/>
    <col min="429" max="429" width="11.21875" bestFit="1" customWidth="1"/>
    <col min="430" max="431" width="10.33203125" bestFit="1" customWidth="1"/>
    <col min="432" max="432" width="14.5546875" bestFit="1" customWidth="1"/>
    <col min="433" max="433" width="11.21875" bestFit="1" customWidth="1"/>
    <col min="434" max="434" width="11.44140625" bestFit="1" customWidth="1"/>
    <col min="435" max="435" width="14.21875" bestFit="1" customWidth="1"/>
    <col min="436" max="436" width="11.109375" bestFit="1" customWidth="1"/>
    <col min="437" max="437" width="11.21875" bestFit="1" customWidth="1"/>
    <col min="438" max="438" width="14.5546875" bestFit="1" customWidth="1"/>
    <col min="439" max="439" width="11.21875" bestFit="1" customWidth="1"/>
    <col min="440" max="440" width="14.5546875" bestFit="1" customWidth="1"/>
    <col min="441" max="441" width="11.44140625" bestFit="1" customWidth="1"/>
    <col min="442" max="442" width="10.77734375" bestFit="1" customWidth="1"/>
    <col min="443" max="443" width="14.5546875" bestFit="1" customWidth="1"/>
    <col min="444" max="444" width="11.44140625" bestFit="1" customWidth="1"/>
    <col min="445" max="445" width="11.21875" bestFit="1" customWidth="1"/>
    <col min="446" max="446" width="11.44140625" bestFit="1" customWidth="1"/>
    <col min="447" max="447" width="10.77734375" bestFit="1" customWidth="1"/>
    <col min="448" max="448" width="14.5546875" bestFit="1" customWidth="1"/>
    <col min="449" max="450" width="14.21875" bestFit="1" customWidth="1"/>
    <col min="451" max="451" width="11.21875" bestFit="1" customWidth="1"/>
    <col min="452" max="452" width="11.109375" bestFit="1" customWidth="1"/>
    <col min="453" max="453" width="10.88671875" bestFit="1" customWidth="1"/>
    <col min="454" max="454" width="10.77734375" bestFit="1" customWidth="1"/>
    <col min="455" max="455" width="11.6640625" bestFit="1" customWidth="1"/>
    <col min="456" max="456" width="11.109375" bestFit="1" customWidth="1"/>
    <col min="457" max="457" width="10.33203125" bestFit="1" customWidth="1"/>
    <col min="458" max="458" width="11.109375" bestFit="1" customWidth="1"/>
    <col min="459" max="459" width="14.21875" bestFit="1" customWidth="1"/>
    <col min="460" max="460" width="11.21875" bestFit="1" customWidth="1"/>
    <col min="461" max="461" width="11.109375" bestFit="1" customWidth="1"/>
    <col min="462" max="462" width="11.21875" bestFit="1" customWidth="1"/>
    <col min="463" max="463" width="10.5546875" bestFit="1" customWidth="1"/>
    <col min="464" max="464" width="14.5546875" bestFit="1" customWidth="1"/>
    <col min="465" max="465" width="11.21875" bestFit="1" customWidth="1"/>
    <col min="466" max="466" width="14.21875" bestFit="1" customWidth="1"/>
    <col min="467" max="467" width="14.5546875" bestFit="1" customWidth="1"/>
    <col min="468" max="469" width="10.33203125" bestFit="1" customWidth="1"/>
    <col min="470" max="471" width="11.21875" bestFit="1" customWidth="1"/>
    <col min="472" max="472" width="11.44140625" bestFit="1" customWidth="1"/>
    <col min="473" max="473" width="14.5546875" bestFit="1" customWidth="1"/>
    <col min="474" max="474" width="11.44140625" bestFit="1" customWidth="1"/>
    <col min="475" max="475" width="14.5546875" bestFit="1" customWidth="1"/>
    <col min="476" max="476" width="14.21875" bestFit="1" customWidth="1"/>
    <col min="477" max="477" width="14.5546875" bestFit="1" customWidth="1"/>
    <col min="478" max="478" width="11.44140625" bestFit="1" customWidth="1"/>
    <col min="479" max="479" width="11.109375" bestFit="1" customWidth="1"/>
    <col min="480" max="480" width="11.21875" bestFit="1" customWidth="1"/>
    <col min="481" max="482" width="11.109375" bestFit="1" customWidth="1"/>
    <col min="483" max="485" width="11.44140625" bestFit="1" customWidth="1"/>
    <col min="486" max="486" width="14.21875" bestFit="1" customWidth="1"/>
    <col min="487" max="487" width="10.77734375" bestFit="1" customWidth="1"/>
    <col min="488" max="488" width="11.21875" bestFit="1" customWidth="1"/>
    <col min="489" max="490" width="10.33203125" bestFit="1" customWidth="1"/>
    <col min="491" max="491" width="14.5546875" bestFit="1" customWidth="1"/>
    <col min="492" max="492" width="11.109375" bestFit="1" customWidth="1"/>
    <col min="493" max="493" width="10.33203125" bestFit="1" customWidth="1"/>
    <col min="494" max="494" width="10.88671875" bestFit="1" customWidth="1"/>
    <col min="495" max="495" width="10.33203125" bestFit="1" customWidth="1"/>
    <col min="496" max="496" width="11.21875" bestFit="1" customWidth="1"/>
    <col min="497" max="497" width="10.77734375" bestFit="1" customWidth="1"/>
    <col min="498" max="498" width="11.109375" bestFit="1" customWidth="1"/>
    <col min="499" max="499" width="11.21875" bestFit="1" customWidth="1"/>
    <col min="500" max="500" width="10.33203125" bestFit="1" customWidth="1"/>
    <col min="501" max="501" width="11.21875" bestFit="1" customWidth="1"/>
  </cols>
  <sheetData>
    <row r="1" spans="1:501" x14ac:dyDescent="0.3">
      <c r="A1" s="38" t="s">
        <v>0</v>
      </c>
      <c r="B1" s="36">
        <v>10001</v>
      </c>
      <c r="C1" s="36">
        <v>10002</v>
      </c>
      <c r="D1" s="36">
        <v>10003</v>
      </c>
      <c r="E1" s="36">
        <v>10004</v>
      </c>
      <c r="F1" s="36">
        <v>10005</v>
      </c>
      <c r="G1" s="36">
        <v>10006</v>
      </c>
      <c r="H1" s="36">
        <v>10007</v>
      </c>
      <c r="I1" s="36">
        <v>10008</v>
      </c>
      <c r="J1" s="36">
        <v>10009</v>
      </c>
      <c r="K1" s="36">
        <v>10010</v>
      </c>
      <c r="L1" s="36">
        <v>10011</v>
      </c>
      <c r="M1" s="36">
        <v>10012</v>
      </c>
      <c r="N1" s="36">
        <v>10013</v>
      </c>
      <c r="O1" s="36">
        <v>10014</v>
      </c>
      <c r="P1" s="36">
        <v>10015</v>
      </c>
      <c r="Q1" s="36">
        <v>10016</v>
      </c>
      <c r="R1" s="36">
        <v>10017</v>
      </c>
      <c r="S1" s="36">
        <v>10018</v>
      </c>
      <c r="T1" s="36">
        <v>10019</v>
      </c>
      <c r="U1" s="36">
        <v>10020</v>
      </c>
      <c r="V1" s="36">
        <v>10021</v>
      </c>
      <c r="W1" s="36">
        <v>10022</v>
      </c>
      <c r="X1" s="36">
        <v>10023</v>
      </c>
      <c r="Y1" s="36">
        <v>10024</v>
      </c>
      <c r="Z1" s="36">
        <v>10025</v>
      </c>
      <c r="AA1" s="36">
        <v>10026</v>
      </c>
      <c r="AB1" s="36">
        <v>10027</v>
      </c>
      <c r="AC1" s="36">
        <v>10028</v>
      </c>
      <c r="AD1" s="36">
        <v>10029</v>
      </c>
      <c r="AE1" s="36">
        <v>10030</v>
      </c>
      <c r="AF1" s="36">
        <v>10031</v>
      </c>
      <c r="AG1" s="36">
        <v>10032</v>
      </c>
      <c r="AH1" s="36">
        <v>10033</v>
      </c>
      <c r="AI1" s="36">
        <v>10034</v>
      </c>
      <c r="AJ1" s="36">
        <v>10035</v>
      </c>
      <c r="AK1" s="36">
        <v>10036</v>
      </c>
      <c r="AL1" s="36">
        <v>10037</v>
      </c>
      <c r="AM1" s="36">
        <v>10038</v>
      </c>
      <c r="AN1" s="36">
        <v>10039</v>
      </c>
      <c r="AO1" s="36">
        <v>10040</v>
      </c>
      <c r="AP1" s="36">
        <v>10041</v>
      </c>
      <c r="AQ1" s="36">
        <v>10042</v>
      </c>
      <c r="AR1" s="36">
        <v>10043</v>
      </c>
      <c r="AS1" s="36">
        <v>10044</v>
      </c>
      <c r="AT1" s="36">
        <v>10045</v>
      </c>
      <c r="AU1" s="36">
        <v>10046</v>
      </c>
      <c r="AV1" s="36">
        <v>10047</v>
      </c>
      <c r="AW1" s="36">
        <v>10048</v>
      </c>
      <c r="AX1" s="36">
        <v>10049</v>
      </c>
      <c r="AY1" s="36">
        <v>10050</v>
      </c>
      <c r="AZ1" s="36">
        <v>10051</v>
      </c>
      <c r="BA1" s="36">
        <v>10052</v>
      </c>
      <c r="BB1" s="36">
        <v>10053</v>
      </c>
      <c r="BC1" s="36">
        <v>10054</v>
      </c>
      <c r="BD1" s="36">
        <v>10055</v>
      </c>
      <c r="BE1" s="36">
        <v>10056</v>
      </c>
      <c r="BF1" s="36">
        <v>10057</v>
      </c>
      <c r="BG1" s="36">
        <v>10058</v>
      </c>
      <c r="BH1" s="36">
        <v>10059</v>
      </c>
      <c r="BI1" s="36">
        <v>10060</v>
      </c>
      <c r="BJ1" s="36">
        <v>10061</v>
      </c>
      <c r="BK1" s="36">
        <v>10062</v>
      </c>
      <c r="BL1" s="36">
        <v>10063</v>
      </c>
      <c r="BM1" s="36">
        <v>10064</v>
      </c>
      <c r="BN1" s="36">
        <v>10065</v>
      </c>
      <c r="BO1" s="36">
        <v>10066</v>
      </c>
      <c r="BP1" s="36">
        <v>10067</v>
      </c>
      <c r="BQ1" s="36">
        <v>10068</v>
      </c>
      <c r="BR1" s="36">
        <v>10069</v>
      </c>
      <c r="BS1" s="36">
        <v>10070</v>
      </c>
      <c r="BT1" s="36">
        <v>10071</v>
      </c>
      <c r="BU1" s="36">
        <v>10072</v>
      </c>
      <c r="BV1" s="36">
        <v>10073</v>
      </c>
      <c r="BW1" s="36">
        <v>10074</v>
      </c>
      <c r="BX1" s="36">
        <v>10075</v>
      </c>
      <c r="BY1" s="36">
        <v>10076</v>
      </c>
      <c r="BZ1" s="36">
        <v>10077</v>
      </c>
      <c r="CA1" s="36">
        <v>10078</v>
      </c>
      <c r="CB1" s="36">
        <v>10079</v>
      </c>
      <c r="CC1" s="36">
        <v>10080</v>
      </c>
      <c r="CD1" s="36">
        <v>10081</v>
      </c>
      <c r="CE1" s="36">
        <v>10082</v>
      </c>
      <c r="CF1" s="36">
        <v>10083</v>
      </c>
      <c r="CG1" s="36">
        <v>10084</v>
      </c>
      <c r="CH1" s="36">
        <v>10085</v>
      </c>
      <c r="CI1" s="36">
        <v>10086</v>
      </c>
      <c r="CJ1" s="36">
        <v>10087</v>
      </c>
      <c r="CK1" s="36">
        <v>10088</v>
      </c>
      <c r="CL1" s="36">
        <v>10089</v>
      </c>
      <c r="CM1" s="36">
        <v>10090</v>
      </c>
      <c r="CN1" s="36">
        <v>10091</v>
      </c>
      <c r="CO1" s="36">
        <v>10092</v>
      </c>
      <c r="CP1" s="36">
        <v>10093</v>
      </c>
      <c r="CQ1" s="36">
        <v>10094</v>
      </c>
      <c r="CR1" s="36">
        <v>10095</v>
      </c>
      <c r="CS1" s="36">
        <v>10096</v>
      </c>
      <c r="CT1" s="36">
        <v>10097</v>
      </c>
      <c r="CU1" s="36">
        <v>10098</v>
      </c>
      <c r="CV1" s="36">
        <v>10099</v>
      </c>
      <c r="CW1" s="36">
        <v>10100</v>
      </c>
      <c r="CX1" s="36">
        <v>10101</v>
      </c>
      <c r="CY1" s="36">
        <v>10102</v>
      </c>
      <c r="CZ1" s="36">
        <v>10103</v>
      </c>
      <c r="DA1" s="36">
        <v>10104</v>
      </c>
      <c r="DB1" s="36">
        <v>10105</v>
      </c>
      <c r="DC1" s="36">
        <v>10106</v>
      </c>
      <c r="DD1" s="36">
        <v>10107</v>
      </c>
      <c r="DE1" s="36">
        <v>10108</v>
      </c>
      <c r="DF1" s="36">
        <v>10109</v>
      </c>
      <c r="DG1" s="36">
        <v>10110</v>
      </c>
      <c r="DH1" s="36">
        <v>10111</v>
      </c>
      <c r="DI1" s="36">
        <v>10112</v>
      </c>
      <c r="DJ1" s="36">
        <v>10113</v>
      </c>
      <c r="DK1" s="36">
        <v>10114</v>
      </c>
      <c r="DL1" s="36">
        <v>10115</v>
      </c>
      <c r="DM1" s="36">
        <v>10116</v>
      </c>
      <c r="DN1" s="36">
        <v>10117</v>
      </c>
      <c r="DO1" s="36">
        <v>10118</v>
      </c>
      <c r="DP1" s="36">
        <v>10119</v>
      </c>
      <c r="DQ1" s="36">
        <v>10120</v>
      </c>
      <c r="DR1" s="36">
        <v>10121</v>
      </c>
      <c r="DS1" s="36">
        <v>10122</v>
      </c>
      <c r="DT1" s="36">
        <v>10123</v>
      </c>
      <c r="DU1" s="36">
        <v>10124</v>
      </c>
      <c r="DV1" s="36">
        <v>10125</v>
      </c>
      <c r="DW1" s="36">
        <v>10126</v>
      </c>
      <c r="DX1" s="36">
        <v>10127</v>
      </c>
      <c r="DY1" s="36">
        <v>10128</v>
      </c>
      <c r="DZ1" s="36">
        <v>10129</v>
      </c>
      <c r="EA1" s="36">
        <v>10130</v>
      </c>
      <c r="EB1" s="36">
        <v>10131</v>
      </c>
      <c r="EC1" s="36">
        <v>10132</v>
      </c>
      <c r="ED1" s="36">
        <v>10133</v>
      </c>
      <c r="EE1" s="36">
        <v>10134</v>
      </c>
      <c r="EF1" s="36">
        <v>10135</v>
      </c>
      <c r="EG1" s="36">
        <v>10136</v>
      </c>
      <c r="EH1" s="36">
        <v>10137</v>
      </c>
      <c r="EI1" s="36">
        <v>10138</v>
      </c>
      <c r="EJ1" s="36">
        <v>10139</v>
      </c>
      <c r="EK1" s="36">
        <v>10140</v>
      </c>
      <c r="EL1" s="36">
        <v>10141</v>
      </c>
      <c r="EM1" s="36">
        <v>10142</v>
      </c>
      <c r="EN1" s="36">
        <v>10143</v>
      </c>
      <c r="EO1" s="36">
        <v>10144</v>
      </c>
      <c r="EP1" s="36">
        <v>10145</v>
      </c>
      <c r="EQ1" s="36">
        <v>10146</v>
      </c>
      <c r="ER1" s="36">
        <v>10147</v>
      </c>
      <c r="ES1" s="36">
        <v>10148</v>
      </c>
      <c r="ET1" s="36">
        <v>10149</v>
      </c>
      <c r="EU1" s="36">
        <v>10150</v>
      </c>
      <c r="EV1" s="36">
        <v>10151</v>
      </c>
      <c r="EW1" s="36">
        <v>10152</v>
      </c>
      <c r="EX1" s="36">
        <v>10153</v>
      </c>
      <c r="EY1" s="36">
        <v>10154</v>
      </c>
      <c r="EZ1" s="36">
        <v>10155</v>
      </c>
      <c r="FA1" s="36">
        <v>10156</v>
      </c>
      <c r="FB1" s="36">
        <v>10157</v>
      </c>
      <c r="FC1" s="36">
        <v>10158</v>
      </c>
      <c r="FD1" s="36">
        <v>10159</v>
      </c>
      <c r="FE1" s="36">
        <v>10160</v>
      </c>
      <c r="FF1" s="36">
        <v>10161</v>
      </c>
      <c r="FG1" s="36">
        <v>10162</v>
      </c>
      <c r="FH1" s="36">
        <v>10163</v>
      </c>
      <c r="FI1" s="36">
        <v>10164</v>
      </c>
      <c r="FJ1" s="36">
        <v>10165</v>
      </c>
      <c r="FK1" s="36">
        <v>10166</v>
      </c>
      <c r="FL1" s="36">
        <v>10167</v>
      </c>
      <c r="FM1" s="36">
        <v>10168</v>
      </c>
      <c r="FN1" s="36">
        <v>10169</v>
      </c>
      <c r="FO1" s="36">
        <v>10170</v>
      </c>
      <c r="FP1" s="36">
        <v>10171</v>
      </c>
      <c r="FQ1" s="36">
        <v>10172</v>
      </c>
      <c r="FR1" s="36">
        <v>10173</v>
      </c>
      <c r="FS1" s="36">
        <v>10174</v>
      </c>
      <c r="FT1" s="36">
        <v>10175</v>
      </c>
      <c r="FU1" s="36">
        <v>10176</v>
      </c>
      <c r="FV1" s="36">
        <v>10177</v>
      </c>
      <c r="FW1" s="36">
        <v>10178</v>
      </c>
      <c r="FX1" s="36">
        <v>10179</v>
      </c>
      <c r="FY1" s="36">
        <v>10180</v>
      </c>
      <c r="FZ1" s="36">
        <v>10181</v>
      </c>
      <c r="GA1" s="36">
        <v>10182</v>
      </c>
      <c r="GB1" s="36">
        <v>10183</v>
      </c>
      <c r="GC1" s="36">
        <v>10184</v>
      </c>
      <c r="GD1" s="36">
        <v>10185</v>
      </c>
      <c r="GE1" s="36">
        <v>10186</v>
      </c>
      <c r="GF1" s="36">
        <v>10187</v>
      </c>
      <c r="GG1" s="36">
        <v>10188</v>
      </c>
      <c r="GH1" s="36">
        <v>10189</v>
      </c>
      <c r="GI1" s="36">
        <v>10190</v>
      </c>
      <c r="GJ1" s="36">
        <v>10191</v>
      </c>
      <c r="GK1" s="36">
        <v>10192</v>
      </c>
      <c r="GL1" s="36">
        <v>10193</v>
      </c>
      <c r="GM1" s="36">
        <v>10194</v>
      </c>
      <c r="GN1" s="36">
        <v>10195</v>
      </c>
      <c r="GO1" s="36">
        <v>10196</v>
      </c>
      <c r="GP1" s="36">
        <v>10197</v>
      </c>
      <c r="GQ1" s="36">
        <v>10198</v>
      </c>
      <c r="GR1" s="36">
        <v>10199</v>
      </c>
      <c r="GS1" s="36">
        <v>10200</v>
      </c>
      <c r="GT1" s="36">
        <v>10201</v>
      </c>
      <c r="GU1" s="36">
        <v>10202</v>
      </c>
      <c r="GV1" s="36">
        <v>10203</v>
      </c>
      <c r="GW1" s="36">
        <v>10204</v>
      </c>
      <c r="GX1" s="36">
        <v>10205</v>
      </c>
      <c r="GY1" s="36">
        <v>10206</v>
      </c>
      <c r="GZ1" s="36">
        <v>10207</v>
      </c>
      <c r="HA1" s="36">
        <v>10208</v>
      </c>
      <c r="HB1" s="36">
        <v>10209</v>
      </c>
      <c r="HC1" s="36">
        <v>10210</v>
      </c>
      <c r="HD1" s="36">
        <v>10211</v>
      </c>
      <c r="HE1" s="36">
        <v>10212</v>
      </c>
      <c r="HF1" s="36">
        <v>10213</v>
      </c>
      <c r="HG1" s="36">
        <v>10214</v>
      </c>
      <c r="HH1" s="36">
        <v>10215</v>
      </c>
      <c r="HI1" s="36">
        <v>10216</v>
      </c>
      <c r="HJ1" s="36">
        <v>10217</v>
      </c>
      <c r="HK1" s="36">
        <v>10218</v>
      </c>
      <c r="HL1" s="36">
        <v>10219</v>
      </c>
      <c r="HM1" s="36">
        <v>10220</v>
      </c>
      <c r="HN1" s="36">
        <v>10221</v>
      </c>
      <c r="HO1" s="36">
        <v>10222</v>
      </c>
      <c r="HP1" s="36">
        <v>10223</v>
      </c>
      <c r="HQ1" s="36">
        <v>10224</v>
      </c>
      <c r="HR1" s="36">
        <v>10225</v>
      </c>
      <c r="HS1" s="36">
        <v>10226</v>
      </c>
      <c r="HT1" s="36">
        <v>10227</v>
      </c>
      <c r="HU1" s="36">
        <v>10228</v>
      </c>
      <c r="HV1" s="36">
        <v>10229</v>
      </c>
      <c r="HW1" s="36">
        <v>10230</v>
      </c>
      <c r="HX1" s="36">
        <v>10231</v>
      </c>
      <c r="HY1" s="36">
        <v>10232</v>
      </c>
      <c r="HZ1" s="36">
        <v>10233</v>
      </c>
      <c r="IA1" s="36">
        <v>10234</v>
      </c>
      <c r="IB1" s="36">
        <v>10235</v>
      </c>
      <c r="IC1" s="36">
        <v>10236</v>
      </c>
      <c r="ID1" s="36">
        <v>10237</v>
      </c>
      <c r="IE1" s="36">
        <v>10238</v>
      </c>
      <c r="IF1" s="36">
        <v>10239</v>
      </c>
      <c r="IG1" s="36">
        <v>10240</v>
      </c>
      <c r="IH1" s="36">
        <v>10241</v>
      </c>
      <c r="II1" s="36">
        <v>10242</v>
      </c>
      <c r="IJ1" s="36">
        <v>10243</v>
      </c>
      <c r="IK1" s="36">
        <v>10244</v>
      </c>
      <c r="IL1" s="36">
        <v>10245</v>
      </c>
      <c r="IM1" s="36">
        <v>10246</v>
      </c>
      <c r="IN1" s="36">
        <v>10247</v>
      </c>
      <c r="IO1" s="36">
        <v>10248</v>
      </c>
      <c r="IP1" s="36">
        <v>10249</v>
      </c>
      <c r="IQ1" s="36">
        <v>10250</v>
      </c>
      <c r="IR1" s="36">
        <v>10251</v>
      </c>
      <c r="IS1" s="36">
        <v>10252</v>
      </c>
      <c r="IT1" s="36">
        <v>10253</v>
      </c>
      <c r="IU1" s="36">
        <v>10254</v>
      </c>
      <c r="IV1" s="36">
        <v>10255</v>
      </c>
      <c r="IW1" s="36">
        <v>10256</v>
      </c>
      <c r="IX1" s="36">
        <v>10257</v>
      </c>
      <c r="IY1" s="36">
        <v>10258</v>
      </c>
      <c r="IZ1" s="36">
        <v>10259</v>
      </c>
      <c r="JA1" s="36">
        <v>10260</v>
      </c>
      <c r="JB1" s="36">
        <v>10261</v>
      </c>
      <c r="JC1" s="36">
        <v>10262</v>
      </c>
      <c r="JD1" s="36">
        <v>10263</v>
      </c>
      <c r="JE1" s="36">
        <v>10264</v>
      </c>
      <c r="JF1" s="36">
        <v>10265</v>
      </c>
      <c r="JG1" s="36">
        <v>10266</v>
      </c>
      <c r="JH1" s="36">
        <v>10267</v>
      </c>
      <c r="JI1" s="36">
        <v>10268</v>
      </c>
      <c r="JJ1" s="36">
        <v>10269</v>
      </c>
      <c r="JK1" s="36">
        <v>10270</v>
      </c>
      <c r="JL1" s="36">
        <v>10271</v>
      </c>
      <c r="JM1" s="36">
        <v>10272</v>
      </c>
      <c r="JN1" s="36">
        <v>10273</v>
      </c>
      <c r="JO1" s="36">
        <v>10274</v>
      </c>
      <c r="JP1" s="36">
        <v>10275</v>
      </c>
      <c r="JQ1" s="36">
        <v>10276</v>
      </c>
      <c r="JR1" s="36">
        <v>10277</v>
      </c>
      <c r="JS1" s="36">
        <v>10278</v>
      </c>
      <c r="JT1" s="36">
        <v>10279</v>
      </c>
      <c r="JU1" s="36">
        <v>10280</v>
      </c>
      <c r="JV1" s="36">
        <v>10281</v>
      </c>
      <c r="JW1" s="36">
        <v>10282</v>
      </c>
      <c r="JX1" s="36">
        <v>10283</v>
      </c>
      <c r="JY1" s="36">
        <v>10284</v>
      </c>
      <c r="JZ1" s="36">
        <v>10285</v>
      </c>
      <c r="KA1" s="36">
        <v>10286</v>
      </c>
      <c r="KB1" s="36">
        <v>10287</v>
      </c>
      <c r="KC1" s="36">
        <v>10288</v>
      </c>
      <c r="KD1" s="36">
        <v>10289</v>
      </c>
      <c r="KE1" s="36">
        <v>10290</v>
      </c>
      <c r="KF1" s="36">
        <v>10291</v>
      </c>
      <c r="KG1" s="36">
        <v>10292</v>
      </c>
      <c r="KH1" s="36">
        <v>10293</v>
      </c>
      <c r="KI1" s="36">
        <v>10294</v>
      </c>
      <c r="KJ1" s="36">
        <v>10295</v>
      </c>
      <c r="KK1" s="36">
        <v>10296</v>
      </c>
      <c r="KL1" s="36">
        <v>10297</v>
      </c>
      <c r="KM1" s="36">
        <v>10298</v>
      </c>
      <c r="KN1" s="36">
        <v>10299</v>
      </c>
      <c r="KO1" s="36">
        <v>10300</v>
      </c>
      <c r="KP1" s="36">
        <v>10301</v>
      </c>
      <c r="KQ1" s="36">
        <v>10302</v>
      </c>
      <c r="KR1" s="36">
        <v>10303</v>
      </c>
      <c r="KS1" s="36">
        <v>10304</v>
      </c>
      <c r="KT1" s="36">
        <v>10305</v>
      </c>
      <c r="KU1" s="36">
        <v>10306</v>
      </c>
      <c r="KV1" s="36">
        <v>10307</v>
      </c>
      <c r="KW1" s="36">
        <v>10308</v>
      </c>
      <c r="KX1" s="36">
        <v>10309</v>
      </c>
      <c r="KY1" s="36">
        <v>10310</v>
      </c>
      <c r="KZ1" s="36">
        <v>10311</v>
      </c>
      <c r="LA1" s="36">
        <v>10312</v>
      </c>
      <c r="LB1" s="36">
        <v>10313</v>
      </c>
      <c r="LC1" s="36">
        <v>10314</v>
      </c>
      <c r="LD1" s="36">
        <v>10315</v>
      </c>
      <c r="LE1" s="36">
        <v>10316</v>
      </c>
      <c r="LF1" s="36">
        <v>10317</v>
      </c>
      <c r="LG1" s="36">
        <v>10318</v>
      </c>
      <c r="LH1" s="36">
        <v>10319</v>
      </c>
      <c r="LI1" s="36">
        <v>10320</v>
      </c>
      <c r="LJ1" s="36">
        <v>10321</v>
      </c>
      <c r="LK1" s="36">
        <v>10322</v>
      </c>
      <c r="LL1" s="36">
        <v>10323</v>
      </c>
      <c r="LM1" s="36">
        <v>10324</v>
      </c>
      <c r="LN1" s="36">
        <v>10325</v>
      </c>
      <c r="LO1" s="36">
        <v>10326</v>
      </c>
      <c r="LP1" s="36">
        <v>10327</v>
      </c>
      <c r="LQ1" s="36">
        <v>10328</v>
      </c>
      <c r="LR1" s="36">
        <v>10329</v>
      </c>
      <c r="LS1" s="36">
        <v>10330</v>
      </c>
      <c r="LT1" s="36">
        <v>10331</v>
      </c>
      <c r="LU1" s="36">
        <v>10332</v>
      </c>
      <c r="LV1" s="36">
        <v>10333</v>
      </c>
      <c r="LW1" s="36">
        <v>10334</v>
      </c>
      <c r="LX1" s="36">
        <v>10335</v>
      </c>
      <c r="LY1" s="36">
        <v>10336</v>
      </c>
      <c r="LZ1" s="36">
        <v>10337</v>
      </c>
      <c r="MA1" s="36">
        <v>10338</v>
      </c>
      <c r="MB1" s="36">
        <v>10339</v>
      </c>
      <c r="MC1" s="36">
        <v>10340</v>
      </c>
      <c r="MD1" s="36">
        <v>10341</v>
      </c>
      <c r="ME1" s="36">
        <v>10342</v>
      </c>
      <c r="MF1" s="36">
        <v>10343</v>
      </c>
      <c r="MG1" s="36">
        <v>10344</v>
      </c>
      <c r="MH1" s="36">
        <v>10345</v>
      </c>
      <c r="MI1" s="36">
        <v>10346</v>
      </c>
      <c r="MJ1" s="36">
        <v>10347</v>
      </c>
      <c r="MK1" s="36">
        <v>10348</v>
      </c>
      <c r="ML1" s="36">
        <v>10349</v>
      </c>
      <c r="MM1" s="36">
        <v>10350</v>
      </c>
      <c r="MN1" s="36">
        <v>10351</v>
      </c>
      <c r="MO1" s="36">
        <v>10352</v>
      </c>
      <c r="MP1" s="36">
        <v>10353</v>
      </c>
      <c r="MQ1" s="36">
        <v>10354</v>
      </c>
      <c r="MR1" s="36">
        <v>10355</v>
      </c>
      <c r="MS1" s="36">
        <v>10356</v>
      </c>
      <c r="MT1" s="36">
        <v>10357</v>
      </c>
      <c r="MU1" s="36">
        <v>10358</v>
      </c>
      <c r="MV1" s="36">
        <v>10359</v>
      </c>
      <c r="MW1" s="36">
        <v>10360</v>
      </c>
      <c r="MX1" s="36">
        <v>10361</v>
      </c>
      <c r="MY1" s="36">
        <v>10362</v>
      </c>
      <c r="MZ1" s="36">
        <v>10363</v>
      </c>
      <c r="NA1" s="36">
        <v>10364</v>
      </c>
      <c r="NB1" s="36">
        <v>10365</v>
      </c>
      <c r="NC1" s="36">
        <v>10366</v>
      </c>
      <c r="ND1" s="36">
        <v>10367</v>
      </c>
      <c r="NE1" s="36">
        <v>10368</v>
      </c>
      <c r="NF1" s="36">
        <v>10369</v>
      </c>
      <c r="NG1" s="36">
        <v>10370</v>
      </c>
      <c r="NH1" s="36">
        <v>10371</v>
      </c>
      <c r="NI1" s="36">
        <v>10372</v>
      </c>
      <c r="NJ1" s="36">
        <v>10373</v>
      </c>
      <c r="NK1" s="36">
        <v>10374</v>
      </c>
      <c r="NL1" s="36">
        <v>10375</v>
      </c>
      <c r="NM1" s="36">
        <v>10376</v>
      </c>
      <c r="NN1" s="36">
        <v>10377</v>
      </c>
      <c r="NO1" s="36">
        <v>10378</v>
      </c>
      <c r="NP1" s="36">
        <v>10379</v>
      </c>
      <c r="NQ1" s="36">
        <v>10380</v>
      </c>
      <c r="NR1" s="36">
        <v>10381</v>
      </c>
      <c r="NS1" s="36">
        <v>10382</v>
      </c>
      <c r="NT1" s="36">
        <v>10383</v>
      </c>
      <c r="NU1" s="36">
        <v>10384</v>
      </c>
      <c r="NV1" s="36">
        <v>10385</v>
      </c>
      <c r="NW1" s="36">
        <v>10386</v>
      </c>
      <c r="NX1" s="36">
        <v>10387</v>
      </c>
      <c r="NY1" s="36">
        <v>10388</v>
      </c>
      <c r="NZ1" s="36">
        <v>10389</v>
      </c>
      <c r="OA1" s="36">
        <v>10390</v>
      </c>
      <c r="OB1" s="36">
        <v>10391</v>
      </c>
      <c r="OC1" s="36">
        <v>10392</v>
      </c>
      <c r="OD1" s="36">
        <v>10393</v>
      </c>
      <c r="OE1" s="36">
        <v>10394</v>
      </c>
      <c r="OF1" s="36">
        <v>10395</v>
      </c>
      <c r="OG1" s="36">
        <v>10396</v>
      </c>
      <c r="OH1" s="36">
        <v>10397</v>
      </c>
      <c r="OI1" s="36">
        <v>10398</v>
      </c>
      <c r="OJ1" s="36">
        <v>10399</v>
      </c>
      <c r="OK1" s="36">
        <v>10400</v>
      </c>
      <c r="OL1" s="36">
        <v>10401</v>
      </c>
      <c r="OM1" s="36">
        <v>10402</v>
      </c>
      <c r="ON1" s="36">
        <v>10403</v>
      </c>
      <c r="OO1" s="36">
        <v>10404</v>
      </c>
      <c r="OP1" s="36">
        <v>10405</v>
      </c>
      <c r="OQ1" s="36">
        <v>10406</v>
      </c>
      <c r="OR1" s="36">
        <v>10407</v>
      </c>
      <c r="OS1" s="36">
        <v>10408</v>
      </c>
      <c r="OT1" s="36">
        <v>10409</v>
      </c>
      <c r="OU1" s="36">
        <v>10410</v>
      </c>
      <c r="OV1" s="36">
        <v>10411</v>
      </c>
      <c r="OW1" s="36">
        <v>10412</v>
      </c>
      <c r="OX1" s="36">
        <v>10413</v>
      </c>
      <c r="OY1" s="36">
        <v>10414</v>
      </c>
      <c r="OZ1" s="36">
        <v>10415</v>
      </c>
      <c r="PA1" s="36">
        <v>10416</v>
      </c>
      <c r="PB1" s="36">
        <v>10417</v>
      </c>
      <c r="PC1" s="36">
        <v>10418</v>
      </c>
      <c r="PD1" s="36">
        <v>10419</v>
      </c>
      <c r="PE1" s="36">
        <v>10420</v>
      </c>
      <c r="PF1" s="36">
        <v>10421</v>
      </c>
      <c r="PG1" s="36">
        <v>10422</v>
      </c>
      <c r="PH1" s="36">
        <v>10423</v>
      </c>
      <c r="PI1" s="36">
        <v>10424</v>
      </c>
      <c r="PJ1" s="36">
        <v>10425</v>
      </c>
      <c r="PK1" s="36">
        <v>10426</v>
      </c>
      <c r="PL1" s="36">
        <v>10427</v>
      </c>
      <c r="PM1" s="36">
        <v>10428</v>
      </c>
      <c r="PN1" s="36">
        <v>10429</v>
      </c>
      <c r="PO1" s="36">
        <v>10430</v>
      </c>
      <c r="PP1" s="36">
        <v>10431</v>
      </c>
      <c r="PQ1" s="36">
        <v>10432</v>
      </c>
      <c r="PR1" s="36">
        <v>10433</v>
      </c>
      <c r="PS1" s="36">
        <v>10434</v>
      </c>
      <c r="PT1" s="36">
        <v>10435</v>
      </c>
      <c r="PU1" s="36">
        <v>10436</v>
      </c>
      <c r="PV1" s="36">
        <v>10437</v>
      </c>
      <c r="PW1" s="36">
        <v>10438</v>
      </c>
      <c r="PX1" s="36">
        <v>10439</v>
      </c>
      <c r="PY1" s="36">
        <v>10440</v>
      </c>
      <c r="PZ1" s="36">
        <v>10441</v>
      </c>
      <c r="QA1" s="36">
        <v>10442</v>
      </c>
      <c r="QB1" s="36">
        <v>10443</v>
      </c>
      <c r="QC1" s="36">
        <v>10444</v>
      </c>
      <c r="QD1" s="36">
        <v>10445</v>
      </c>
      <c r="QE1" s="36">
        <v>10446</v>
      </c>
      <c r="QF1" s="36">
        <v>10447</v>
      </c>
      <c r="QG1" s="36">
        <v>10448</v>
      </c>
      <c r="QH1" s="36">
        <v>10449</v>
      </c>
      <c r="QI1" s="36">
        <v>10450</v>
      </c>
      <c r="QJ1" s="36">
        <v>10451</v>
      </c>
      <c r="QK1" s="36">
        <v>10452</v>
      </c>
      <c r="QL1" s="36">
        <v>10453</v>
      </c>
      <c r="QM1" s="36">
        <v>10454</v>
      </c>
      <c r="QN1" s="36">
        <v>10455</v>
      </c>
      <c r="QO1" s="36">
        <v>10456</v>
      </c>
      <c r="QP1" s="36">
        <v>10457</v>
      </c>
      <c r="QQ1" s="36">
        <v>10458</v>
      </c>
      <c r="QR1" s="36">
        <v>10459</v>
      </c>
      <c r="QS1" s="36">
        <v>10460</v>
      </c>
      <c r="QT1" s="36">
        <v>10461</v>
      </c>
      <c r="QU1" s="36">
        <v>10462</v>
      </c>
      <c r="QV1" s="36">
        <v>10463</v>
      </c>
      <c r="QW1" s="36">
        <v>10464</v>
      </c>
      <c r="QX1" s="36">
        <v>10465</v>
      </c>
      <c r="QY1" s="36">
        <v>10466</v>
      </c>
      <c r="QZ1" s="36">
        <v>10467</v>
      </c>
      <c r="RA1" s="36">
        <v>10468</v>
      </c>
      <c r="RB1" s="36">
        <v>10469</v>
      </c>
      <c r="RC1" s="36">
        <v>10470</v>
      </c>
      <c r="RD1" s="36">
        <v>10471</v>
      </c>
      <c r="RE1" s="36">
        <v>10472</v>
      </c>
      <c r="RF1" s="36">
        <v>10473</v>
      </c>
      <c r="RG1" s="36">
        <v>10474</v>
      </c>
      <c r="RH1" s="36">
        <v>10475</v>
      </c>
      <c r="RI1" s="36">
        <v>10476</v>
      </c>
      <c r="RJ1" s="36">
        <v>10477</v>
      </c>
      <c r="RK1" s="36">
        <v>10478</v>
      </c>
      <c r="RL1" s="36">
        <v>10479</v>
      </c>
      <c r="RM1" s="36">
        <v>10480</v>
      </c>
      <c r="RN1" s="36">
        <v>10481</v>
      </c>
      <c r="RO1" s="36">
        <v>10482</v>
      </c>
      <c r="RP1" s="36">
        <v>10483</v>
      </c>
      <c r="RQ1" s="36">
        <v>10484</v>
      </c>
      <c r="RR1" s="36">
        <v>10485</v>
      </c>
      <c r="RS1" s="36">
        <v>10486</v>
      </c>
      <c r="RT1" s="36">
        <v>10487</v>
      </c>
      <c r="RU1" s="36">
        <v>10488</v>
      </c>
      <c r="RV1" s="36">
        <v>10489</v>
      </c>
      <c r="RW1" s="36">
        <v>10490</v>
      </c>
      <c r="RX1" s="36">
        <v>10491</v>
      </c>
      <c r="RY1" s="36">
        <v>10492</v>
      </c>
      <c r="RZ1" s="36">
        <v>10493</v>
      </c>
      <c r="SA1" s="36">
        <v>10494</v>
      </c>
      <c r="SB1" s="36">
        <v>10495</v>
      </c>
      <c r="SC1" s="36">
        <v>10496</v>
      </c>
      <c r="SD1" s="36">
        <v>10497</v>
      </c>
      <c r="SE1" s="36">
        <v>10498</v>
      </c>
      <c r="SF1" s="36">
        <v>10499</v>
      </c>
      <c r="SG1" s="36">
        <v>10500</v>
      </c>
    </row>
    <row r="2" spans="1:501" x14ac:dyDescent="0.3">
      <c r="A2" s="38" t="s">
        <v>1</v>
      </c>
      <c r="B2" s="36">
        <v>1102</v>
      </c>
      <c r="C2" s="36">
        <v>1435</v>
      </c>
      <c r="D2" s="36">
        <v>1860</v>
      </c>
      <c r="E2" s="36">
        <v>1270</v>
      </c>
      <c r="F2" s="36">
        <v>1106</v>
      </c>
      <c r="G2" s="36">
        <v>1071</v>
      </c>
      <c r="H2" s="36">
        <v>1700</v>
      </c>
      <c r="I2" s="36">
        <v>1020</v>
      </c>
      <c r="J2" s="36">
        <v>1614</v>
      </c>
      <c r="K2" s="36">
        <v>1121</v>
      </c>
      <c r="L2" s="36">
        <v>1466</v>
      </c>
      <c r="M2" s="36">
        <v>1214</v>
      </c>
      <c r="N2" s="36">
        <v>1330</v>
      </c>
      <c r="O2" s="36">
        <v>1458</v>
      </c>
      <c r="P2" s="36">
        <v>1087</v>
      </c>
      <c r="Q2" s="36">
        <v>1372</v>
      </c>
      <c r="R2" s="36">
        <v>1099</v>
      </c>
      <c r="S2" s="36">
        <v>1871</v>
      </c>
      <c r="T2" s="36">
        <v>1663</v>
      </c>
      <c r="U2" s="36">
        <v>1130</v>
      </c>
      <c r="V2" s="36">
        <v>1661</v>
      </c>
      <c r="W2" s="36">
        <v>1308</v>
      </c>
      <c r="X2" s="36">
        <v>1769</v>
      </c>
      <c r="Y2" s="36">
        <v>1343</v>
      </c>
      <c r="Z2" s="36">
        <v>1491</v>
      </c>
      <c r="AA2" s="36">
        <v>1413</v>
      </c>
      <c r="AB2" s="36">
        <v>1805</v>
      </c>
      <c r="AC2" s="36">
        <v>1385</v>
      </c>
      <c r="AD2" s="36">
        <v>1191</v>
      </c>
      <c r="AE2" s="36">
        <v>1955</v>
      </c>
      <c r="AF2" s="36">
        <v>1276</v>
      </c>
      <c r="AG2" s="36">
        <v>1160</v>
      </c>
      <c r="AH2" s="36">
        <v>1459</v>
      </c>
      <c r="AI2" s="36">
        <v>1313</v>
      </c>
      <c r="AJ2" s="36">
        <v>1021</v>
      </c>
      <c r="AK2" s="36">
        <v>1252</v>
      </c>
      <c r="AL2" s="36">
        <v>1747</v>
      </c>
      <c r="AM2" s="36">
        <v>1856</v>
      </c>
      <c r="AN2" s="36">
        <v>1560</v>
      </c>
      <c r="AO2" s="36">
        <v>1474</v>
      </c>
      <c r="AP2" s="36">
        <v>1058</v>
      </c>
      <c r="AQ2" s="36">
        <v>1510</v>
      </c>
      <c r="AR2" s="36">
        <v>1681</v>
      </c>
      <c r="AS2" s="36">
        <v>1475</v>
      </c>
      <c r="AT2" s="36">
        <v>1699</v>
      </c>
      <c r="AU2" s="36">
        <v>1975</v>
      </c>
      <c r="AV2" s="36">
        <v>1782</v>
      </c>
      <c r="AW2" s="36">
        <v>1189</v>
      </c>
      <c r="AX2" s="36">
        <v>1957</v>
      </c>
      <c r="AY2" s="36">
        <v>1686</v>
      </c>
      <c r="AZ2" s="36">
        <v>1957</v>
      </c>
      <c r="BA2" s="36">
        <v>1562</v>
      </c>
      <c r="BB2" s="36">
        <v>1875</v>
      </c>
      <c r="BC2" s="36">
        <v>1566</v>
      </c>
      <c r="BD2" s="36">
        <v>1243</v>
      </c>
      <c r="BE2" s="36">
        <v>1831</v>
      </c>
      <c r="BF2" s="36">
        <v>1504</v>
      </c>
      <c r="BG2" s="36">
        <v>1130</v>
      </c>
      <c r="BH2" s="36">
        <v>1484</v>
      </c>
      <c r="BI2" s="36">
        <v>1818</v>
      </c>
      <c r="BJ2" s="36">
        <v>1646</v>
      </c>
      <c r="BK2" s="36">
        <v>1020</v>
      </c>
      <c r="BL2" s="36">
        <v>1840</v>
      </c>
      <c r="BM2" s="36">
        <v>1166</v>
      </c>
      <c r="BN2" s="36">
        <v>1273</v>
      </c>
      <c r="BO2" s="36">
        <v>1387</v>
      </c>
      <c r="BP2" s="36">
        <v>1600</v>
      </c>
      <c r="BQ2" s="36">
        <v>1315</v>
      </c>
      <c r="BR2" s="36">
        <v>1013</v>
      </c>
      <c r="BS2" s="36">
        <v>1241</v>
      </c>
      <c r="BT2" s="36">
        <v>1776</v>
      </c>
      <c r="BU2" s="36">
        <v>1345</v>
      </c>
      <c r="BV2" s="36">
        <v>1564</v>
      </c>
      <c r="BW2" s="36">
        <v>1897</v>
      </c>
      <c r="BX2" s="36">
        <v>1339</v>
      </c>
      <c r="BY2" s="36">
        <v>1091</v>
      </c>
      <c r="BZ2" s="36">
        <v>1366</v>
      </c>
      <c r="CA2" s="36">
        <v>1955</v>
      </c>
      <c r="CB2" s="36">
        <v>1454</v>
      </c>
      <c r="CC2" s="36">
        <v>1427</v>
      </c>
      <c r="CD2" s="36">
        <v>1508</v>
      </c>
      <c r="CE2" s="36">
        <v>1775</v>
      </c>
      <c r="CF2" s="36">
        <v>1942</v>
      </c>
      <c r="CG2" s="36">
        <v>1034</v>
      </c>
      <c r="CH2" s="36">
        <v>1205</v>
      </c>
      <c r="CI2" s="36">
        <v>1080</v>
      </c>
      <c r="CJ2" s="36">
        <v>1931</v>
      </c>
      <c r="CK2" s="36">
        <v>1561</v>
      </c>
      <c r="CL2" s="36">
        <v>1871</v>
      </c>
      <c r="CM2" s="36">
        <v>1387</v>
      </c>
      <c r="CN2" s="36">
        <v>1001</v>
      </c>
      <c r="CO2" s="36">
        <v>1389</v>
      </c>
      <c r="CP2" s="36">
        <v>1565</v>
      </c>
      <c r="CQ2" s="36">
        <v>1105</v>
      </c>
      <c r="CR2" s="36">
        <v>1771</v>
      </c>
      <c r="CS2" s="36">
        <v>1821</v>
      </c>
      <c r="CT2" s="36">
        <v>1476</v>
      </c>
      <c r="CU2" s="36">
        <v>1702</v>
      </c>
      <c r="CV2" s="36">
        <v>1401</v>
      </c>
      <c r="CW2" s="36">
        <v>1729</v>
      </c>
      <c r="CX2" s="36">
        <v>1555</v>
      </c>
      <c r="CY2" s="36">
        <v>1161</v>
      </c>
      <c r="CZ2" s="36">
        <v>1201</v>
      </c>
      <c r="DA2" s="36">
        <v>1957</v>
      </c>
      <c r="DB2" s="36">
        <v>1995</v>
      </c>
      <c r="DC2" s="36">
        <v>1269</v>
      </c>
      <c r="DD2" s="36">
        <v>1862</v>
      </c>
      <c r="DE2" s="36">
        <v>1815</v>
      </c>
      <c r="DF2" s="36">
        <v>1270</v>
      </c>
      <c r="DG2" s="36">
        <v>1455</v>
      </c>
      <c r="DH2" s="36">
        <v>1461</v>
      </c>
      <c r="DI2" s="36">
        <v>1726</v>
      </c>
      <c r="DJ2" s="36">
        <v>1251</v>
      </c>
      <c r="DK2" s="36">
        <v>1701</v>
      </c>
      <c r="DL2" s="36">
        <v>1295</v>
      </c>
      <c r="DM2" s="36">
        <v>1724</v>
      </c>
      <c r="DN2" s="36">
        <v>1719</v>
      </c>
      <c r="DO2" s="36">
        <v>1748</v>
      </c>
      <c r="DP2" s="36">
        <v>1337</v>
      </c>
      <c r="DQ2" s="36">
        <v>1878</v>
      </c>
      <c r="DR2" s="36">
        <v>1052</v>
      </c>
      <c r="DS2" s="36">
        <v>1791</v>
      </c>
      <c r="DT2" s="36">
        <v>1921</v>
      </c>
      <c r="DU2" s="36">
        <v>1216</v>
      </c>
      <c r="DV2" s="36">
        <v>1763</v>
      </c>
      <c r="DW2" s="36">
        <v>1187</v>
      </c>
      <c r="DX2" s="36">
        <v>1379</v>
      </c>
      <c r="DY2" s="36">
        <v>1492</v>
      </c>
      <c r="DZ2" s="36">
        <v>1040</v>
      </c>
      <c r="EA2" s="36">
        <v>1156</v>
      </c>
      <c r="EB2" s="36">
        <v>1014</v>
      </c>
      <c r="EC2" s="36">
        <v>1812</v>
      </c>
      <c r="ED2" s="36">
        <v>1064</v>
      </c>
      <c r="EE2" s="36">
        <v>1856</v>
      </c>
      <c r="EF2" s="36">
        <v>1838</v>
      </c>
      <c r="EG2" s="36">
        <v>1520</v>
      </c>
      <c r="EH2" s="36">
        <v>1343</v>
      </c>
      <c r="EI2" s="36">
        <v>1128</v>
      </c>
      <c r="EJ2" s="36">
        <v>1647</v>
      </c>
      <c r="EK2" s="36">
        <v>1471</v>
      </c>
      <c r="EL2" s="36">
        <v>1062</v>
      </c>
      <c r="EM2" s="36">
        <v>1138</v>
      </c>
      <c r="EN2" s="36">
        <v>1498</v>
      </c>
      <c r="EO2" s="36">
        <v>1592</v>
      </c>
      <c r="EP2" s="36">
        <v>1391</v>
      </c>
      <c r="EQ2" s="36">
        <v>1674</v>
      </c>
      <c r="ER2" s="36">
        <v>1418</v>
      </c>
      <c r="ES2" s="36">
        <v>1288</v>
      </c>
      <c r="ET2" s="36">
        <v>1378</v>
      </c>
      <c r="EU2" s="36">
        <v>1772</v>
      </c>
      <c r="EV2" s="36">
        <v>1489</v>
      </c>
      <c r="EW2" s="36">
        <v>1230</v>
      </c>
      <c r="EX2" s="36">
        <v>1040</v>
      </c>
      <c r="EY2" s="36">
        <v>1027</v>
      </c>
      <c r="EZ2" s="36">
        <v>1134</v>
      </c>
      <c r="FA2" s="36">
        <v>1200</v>
      </c>
      <c r="FB2" s="36">
        <v>1839</v>
      </c>
      <c r="FC2" s="36">
        <v>1779</v>
      </c>
      <c r="FD2" s="36">
        <v>1929</v>
      </c>
      <c r="FE2" s="36">
        <v>1032</v>
      </c>
      <c r="FF2" s="36">
        <v>1047</v>
      </c>
      <c r="FG2" s="36">
        <v>1502</v>
      </c>
      <c r="FH2" s="36">
        <v>1406</v>
      </c>
      <c r="FI2" s="36">
        <v>1573</v>
      </c>
      <c r="FJ2" s="36">
        <v>1727</v>
      </c>
      <c r="FK2" s="36">
        <v>1804</v>
      </c>
      <c r="FL2" s="36">
        <v>1098</v>
      </c>
      <c r="FM2" s="36">
        <v>1683</v>
      </c>
      <c r="FN2" s="36">
        <v>1871</v>
      </c>
      <c r="FO2" s="36">
        <v>1725</v>
      </c>
      <c r="FP2" s="36">
        <v>1986</v>
      </c>
      <c r="FQ2" s="36">
        <v>1546</v>
      </c>
      <c r="FR2" s="36">
        <v>1960</v>
      </c>
      <c r="FS2" s="36">
        <v>1738</v>
      </c>
      <c r="FT2" s="36">
        <v>1612</v>
      </c>
      <c r="FU2" s="36">
        <v>1942</v>
      </c>
      <c r="FV2" s="36">
        <v>1461</v>
      </c>
      <c r="FW2" s="36">
        <v>1642</v>
      </c>
      <c r="FX2" s="36">
        <v>1768</v>
      </c>
      <c r="FY2" s="36">
        <v>1004</v>
      </c>
      <c r="FZ2" s="36">
        <v>1217</v>
      </c>
      <c r="GA2" s="36">
        <v>1502</v>
      </c>
      <c r="GB2" s="36">
        <v>1766</v>
      </c>
      <c r="GC2" s="36">
        <v>1397</v>
      </c>
      <c r="GD2" s="36">
        <v>1870</v>
      </c>
      <c r="GE2" s="36">
        <v>1794</v>
      </c>
      <c r="GF2" s="36">
        <v>1392</v>
      </c>
      <c r="GG2" s="36">
        <v>1206</v>
      </c>
      <c r="GH2" s="36">
        <v>1014</v>
      </c>
      <c r="GI2" s="36">
        <v>1857</v>
      </c>
      <c r="GJ2" s="36">
        <v>1553</v>
      </c>
      <c r="GK2" s="36">
        <v>1891</v>
      </c>
      <c r="GL2" s="36">
        <v>1460</v>
      </c>
      <c r="GM2" s="36">
        <v>1690</v>
      </c>
      <c r="GN2" s="36">
        <v>1574</v>
      </c>
      <c r="GO2" s="36">
        <v>1863</v>
      </c>
      <c r="GP2" s="36">
        <v>1742</v>
      </c>
      <c r="GQ2" s="36">
        <v>1240</v>
      </c>
      <c r="GR2" s="36">
        <v>1563</v>
      </c>
      <c r="GS2" s="36">
        <v>1095</v>
      </c>
      <c r="GT2" s="36">
        <v>1899</v>
      </c>
      <c r="GU2" s="36">
        <v>1733</v>
      </c>
      <c r="GV2" s="36">
        <v>1484</v>
      </c>
      <c r="GW2" s="36">
        <v>1406</v>
      </c>
      <c r="GX2" s="36">
        <v>1230</v>
      </c>
      <c r="GY2" s="36">
        <v>1748</v>
      </c>
      <c r="GZ2" s="36">
        <v>1654</v>
      </c>
      <c r="HA2" s="36">
        <v>1170</v>
      </c>
      <c r="HB2" s="36">
        <v>1540</v>
      </c>
      <c r="HC2" s="36">
        <v>1035</v>
      </c>
      <c r="HD2" s="36">
        <v>1524</v>
      </c>
      <c r="HE2" s="36">
        <v>1159</v>
      </c>
      <c r="HF2" s="36">
        <v>1838</v>
      </c>
      <c r="HG2" s="36">
        <v>1698</v>
      </c>
      <c r="HH2" s="36">
        <v>1242</v>
      </c>
      <c r="HI2" s="36">
        <v>1085</v>
      </c>
      <c r="HJ2" s="36">
        <v>1795</v>
      </c>
      <c r="HK2" s="36">
        <v>1577</v>
      </c>
      <c r="HL2" s="36">
        <v>1681</v>
      </c>
      <c r="HM2" s="36">
        <v>1556</v>
      </c>
      <c r="HN2" s="36">
        <v>1573</v>
      </c>
      <c r="HO2" s="36">
        <v>1952</v>
      </c>
      <c r="HP2" s="36">
        <v>1645</v>
      </c>
      <c r="HQ2" s="36">
        <v>1795</v>
      </c>
      <c r="HR2" s="36">
        <v>1027</v>
      </c>
      <c r="HS2" s="36">
        <v>1619</v>
      </c>
      <c r="HT2" s="36">
        <v>1555</v>
      </c>
      <c r="HU2" s="36">
        <v>1339</v>
      </c>
      <c r="HV2" s="36">
        <v>1797</v>
      </c>
      <c r="HW2" s="36">
        <v>1957</v>
      </c>
      <c r="HX2" s="36">
        <v>1330</v>
      </c>
      <c r="HY2" s="36">
        <v>1639</v>
      </c>
      <c r="HZ2" s="36">
        <v>1505</v>
      </c>
      <c r="IA2" s="36">
        <v>1347</v>
      </c>
      <c r="IB2" s="36">
        <v>1472</v>
      </c>
      <c r="IC2" s="36">
        <v>1230</v>
      </c>
      <c r="ID2" s="36">
        <v>1189</v>
      </c>
      <c r="IE2" s="36">
        <v>1224</v>
      </c>
      <c r="IF2" s="36">
        <v>1384</v>
      </c>
      <c r="IG2" s="36">
        <v>1376</v>
      </c>
      <c r="IH2" s="36">
        <v>1282</v>
      </c>
      <c r="II2" s="36">
        <v>1957</v>
      </c>
      <c r="IJ2" s="36">
        <v>1632</v>
      </c>
      <c r="IK2" s="36">
        <v>1627</v>
      </c>
      <c r="IL2" s="36">
        <v>1972</v>
      </c>
      <c r="IM2" s="36">
        <v>1744</v>
      </c>
      <c r="IN2" s="36">
        <v>1258</v>
      </c>
      <c r="IO2" s="36">
        <v>1358</v>
      </c>
      <c r="IP2" s="36">
        <v>1709</v>
      </c>
      <c r="IQ2" s="36">
        <v>1455</v>
      </c>
      <c r="IR2" s="36">
        <v>1410</v>
      </c>
      <c r="IS2" s="36">
        <v>1648</v>
      </c>
      <c r="IT2" s="36">
        <v>1317</v>
      </c>
      <c r="IU2" s="36">
        <v>1676</v>
      </c>
      <c r="IV2" s="36">
        <v>1224</v>
      </c>
      <c r="IW2" s="36">
        <v>1818</v>
      </c>
      <c r="IX2" s="36">
        <v>1233</v>
      </c>
      <c r="IY2" s="36">
        <v>1683</v>
      </c>
      <c r="IZ2" s="36">
        <v>1663</v>
      </c>
      <c r="JA2" s="36">
        <v>1974</v>
      </c>
      <c r="JB2" s="36">
        <v>1826</v>
      </c>
      <c r="JC2" s="36">
        <v>1373</v>
      </c>
      <c r="JD2" s="36">
        <v>1671</v>
      </c>
      <c r="JE2" s="36">
        <v>1607</v>
      </c>
      <c r="JF2" s="36">
        <v>1471</v>
      </c>
      <c r="JG2" s="36">
        <v>1232</v>
      </c>
      <c r="JH2" s="36">
        <v>1691</v>
      </c>
      <c r="JI2" s="36">
        <v>1112</v>
      </c>
      <c r="JJ2" s="36">
        <v>1829</v>
      </c>
      <c r="JK2" s="36">
        <v>1496</v>
      </c>
      <c r="JL2" s="36">
        <v>1441</v>
      </c>
      <c r="JM2" s="36">
        <v>1563</v>
      </c>
      <c r="JN2" s="36">
        <v>1267</v>
      </c>
      <c r="JO2" s="36">
        <v>1509</v>
      </c>
      <c r="JP2" s="36">
        <v>1806</v>
      </c>
      <c r="JQ2" s="36">
        <v>1385</v>
      </c>
      <c r="JR2" s="36">
        <v>1386</v>
      </c>
      <c r="JS2" s="36">
        <v>1112</v>
      </c>
      <c r="JT2" s="36">
        <v>1612</v>
      </c>
      <c r="JU2" s="36">
        <v>1624</v>
      </c>
      <c r="JV2" s="36">
        <v>1951</v>
      </c>
      <c r="JW2" s="36">
        <v>1080</v>
      </c>
      <c r="JX2" s="36">
        <v>1698</v>
      </c>
      <c r="JY2" s="36">
        <v>1112</v>
      </c>
      <c r="JZ2" s="36">
        <v>1001</v>
      </c>
      <c r="KA2" s="36">
        <v>1641</v>
      </c>
      <c r="KB2" s="36">
        <v>1219</v>
      </c>
      <c r="KC2" s="36">
        <v>1565</v>
      </c>
      <c r="KD2" s="36">
        <v>1854</v>
      </c>
      <c r="KE2" s="36">
        <v>1996</v>
      </c>
      <c r="KF2" s="36">
        <v>1735</v>
      </c>
      <c r="KG2" s="36">
        <v>1224</v>
      </c>
      <c r="KH2" s="36">
        <v>1384</v>
      </c>
      <c r="KI2" s="36">
        <v>1402</v>
      </c>
      <c r="KJ2" s="36">
        <v>1637</v>
      </c>
      <c r="KK2" s="36">
        <v>1129</v>
      </c>
      <c r="KL2" s="36">
        <v>1052</v>
      </c>
      <c r="KM2" s="36">
        <v>1683</v>
      </c>
      <c r="KN2" s="36">
        <v>1729</v>
      </c>
      <c r="KO2" s="36">
        <v>1671</v>
      </c>
      <c r="KP2" s="36">
        <v>1709</v>
      </c>
      <c r="KQ2" s="36">
        <v>1415</v>
      </c>
      <c r="KR2" s="36">
        <v>1246</v>
      </c>
      <c r="KS2" s="36">
        <v>1835</v>
      </c>
      <c r="KT2" s="36">
        <v>1438</v>
      </c>
      <c r="KU2" s="36">
        <v>1202</v>
      </c>
      <c r="KV2" s="36">
        <v>1183</v>
      </c>
      <c r="KW2" s="36">
        <v>1122</v>
      </c>
      <c r="KX2" s="36">
        <v>1400</v>
      </c>
      <c r="KY2" s="36">
        <v>1766</v>
      </c>
      <c r="KZ2" s="36">
        <v>1293</v>
      </c>
      <c r="LA2" s="36">
        <v>1279</v>
      </c>
      <c r="LB2" s="36">
        <v>1836</v>
      </c>
      <c r="LC2" s="36">
        <v>1883</v>
      </c>
      <c r="LD2" s="36">
        <v>1609</v>
      </c>
      <c r="LE2" s="36">
        <v>1197</v>
      </c>
      <c r="LF2" s="36">
        <v>1981</v>
      </c>
      <c r="LG2" s="36">
        <v>1906</v>
      </c>
      <c r="LH2" s="36">
        <v>1510</v>
      </c>
      <c r="LI2" s="36">
        <v>1751</v>
      </c>
      <c r="LJ2" s="36">
        <v>1143</v>
      </c>
      <c r="LK2" s="36">
        <v>1608</v>
      </c>
      <c r="LL2" s="36">
        <v>1200</v>
      </c>
      <c r="LM2" s="36">
        <v>1123</v>
      </c>
      <c r="LN2" s="36">
        <v>1186</v>
      </c>
      <c r="LO2" s="36">
        <v>1325</v>
      </c>
      <c r="LP2" s="36">
        <v>1463</v>
      </c>
      <c r="LQ2" s="36">
        <v>1348</v>
      </c>
      <c r="LR2" s="36">
        <v>1770</v>
      </c>
      <c r="LS2" s="36">
        <v>1659</v>
      </c>
      <c r="LT2" s="36">
        <v>1763</v>
      </c>
      <c r="LU2" s="36">
        <v>1954</v>
      </c>
      <c r="LV2" s="36">
        <v>1931</v>
      </c>
      <c r="LW2" s="36">
        <v>1402</v>
      </c>
      <c r="LX2" s="36">
        <v>1345</v>
      </c>
      <c r="LY2" s="36">
        <v>1962</v>
      </c>
      <c r="LZ2" s="36">
        <v>1510</v>
      </c>
      <c r="MA2" s="36">
        <v>1146</v>
      </c>
      <c r="MB2" s="36">
        <v>1147</v>
      </c>
      <c r="MC2" s="36">
        <v>1863</v>
      </c>
      <c r="MD2" s="36">
        <v>1710</v>
      </c>
      <c r="ME2" s="36">
        <v>1819</v>
      </c>
      <c r="MF2" s="36">
        <v>1488</v>
      </c>
      <c r="MG2" s="36">
        <v>1928</v>
      </c>
      <c r="MH2" s="36">
        <v>1935</v>
      </c>
      <c r="MI2" s="36">
        <v>1639</v>
      </c>
      <c r="MJ2" s="36">
        <v>1550</v>
      </c>
      <c r="MK2" s="36">
        <v>1337</v>
      </c>
      <c r="ML2" s="36">
        <v>1871</v>
      </c>
      <c r="MM2" s="36">
        <v>1640</v>
      </c>
      <c r="MN2" s="36">
        <v>1778</v>
      </c>
      <c r="MO2" s="36">
        <v>1987</v>
      </c>
      <c r="MP2" s="36">
        <v>1952</v>
      </c>
      <c r="MQ2" s="36">
        <v>1472</v>
      </c>
      <c r="MR2" s="36">
        <v>1945</v>
      </c>
      <c r="MS2" s="36">
        <v>1150</v>
      </c>
      <c r="MT2" s="36">
        <v>1414</v>
      </c>
      <c r="MU2" s="36">
        <v>1989</v>
      </c>
      <c r="MV2" s="36">
        <v>1297</v>
      </c>
      <c r="MW2" s="36">
        <v>1610</v>
      </c>
      <c r="MX2" s="36">
        <v>1262</v>
      </c>
      <c r="MY2" s="36">
        <v>1763</v>
      </c>
      <c r="MZ2" s="36">
        <v>1143</v>
      </c>
      <c r="NA2" s="36">
        <v>1345</v>
      </c>
      <c r="NB2" s="36">
        <v>1623</v>
      </c>
      <c r="NC2" s="36">
        <v>1571</v>
      </c>
      <c r="ND2" s="36">
        <v>1880</v>
      </c>
      <c r="NE2" s="36">
        <v>1001</v>
      </c>
      <c r="NF2" s="36">
        <v>1896</v>
      </c>
      <c r="NG2" s="36">
        <v>1303</v>
      </c>
      <c r="NH2" s="36">
        <v>1253</v>
      </c>
      <c r="NI2" s="36">
        <v>1651</v>
      </c>
      <c r="NJ2" s="36">
        <v>1452</v>
      </c>
      <c r="NK2" s="36">
        <v>1036</v>
      </c>
      <c r="NL2" s="36">
        <v>1159</v>
      </c>
      <c r="NM2" s="36">
        <v>1008</v>
      </c>
      <c r="NN2" s="36">
        <v>1232</v>
      </c>
      <c r="NO2" s="36">
        <v>1098</v>
      </c>
      <c r="NP2" s="36">
        <v>1658</v>
      </c>
      <c r="NQ2" s="36">
        <v>1815</v>
      </c>
      <c r="NR2" s="36">
        <v>1207</v>
      </c>
      <c r="NS2" s="36">
        <v>1130</v>
      </c>
      <c r="NT2" s="36">
        <v>1403</v>
      </c>
      <c r="NU2" s="36">
        <v>1151</v>
      </c>
      <c r="NV2" s="36">
        <v>1053</v>
      </c>
      <c r="NW2" s="36">
        <v>1119</v>
      </c>
      <c r="NX2" s="36">
        <v>1672</v>
      </c>
      <c r="NY2" s="36">
        <v>1919</v>
      </c>
      <c r="NZ2" s="36">
        <v>1627</v>
      </c>
      <c r="OA2" s="36">
        <v>1586</v>
      </c>
      <c r="OB2" s="36">
        <v>1624</v>
      </c>
      <c r="OC2" s="36">
        <v>1967</v>
      </c>
      <c r="OD2" s="36">
        <v>1419</v>
      </c>
      <c r="OE2" s="36">
        <v>1421</v>
      </c>
      <c r="OF2" s="36">
        <v>1103</v>
      </c>
      <c r="OG2" s="36">
        <v>1851</v>
      </c>
      <c r="OH2" s="36">
        <v>1253</v>
      </c>
      <c r="OI2" s="36">
        <v>1226</v>
      </c>
      <c r="OJ2" s="36">
        <v>1111</v>
      </c>
      <c r="OK2" s="36">
        <v>1509</v>
      </c>
      <c r="OL2" s="36">
        <v>1472</v>
      </c>
      <c r="OM2" s="36">
        <v>1098</v>
      </c>
      <c r="ON2" s="36">
        <v>1152</v>
      </c>
      <c r="OO2" s="36">
        <v>1860</v>
      </c>
      <c r="OP2" s="36">
        <v>1913</v>
      </c>
      <c r="OQ2" s="36">
        <v>1895</v>
      </c>
      <c r="OR2" s="36">
        <v>1877</v>
      </c>
      <c r="OS2" s="36">
        <v>1337</v>
      </c>
      <c r="OT2" s="36">
        <v>1705</v>
      </c>
      <c r="OU2" s="36">
        <v>1821</v>
      </c>
      <c r="OV2" s="36">
        <v>1162</v>
      </c>
      <c r="OW2" s="36">
        <v>1719</v>
      </c>
      <c r="OX2" s="36">
        <v>1956</v>
      </c>
      <c r="OY2" s="36">
        <v>1680</v>
      </c>
      <c r="OZ2" s="36">
        <v>1995</v>
      </c>
      <c r="PA2" s="36">
        <v>1160</v>
      </c>
      <c r="PB2" s="36">
        <v>1579</v>
      </c>
      <c r="PC2" s="36">
        <v>1800</v>
      </c>
      <c r="PD2" s="36">
        <v>1397</v>
      </c>
      <c r="PE2" s="36">
        <v>1276</v>
      </c>
      <c r="PF2" s="36">
        <v>1815</v>
      </c>
      <c r="PG2" s="36">
        <v>1915</v>
      </c>
      <c r="PH2" s="36">
        <v>1503</v>
      </c>
      <c r="PI2" s="36">
        <v>1895</v>
      </c>
      <c r="PJ2" s="36">
        <v>1391</v>
      </c>
      <c r="PK2" s="36">
        <v>1134</v>
      </c>
      <c r="PL2" s="36">
        <v>1194</v>
      </c>
      <c r="PM2" s="36">
        <v>1400</v>
      </c>
      <c r="PN2" s="36">
        <v>1639</v>
      </c>
      <c r="PO2" s="36">
        <v>1032</v>
      </c>
      <c r="PP2" s="36">
        <v>1687</v>
      </c>
      <c r="PQ2" s="36">
        <v>1459</v>
      </c>
      <c r="PR2" s="36">
        <v>1954</v>
      </c>
      <c r="PS2" s="36">
        <v>1882</v>
      </c>
      <c r="PT2" s="36">
        <v>1469</v>
      </c>
      <c r="PU2" s="36">
        <v>1374</v>
      </c>
      <c r="PV2" s="36">
        <v>1021</v>
      </c>
      <c r="PW2" s="36">
        <v>1749</v>
      </c>
      <c r="PX2" s="36">
        <v>1669</v>
      </c>
      <c r="PY2" s="36">
        <v>1037</v>
      </c>
      <c r="PZ2" s="36">
        <v>1229</v>
      </c>
      <c r="QA2" s="36">
        <v>1364</v>
      </c>
      <c r="QB2" s="36">
        <v>1562</v>
      </c>
      <c r="QC2" s="36">
        <v>1437</v>
      </c>
      <c r="QD2" s="36">
        <v>1775</v>
      </c>
      <c r="QE2" s="36">
        <v>1282</v>
      </c>
      <c r="QF2" s="36">
        <v>1026</v>
      </c>
      <c r="QG2" s="36">
        <v>1225</v>
      </c>
      <c r="QH2" s="36">
        <v>1276</v>
      </c>
      <c r="QI2" s="36">
        <v>1797</v>
      </c>
      <c r="QJ2" s="36">
        <v>1608</v>
      </c>
      <c r="QK2" s="36">
        <v>1283</v>
      </c>
      <c r="QL2" s="36">
        <v>1878</v>
      </c>
      <c r="QM2" s="36">
        <v>1959</v>
      </c>
      <c r="QN2" s="36">
        <v>1480</v>
      </c>
      <c r="QO2" s="36">
        <v>1452</v>
      </c>
      <c r="QP2" s="36">
        <v>1828</v>
      </c>
      <c r="QQ2" s="36">
        <v>1815</v>
      </c>
      <c r="QR2" s="36">
        <v>1658</v>
      </c>
      <c r="QS2" s="36">
        <v>1515</v>
      </c>
      <c r="QT2" s="36">
        <v>1546</v>
      </c>
      <c r="QU2" s="36">
        <v>1191</v>
      </c>
      <c r="QV2" s="36">
        <v>1048</v>
      </c>
      <c r="QW2" s="36">
        <v>1511</v>
      </c>
      <c r="QX2" s="36">
        <v>1016</v>
      </c>
      <c r="QY2" s="36">
        <v>1171</v>
      </c>
      <c r="QZ2" s="36">
        <v>1219</v>
      </c>
      <c r="RA2" s="36">
        <v>1157</v>
      </c>
      <c r="RB2" s="36">
        <v>1476</v>
      </c>
      <c r="RC2" s="36">
        <v>1045</v>
      </c>
      <c r="RD2" s="36">
        <v>1372</v>
      </c>
      <c r="RE2" s="36">
        <v>1517</v>
      </c>
      <c r="RF2" s="36">
        <v>1098</v>
      </c>
      <c r="RG2" s="36">
        <v>1891</v>
      </c>
      <c r="RH2" s="36">
        <v>1744</v>
      </c>
      <c r="RI2" s="36">
        <v>1036</v>
      </c>
      <c r="RJ2" s="36">
        <v>1279</v>
      </c>
      <c r="RK2" s="36">
        <v>1348</v>
      </c>
      <c r="RL2" s="36">
        <v>1496</v>
      </c>
      <c r="RM2" s="36">
        <v>1301</v>
      </c>
      <c r="RN2" s="36">
        <v>1180</v>
      </c>
      <c r="RO2" s="36">
        <v>1606</v>
      </c>
      <c r="RP2" s="36">
        <v>1098</v>
      </c>
      <c r="RQ2" s="36">
        <v>1699</v>
      </c>
      <c r="RR2" s="36">
        <v>1992</v>
      </c>
      <c r="RS2" s="36">
        <v>1115</v>
      </c>
      <c r="RT2" s="36">
        <v>1190</v>
      </c>
      <c r="RU2" s="36">
        <v>1252</v>
      </c>
      <c r="RV2" s="36">
        <v>1980</v>
      </c>
      <c r="RW2" s="36">
        <v>1927</v>
      </c>
      <c r="RX2" s="36">
        <v>1982</v>
      </c>
      <c r="RY2" s="36">
        <v>1160</v>
      </c>
      <c r="RZ2" s="36">
        <v>1255</v>
      </c>
      <c r="SA2" s="36">
        <v>1322</v>
      </c>
      <c r="SB2" s="36">
        <v>1127</v>
      </c>
      <c r="SC2" s="36">
        <v>1017</v>
      </c>
      <c r="SD2" s="36">
        <v>1792</v>
      </c>
      <c r="SE2" s="36">
        <v>1734</v>
      </c>
      <c r="SF2" s="36">
        <v>1565</v>
      </c>
      <c r="SG2" s="36">
        <v>1569</v>
      </c>
    </row>
    <row r="3" spans="1:501" x14ac:dyDescent="0.3">
      <c r="A3" s="38" t="s">
        <v>2</v>
      </c>
      <c r="B3" s="40">
        <v>45197</v>
      </c>
      <c r="C3" s="40">
        <v>45199</v>
      </c>
      <c r="D3" s="40">
        <v>45109</v>
      </c>
      <c r="E3" s="40">
        <v>45079</v>
      </c>
      <c r="F3" s="40">
        <v>45241</v>
      </c>
      <c r="G3" s="40">
        <v>45260</v>
      </c>
      <c r="H3" s="40">
        <v>45050</v>
      </c>
      <c r="I3" s="40">
        <v>45040</v>
      </c>
      <c r="J3" s="40">
        <v>45204</v>
      </c>
      <c r="K3" s="40">
        <v>45139</v>
      </c>
      <c r="L3" s="40">
        <v>45098</v>
      </c>
      <c r="M3" s="40">
        <v>45214</v>
      </c>
      <c r="N3" s="40">
        <v>45100</v>
      </c>
      <c r="O3" s="40">
        <v>45039</v>
      </c>
      <c r="P3" s="40">
        <v>45048</v>
      </c>
      <c r="Q3" s="40">
        <v>44958</v>
      </c>
      <c r="R3" s="40">
        <v>45148</v>
      </c>
      <c r="S3" s="40">
        <v>45045</v>
      </c>
      <c r="T3" s="40">
        <v>44965</v>
      </c>
      <c r="U3" s="40">
        <v>45194</v>
      </c>
      <c r="V3" s="40">
        <v>45159</v>
      </c>
      <c r="W3" s="40">
        <v>44944</v>
      </c>
      <c r="X3" s="40">
        <v>45075</v>
      </c>
      <c r="Y3" s="40">
        <v>45075</v>
      </c>
      <c r="Z3" s="40">
        <v>45052</v>
      </c>
      <c r="AA3" s="40">
        <v>45228</v>
      </c>
      <c r="AB3" s="40">
        <v>45286</v>
      </c>
      <c r="AC3" s="40">
        <v>45164</v>
      </c>
      <c r="AD3" s="40">
        <v>45061</v>
      </c>
      <c r="AE3" s="40">
        <v>45077</v>
      </c>
      <c r="AF3" s="40">
        <v>45162</v>
      </c>
      <c r="AG3" s="40">
        <v>45150</v>
      </c>
      <c r="AH3" s="40">
        <v>45129</v>
      </c>
      <c r="AI3" s="40">
        <v>45182</v>
      </c>
      <c r="AJ3" s="40">
        <v>45012</v>
      </c>
      <c r="AK3" s="40">
        <v>45076</v>
      </c>
      <c r="AL3" s="40">
        <v>45161</v>
      </c>
      <c r="AM3" s="40">
        <v>45271</v>
      </c>
      <c r="AN3" s="40">
        <v>44948</v>
      </c>
      <c r="AO3" s="40">
        <v>45274</v>
      </c>
      <c r="AP3" s="40">
        <v>45211</v>
      </c>
      <c r="AQ3" s="40">
        <v>45195</v>
      </c>
      <c r="AR3" s="40">
        <v>45184</v>
      </c>
      <c r="AS3" s="40">
        <v>44955</v>
      </c>
      <c r="AT3" s="40">
        <v>45139</v>
      </c>
      <c r="AU3" s="40">
        <v>45209</v>
      </c>
      <c r="AV3" s="40">
        <v>44976</v>
      </c>
      <c r="AW3" s="40">
        <v>45021</v>
      </c>
      <c r="AX3" s="40">
        <v>45014</v>
      </c>
      <c r="AY3" s="40">
        <v>44970</v>
      </c>
      <c r="AZ3" s="40">
        <v>45204</v>
      </c>
      <c r="BA3" s="40">
        <v>45097</v>
      </c>
      <c r="BB3" s="40">
        <v>45115</v>
      </c>
      <c r="BC3" s="40">
        <v>45279</v>
      </c>
      <c r="BD3" s="40">
        <v>45110</v>
      </c>
      <c r="BE3" s="40">
        <v>44929</v>
      </c>
      <c r="BF3" s="40">
        <v>45117</v>
      </c>
      <c r="BG3" s="40">
        <v>45044</v>
      </c>
      <c r="BH3" s="40">
        <v>44945</v>
      </c>
      <c r="BI3" s="40">
        <v>44949</v>
      </c>
      <c r="BJ3" s="40">
        <v>44956</v>
      </c>
      <c r="BK3" s="40">
        <v>45221</v>
      </c>
      <c r="BL3" s="40">
        <v>45034</v>
      </c>
      <c r="BM3" s="40">
        <v>45207</v>
      </c>
      <c r="BN3" s="40">
        <v>45054</v>
      </c>
      <c r="BO3" s="40">
        <v>45155</v>
      </c>
      <c r="BP3" s="40">
        <v>45037</v>
      </c>
      <c r="BQ3" s="40">
        <v>45062</v>
      </c>
      <c r="BR3" s="40">
        <v>45288</v>
      </c>
      <c r="BS3" s="40">
        <v>45112</v>
      </c>
      <c r="BT3" s="40">
        <v>45070</v>
      </c>
      <c r="BU3" s="40">
        <v>44998</v>
      </c>
      <c r="BV3" s="40">
        <v>45055</v>
      </c>
      <c r="BW3" s="40">
        <v>45290</v>
      </c>
      <c r="BX3" s="40">
        <v>45187</v>
      </c>
      <c r="BY3" s="40">
        <v>44929</v>
      </c>
      <c r="BZ3" s="40">
        <v>45030</v>
      </c>
      <c r="CA3" s="40">
        <v>45150</v>
      </c>
      <c r="CB3" s="40">
        <v>45246</v>
      </c>
      <c r="CC3" s="40">
        <v>45288</v>
      </c>
      <c r="CD3" s="40">
        <v>45280</v>
      </c>
      <c r="CE3" s="40">
        <v>44936</v>
      </c>
      <c r="CF3" s="40">
        <v>45228</v>
      </c>
      <c r="CG3" s="40">
        <v>45157</v>
      </c>
      <c r="CH3" s="40">
        <v>45145</v>
      </c>
      <c r="CI3" s="40">
        <v>44992</v>
      </c>
      <c r="CJ3" s="40">
        <v>45038</v>
      </c>
      <c r="CK3" s="40">
        <v>44939</v>
      </c>
      <c r="CL3" s="40">
        <v>45012</v>
      </c>
      <c r="CM3" s="40">
        <v>45160</v>
      </c>
      <c r="CN3" s="40">
        <v>45016</v>
      </c>
      <c r="CO3" s="40">
        <v>45240</v>
      </c>
      <c r="CP3" s="40">
        <v>44980</v>
      </c>
      <c r="CQ3" s="40">
        <v>44938</v>
      </c>
      <c r="CR3" s="40">
        <v>45135</v>
      </c>
      <c r="CS3" s="40">
        <v>44940</v>
      </c>
      <c r="CT3" s="40">
        <v>45047</v>
      </c>
      <c r="CU3" s="40">
        <v>44946</v>
      </c>
      <c r="CV3" s="40">
        <v>45001</v>
      </c>
      <c r="CW3" s="40">
        <v>45169</v>
      </c>
      <c r="CX3" s="40">
        <v>45149</v>
      </c>
      <c r="CY3" s="40">
        <v>44996</v>
      </c>
      <c r="CZ3" s="40">
        <v>45238</v>
      </c>
      <c r="DA3" s="40">
        <v>45137</v>
      </c>
      <c r="DB3" s="40">
        <v>45027</v>
      </c>
      <c r="DC3" s="40">
        <v>45112</v>
      </c>
      <c r="DD3" s="40">
        <v>45058</v>
      </c>
      <c r="DE3" s="40">
        <v>45037</v>
      </c>
      <c r="DF3" s="40">
        <v>45058</v>
      </c>
      <c r="DG3" s="40">
        <v>44946</v>
      </c>
      <c r="DH3" s="40">
        <v>44950</v>
      </c>
      <c r="DI3" s="40">
        <v>45153</v>
      </c>
      <c r="DJ3" s="40">
        <v>45080</v>
      </c>
      <c r="DK3" s="40">
        <v>45219</v>
      </c>
      <c r="DL3" s="40">
        <v>45156</v>
      </c>
      <c r="DM3" s="40">
        <v>45236</v>
      </c>
      <c r="DN3" s="40">
        <v>45285</v>
      </c>
      <c r="DO3" s="40">
        <v>45128</v>
      </c>
      <c r="DP3" s="40">
        <v>44964</v>
      </c>
      <c r="DQ3" s="40">
        <v>45186</v>
      </c>
      <c r="DR3" s="40">
        <v>45114</v>
      </c>
      <c r="DS3" s="40">
        <v>44983</v>
      </c>
      <c r="DT3" s="40">
        <v>44946</v>
      </c>
      <c r="DU3" s="40">
        <v>45199</v>
      </c>
      <c r="DV3" s="40">
        <v>45045</v>
      </c>
      <c r="DW3" s="40">
        <v>44997</v>
      </c>
      <c r="DX3" s="40">
        <v>44930</v>
      </c>
      <c r="DY3" s="40">
        <v>45147</v>
      </c>
      <c r="DZ3" s="40">
        <v>44940</v>
      </c>
      <c r="EA3" s="40">
        <v>44929</v>
      </c>
      <c r="EB3" s="40">
        <v>45142</v>
      </c>
      <c r="EC3" s="40">
        <v>45155</v>
      </c>
      <c r="ED3" s="40">
        <v>45262</v>
      </c>
      <c r="EE3" s="40">
        <v>45112</v>
      </c>
      <c r="EF3" s="40">
        <v>44981</v>
      </c>
      <c r="EG3" s="40">
        <v>45180</v>
      </c>
      <c r="EH3" s="40">
        <v>44950</v>
      </c>
      <c r="EI3" s="40">
        <v>45088</v>
      </c>
      <c r="EJ3" s="40">
        <v>45084</v>
      </c>
      <c r="EK3" s="40">
        <v>45008</v>
      </c>
      <c r="EL3" s="40">
        <v>45085</v>
      </c>
      <c r="EM3" s="40">
        <v>45114</v>
      </c>
      <c r="EN3" s="40">
        <v>44986</v>
      </c>
      <c r="EO3" s="40">
        <v>45231</v>
      </c>
      <c r="EP3" s="40">
        <v>45245</v>
      </c>
      <c r="EQ3" s="40">
        <v>45137</v>
      </c>
      <c r="ER3" s="40">
        <v>45078</v>
      </c>
      <c r="ES3" s="40">
        <v>45035</v>
      </c>
      <c r="ET3" s="40">
        <v>45002</v>
      </c>
      <c r="EU3" s="40">
        <v>44956</v>
      </c>
      <c r="EV3" s="40">
        <v>45240</v>
      </c>
      <c r="EW3" s="40">
        <v>45043</v>
      </c>
      <c r="EX3" s="40">
        <v>45282</v>
      </c>
      <c r="EY3" s="40">
        <v>45118</v>
      </c>
      <c r="EZ3" s="40">
        <v>44945</v>
      </c>
      <c r="FA3" s="40">
        <v>45099</v>
      </c>
      <c r="FB3" s="40">
        <v>45154</v>
      </c>
      <c r="FC3" s="40">
        <v>45276</v>
      </c>
      <c r="FD3" s="40">
        <v>45109</v>
      </c>
      <c r="FE3" s="40">
        <v>45039</v>
      </c>
      <c r="FF3" s="40">
        <v>45109</v>
      </c>
      <c r="FG3" s="40">
        <v>45072</v>
      </c>
      <c r="FH3" s="40">
        <v>45245</v>
      </c>
      <c r="FI3" s="40">
        <v>45042</v>
      </c>
      <c r="FJ3" s="40">
        <v>45039</v>
      </c>
      <c r="FK3" s="40">
        <v>45177</v>
      </c>
      <c r="FL3" s="40">
        <v>45177</v>
      </c>
      <c r="FM3" s="40">
        <v>45229</v>
      </c>
      <c r="FN3" s="40">
        <v>45239</v>
      </c>
      <c r="FO3" s="40">
        <v>45044</v>
      </c>
      <c r="FP3" s="40">
        <v>45227</v>
      </c>
      <c r="FQ3" s="40">
        <v>45087</v>
      </c>
      <c r="FR3" s="40">
        <v>45124</v>
      </c>
      <c r="FS3" s="40">
        <v>45186</v>
      </c>
      <c r="FT3" s="40">
        <v>45074</v>
      </c>
      <c r="FU3" s="40">
        <v>45166</v>
      </c>
      <c r="FV3" s="40">
        <v>44973</v>
      </c>
      <c r="FW3" s="40">
        <v>45124</v>
      </c>
      <c r="FX3" s="40">
        <v>44973</v>
      </c>
      <c r="FY3" s="40">
        <v>45004</v>
      </c>
      <c r="FZ3" s="40">
        <v>45050</v>
      </c>
      <c r="GA3" s="40">
        <v>45001</v>
      </c>
      <c r="GB3" s="40">
        <v>45285</v>
      </c>
      <c r="GC3" s="40">
        <v>45063</v>
      </c>
      <c r="GD3" s="40">
        <v>45016</v>
      </c>
      <c r="GE3" s="40">
        <v>45251</v>
      </c>
      <c r="GF3" s="40">
        <v>44987</v>
      </c>
      <c r="GG3" s="40">
        <v>45064</v>
      </c>
      <c r="GH3" s="40">
        <v>44976</v>
      </c>
      <c r="GI3" s="40">
        <v>45185</v>
      </c>
      <c r="GJ3" s="40">
        <v>45033</v>
      </c>
      <c r="GK3" s="40">
        <v>45039</v>
      </c>
      <c r="GL3" s="40">
        <v>45276</v>
      </c>
      <c r="GM3" s="40">
        <v>45180</v>
      </c>
      <c r="GN3" s="40">
        <v>45044</v>
      </c>
      <c r="GO3" s="40">
        <v>45124</v>
      </c>
      <c r="GP3" s="40">
        <v>45263</v>
      </c>
      <c r="GQ3" s="40">
        <v>45291</v>
      </c>
      <c r="GR3" s="40">
        <v>44977</v>
      </c>
      <c r="GS3" s="40">
        <v>45171</v>
      </c>
      <c r="GT3" s="40">
        <v>44961</v>
      </c>
      <c r="GU3" s="40">
        <v>45228</v>
      </c>
      <c r="GV3" s="40">
        <v>44995</v>
      </c>
      <c r="GW3" s="40">
        <v>45275</v>
      </c>
      <c r="GX3" s="40">
        <v>45246</v>
      </c>
      <c r="GY3" s="40">
        <v>44975</v>
      </c>
      <c r="GZ3" s="40">
        <v>45000</v>
      </c>
      <c r="HA3" s="40">
        <v>45118</v>
      </c>
      <c r="HB3" s="40">
        <v>45187</v>
      </c>
      <c r="HC3" s="40">
        <v>45282</v>
      </c>
      <c r="HD3" s="40">
        <v>44996</v>
      </c>
      <c r="HE3" s="40">
        <v>45016</v>
      </c>
      <c r="HF3" s="40">
        <v>45186</v>
      </c>
      <c r="HG3" s="40">
        <v>45052</v>
      </c>
      <c r="HH3" s="40">
        <v>45157</v>
      </c>
      <c r="HI3" s="40">
        <v>45221</v>
      </c>
      <c r="HJ3" s="40">
        <v>45055</v>
      </c>
      <c r="HK3" s="40">
        <v>45206</v>
      </c>
      <c r="HL3" s="40">
        <v>45239</v>
      </c>
      <c r="HM3" s="40">
        <v>45026</v>
      </c>
      <c r="HN3" s="40">
        <v>45252</v>
      </c>
      <c r="HO3" s="40">
        <v>45223</v>
      </c>
      <c r="HP3" s="40">
        <v>45108</v>
      </c>
      <c r="HQ3" s="40">
        <v>45100</v>
      </c>
      <c r="HR3" s="40">
        <v>45242</v>
      </c>
      <c r="HS3" s="40">
        <v>45290</v>
      </c>
      <c r="HT3" s="40">
        <v>45114</v>
      </c>
      <c r="HU3" s="40">
        <v>44983</v>
      </c>
      <c r="HV3" s="40">
        <v>44957</v>
      </c>
      <c r="HW3" s="40">
        <v>45010</v>
      </c>
      <c r="HX3" s="40">
        <v>45078</v>
      </c>
      <c r="HY3" s="40">
        <v>44962</v>
      </c>
      <c r="HZ3" s="40">
        <v>45139</v>
      </c>
      <c r="IA3" s="40">
        <v>45290</v>
      </c>
      <c r="IB3" s="40">
        <v>45032</v>
      </c>
      <c r="IC3" s="40">
        <v>45268</v>
      </c>
      <c r="ID3" s="40">
        <v>45146</v>
      </c>
      <c r="IE3" s="40">
        <v>45089</v>
      </c>
      <c r="IF3" s="40">
        <v>45146</v>
      </c>
      <c r="IG3" s="40">
        <v>45196</v>
      </c>
      <c r="IH3" s="40">
        <v>45046</v>
      </c>
      <c r="II3" s="40">
        <v>45262</v>
      </c>
      <c r="IJ3" s="40">
        <v>45108</v>
      </c>
      <c r="IK3" s="40">
        <v>45032</v>
      </c>
      <c r="IL3" s="40">
        <v>45143</v>
      </c>
      <c r="IM3" s="40">
        <v>45131</v>
      </c>
      <c r="IN3" s="40">
        <v>44996</v>
      </c>
      <c r="IO3" s="40">
        <v>44970</v>
      </c>
      <c r="IP3" s="40">
        <v>45255</v>
      </c>
      <c r="IQ3" s="40">
        <v>45227</v>
      </c>
      <c r="IR3" s="40">
        <v>45154</v>
      </c>
      <c r="IS3" s="40">
        <v>45110</v>
      </c>
      <c r="IT3" s="40">
        <v>45033</v>
      </c>
      <c r="IU3" s="40">
        <v>45010</v>
      </c>
      <c r="IV3" s="40">
        <v>45264</v>
      </c>
      <c r="IW3" s="40">
        <v>45176</v>
      </c>
      <c r="IX3" s="40">
        <v>45289</v>
      </c>
      <c r="IY3" s="40">
        <v>44947</v>
      </c>
      <c r="IZ3" s="40">
        <v>45122</v>
      </c>
      <c r="JA3" s="40">
        <v>45104</v>
      </c>
      <c r="JB3" s="40">
        <v>44933</v>
      </c>
      <c r="JC3" s="40">
        <v>44996</v>
      </c>
      <c r="JD3" s="40">
        <v>45053</v>
      </c>
      <c r="JE3" s="40">
        <v>45086</v>
      </c>
      <c r="JF3" s="40">
        <v>45174</v>
      </c>
      <c r="JG3" s="40">
        <v>45129</v>
      </c>
      <c r="JH3" s="40">
        <v>45074</v>
      </c>
      <c r="JI3" s="40">
        <v>45069</v>
      </c>
      <c r="JJ3" s="40">
        <v>45125</v>
      </c>
      <c r="JK3" s="40">
        <v>45080</v>
      </c>
      <c r="JL3" s="40">
        <v>45068</v>
      </c>
      <c r="JM3" s="40">
        <v>45239</v>
      </c>
      <c r="JN3" s="40">
        <v>45091</v>
      </c>
      <c r="JO3" s="40">
        <v>45240</v>
      </c>
      <c r="JP3" s="40">
        <v>44947</v>
      </c>
      <c r="JQ3" s="40">
        <v>45008</v>
      </c>
      <c r="JR3" s="40">
        <v>44995</v>
      </c>
      <c r="JS3" s="40">
        <v>45057</v>
      </c>
      <c r="JT3" s="40">
        <v>45013</v>
      </c>
      <c r="JU3" s="40">
        <v>45144</v>
      </c>
      <c r="JV3" s="40">
        <v>45231</v>
      </c>
      <c r="JW3" s="40">
        <v>45271</v>
      </c>
      <c r="JX3" s="40">
        <v>45267</v>
      </c>
      <c r="JY3" s="40">
        <v>45087</v>
      </c>
      <c r="JZ3" s="40">
        <v>45104</v>
      </c>
      <c r="KA3" s="40">
        <v>45043</v>
      </c>
      <c r="KB3" s="40">
        <v>45122</v>
      </c>
      <c r="KC3" s="40">
        <v>45253</v>
      </c>
      <c r="KD3" s="40">
        <v>45012</v>
      </c>
      <c r="KE3" s="40">
        <v>45215</v>
      </c>
      <c r="KF3" s="40">
        <v>45007</v>
      </c>
      <c r="KG3" s="40">
        <v>45078</v>
      </c>
      <c r="KH3" s="40">
        <v>44987</v>
      </c>
      <c r="KI3" s="40">
        <v>44987</v>
      </c>
      <c r="KJ3" s="40">
        <v>45280</v>
      </c>
      <c r="KK3" s="40">
        <v>44954</v>
      </c>
      <c r="KL3" s="40">
        <v>44969</v>
      </c>
      <c r="KM3" s="40">
        <v>45095</v>
      </c>
      <c r="KN3" s="40">
        <v>45012</v>
      </c>
      <c r="KO3" s="40">
        <v>45103</v>
      </c>
      <c r="KP3" s="40">
        <v>44943</v>
      </c>
      <c r="KQ3" s="40">
        <v>45024</v>
      </c>
      <c r="KR3" s="40">
        <v>45124</v>
      </c>
      <c r="KS3" s="40">
        <v>45024</v>
      </c>
      <c r="KT3" s="40">
        <v>44991</v>
      </c>
      <c r="KU3" s="40">
        <v>45256</v>
      </c>
      <c r="KV3" s="40">
        <v>45267</v>
      </c>
      <c r="KW3" s="40">
        <v>44931</v>
      </c>
      <c r="KX3" s="40">
        <v>44928</v>
      </c>
      <c r="KY3" s="40">
        <v>44948</v>
      </c>
      <c r="KZ3" s="40">
        <v>45038</v>
      </c>
      <c r="LA3" s="40">
        <v>44983</v>
      </c>
      <c r="LB3" s="40">
        <v>44992</v>
      </c>
      <c r="LC3" s="40">
        <v>45256</v>
      </c>
      <c r="LD3" s="40">
        <v>45024</v>
      </c>
      <c r="LE3" s="40">
        <v>45070</v>
      </c>
      <c r="LF3" s="40">
        <v>45051</v>
      </c>
      <c r="LG3" s="40">
        <v>45093</v>
      </c>
      <c r="LH3" s="40">
        <v>45012</v>
      </c>
      <c r="LI3" s="40">
        <v>45002</v>
      </c>
      <c r="LJ3" s="40">
        <v>45270</v>
      </c>
      <c r="LK3" s="40">
        <v>45220</v>
      </c>
      <c r="LL3" s="40">
        <v>44985</v>
      </c>
      <c r="LM3" s="40">
        <v>45064</v>
      </c>
      <c r="LN3" s="40">
        <v>45025</v>
      </c>
      <c r="LO3" s="40">
        <v>45118</v>
      </c>
      <c r="LP3" s="40">
        <v>45169</v>
      </c>
      <c r="LQ3" s="40">
        <v>45245</v>
      </c>
      <c r="LR3" s="40">
        <v>44975</v>
      </c>
      <c r="LS3" s="40">
        <v>44958</v>
      </c>
      <c r="LT3" s="40">
        <v>45203</v>
      </c>
      <c r="LU3" s="40">
        <v>44946</v>
      </c>
      <c r="LV3" s="40">
        <v>45080</v>
      </c>
      <c r="LW3" s="40">
        <v>44994</v>
      </c>
      <c r="LX3" s="40">
        <v>45140</v>
      </c>
      <c r="LY3" s="40">
        <v>45069</v>
      </c>
      <c r="LZ3" s="40">
        <v>45158</v>
      </c>
      <c r="MA3" s="40">
        <v>45139</v>
      </c>
      <c r="MB3" s="40">
        <v>45005</v>
      </c>
      <c r="MC3" s="40">
        <v>45140</v>
      </c>
      <c r="MD3" s="40">
        <v>45042</v>
      </c>
      <c r="ME3" s="40">
        <v>45018</v>
      </c>
      <c r="MF3" s="40">
        <v>45196</v>
      </c>
      <c r="MG3" s="40">
        <v>45094</v>
      </c>
      <c r="MH3" s="40">
        <v>44984</v>
      </c>
      <c r="MI3" s="40">
        <v>45210</v>
      </c>
      <c r="MJ3" s="40">
        <v>44952</v>
      </c>
      <c r="MK3" s="40">
        <v>44992</v>
      </c>
      <c r="ML3" s="40">
        <v>45174</v>
      </c>
      <c r="MM3" s="40">
        <v>45180</v>
      </c>
      <c r="MN3" s="40">
        <v>44970</v>
      </c>
      <c r="MO3" s="40">
        <v>45023</v>
      </c>
      <c r="MP3" s="40">
        <v>44968</v>
      </c>
      <c r="MQ3" s="40">
        <v>45153</v>
      </c>
      <c r="MR3" s="40">
        <v>45188</v>
      </c>
      <c r="MS3" s="40">
        <v>45093</v>
      </c>
      <c r="MT3" s="40">
        <v>45205</v>
      </c>
      <c r="MU3" s="40">
        <v>45015</v>
      </c>
      <c r="MV3" s="40">
        <v>45104</v>
      </c>
      <c r="MW3" s="40">
        <v>45123</v>
      </c>
      <c r="MX3" s="40">
        <v>45233</v>
      </c>
      <c r="MY3" s="40">
        <v>45193</v>
      </c>
      <c r="MZ3" s="40">
        <v>45194</v>
      </c>
      <c r="NA3" s="40">
        <v>45000</v>
      </c>
      <c r="NB3" s="40">
        <v>44934</v>
      </c>
      <c r="NC3" s="40">
        <v>45223</v>
      </c>
      <c r="ND3" s="40">
        <v>45090</v>
      </c>
      <c r="NE3" s="40">
        <v>45011</v>
      </c>
      <c r="NF3" s="40">
        <v>44998</v>
      </c>
      <c r="NG3" s="40">
        <v>44981</v>
      </c>
      <c r="NH3" s="40">
        <v>44973</v>
      </c>
      <c r="NI3" s="40">
        <v>45164</v>
      </c>
      <c r="NJ3" s="40">
        <v>45030</v>
      </c>
      <c r="NK3" s="40">
        <v>45136</v>
      </c>
      <c r="NL3" s="40">
        <v>44968</v>
      </c>
      <c r="NM3" s="40">
        <v>45242</v>
      </c>
      <c r="NN3" s="40">
        <v>45194</v>
      </c>
      <c r="NO3" s="40">
        <v>45189</v>
      </c>
      <c r="NP3" s="40">
        <v>45262</v>
      </c>
      <c r="NQ3" s="40">
        <v>45291</v>
      </c>
      <c r="NR3" s="40">
        <v>45185</v>
      </c>
      <c r="NS3" s="40">
        <v>45209</v>
      </c>
      <c r="NT3" s="40">
        <v>45040</v>
      </c>
      <c r="NU3" s="40">
        <v>45289</v>
      </c>
      <c r="NV3" s="40">
        <v>44966</v>
      </c>
      <c r="NW3" s="40">
        <v>45146</v>
      </c>
      <c r="NX3" s="40">
        <v>45055</v>
      </c>
      <c r="NY3" s="40">
        <v>44934</v>
      </c>
      <c r="NZ3" s="40">
        <v>45027</v>
      </c>
      <c r="OA3" s="40">
        <v>45102</v>
      </c>
      <c r="OB3" s="40">
        <v>45033</v>
      </c>
      <c r="OC3" s="40">
        <v>45027</v>
      </c>
      <c r="OD3" s="40">
        <v>45186</v>
      </c>
      <c r="OE3" s="40">
        <v>45172</v>
      </c>
      <c r="OF3" s="40">
        <v>45201</v>
      </c>
      <c r="OG3" s="40">
        <v>44958</v>
      </c>
      <c r="OH3" s="40">
        <v>45063</v>
      </c>
      <c r="OI3" s="40">
        <v>44938</v>
      </c>
      <c r="OJ3" s="40">
        <v>45228</v>
      </c>
      <c r="OK3" s="40">
        <v>44942</v>
      </c>
      <c r="OL3" s="40">
        <v>45055</v>
      </c>
      <c r="OM3" s="40">
        <v>44989</v>
      </c>
      <c r="ON3" s="40">
        <v>45035</v>
      </c>
      <c r="OO3" s="40">
        <v>44947</v>
      </c>
      <c r="OP3" s="40">
        <v>45084</v>
      </c>
      <c r="OQ3" s="40">
        <v>45195</v>
      </c>
      <c r="OR3" s="40">
        <v>45088</v>
      </c>
      <c r="OS3" s="40">
        <v>45186</v>
      </c>
      <c r="OT3" s="40">
        <v>45028</v>
      </c>
      <c r="OU3" s="40">
        <v>45149</v>
      </c>
      <c r="OV3" s="40">
        <v>44985</v>
      </c>
      <c r="OW3" s="40">
        <v>45173</v>
      </c>
      <c r="OX3" s="40">
        <v>45054</v>
      </c>
      <c r="OY3" s="40">
        <v>45209</v>
      </c>
      <c r="OZ3" s="40">
        <v>45251</v>
      </c>
      <c r="PA3" s="40">
        <v>44951</v>
      </c>
      <c r="PB3" s="40">
        <v>45057</v>
      </c>
      <c r="PC3" s="40">
        <v>45279</v>
      </c>
      <c r="PD3" s="40">
        <v>45122</v>
      </c>
      <c r="PE3" s="40">
        <v>45207</v>
      </c>
      <c r="PF3" s="40">
        <v>45080</v>
      </c>
      <c r="PG3" s="40">
        <v>45059</v>
      </c>
      <c r="PH3" s="40">
        <v>45153</v>
      </c>
      <c r="PI3" s="40">
        <v>45115</v>
      </c>
      <c r="PJ3" s="40">
        <v>45191</v>
      </c>
      <c r="PK3" s="40">
        <v>45060</v>
      </c>
      <c r="PL3" s="40">
        <v>45137</v>
      </c>
      <c r="PM3" s="40">
        <v>44986</v>
      </c>
      <c r="PN3" s="40">
        <v>45290</v>
      </c>
      <c r="PO3" s="40">
        <v>45290</v>
      </c>
      <c r="PP3" s="40">
        <v>45139</v>
      </c>
      <c r="PQ3" s="40">
        <v>45142</v>
      </c>
      <c r="PR3" s="40">
        <v>45152</v>
      </c>
      <c r="PS3" s="40">
        <v>45057</v>
      </c>
      <c r="PT3" s="40">
        <v>45002</v>
      </c>
      <c r="PU3" s="40">
        <v>45212</v>
      </c>
      <c r="PV3" s="40">
        <v>45203</v>
      </c>
      <c r="PW3" s="40">
        <v>45082</v>
      </c>
      <c r="PX3" s="40">
        <v>45174</v>
      </c>
      <c r="PY3" s="40">
        <v>45144</v>
      </c>
      <c r="PZ3" s="40">
        <v>45116</v>
      </c>
      <c r="QA3" s="40">
        <v>45089</v>
      </c>
      <c r="QB3" s="40">
        <v>45106</v>
      </c>
      <c r="QC3" s="40">
        <v>44960</v>
      </c>
      <c r="QD3" s="40">
        <v>44967</v>
      </c>
      <c r="QE3" s="40">
        <v>45233</v>
      </c>
      <c r="QF3" s="40">
        <v>45264</v>
      </c>
      <c r="QG3" s="40">
        <v>45240</v>
      </c>
      <c r="QH3" s="40">
        <v>45001</v>
      </c>
      <c r="QI3" s="40">
        <v>45205</v>
      </c>
      <c r="QJ3" s="40">
        <v>45102</v>
      </c>
      <c r="QK3" s="40">
        <v>45076</v>
      </c>
      <c r="QL3" s="40">
        <v>45199</v>
      </c>
      <c r="QM3" s="40">
        <v>45251</v>
      </c>
      <c r="QN3" s="40">
        <v>45034</v>
      </c>
      <c r="QO3" s="40">
        <v>45065</v>
      </c>
      <c r="QP3" s="40">
        <v>45276</v>
      </c>
      <c r="QQ3" s="40">
        <v>45197</v>
      </c>
      <c r="QR3" s="40">
        <v>45273</v>
      </c>
      <c r="QS3" s="40">
        <v>45215</v>
      </c>
      <c r="QT3" s="40">
        <v>45138</v>
      </c>
      <c r="QU3" s="40">
        <v>45198</v>
      </c>
      <c r="QV3" s="40">
        <v>44992</v>
      </c>
      <c r="QW3" s="40">
        <v>45174</v>
      </c>
      <c r="QX3" s="40">
        <v>45082</v>
      </c>
      <c r="QY3" s="40">
        <v>44973</v>
      </c>
      <c r="QZ3" s="40">
        <v>45127</v>
      </c>
      <c r="RA3" s="40">
        <v>45074</v>
      </c>
      <c r="RB3" s="40">
        <v>45050</v>
      </c>
      <c r="RC3" s="40">
        <v>44927</v>
      </c>
      <c r="RD3" s="40">
        <v>45173</v>
      </c>
      <c r="RE3" s="40">
        <v>45269</v>
      </c>
      <c r="RF3" s="40">
        <v>45054</v>
      </c>
      <c r="RG3" s="40">
        <v>45117</v>
      </c>
      <c r="RH3" s="40">
        <v>44993</v>
      </c>
      <c r="RI3" s="40">
        <v>44930</v>
      </c>
      <c r="RJ3" s="40">
        <v>45229</v>
      </c>
      <c r="RK3" s="40">
        <v>45220</v>
      </c>
      <c r="RL3" s="40">
        <v>45069</v>
      </c>
      <c r="RM3" s="40">
        <v>45117</v>
      </c>
      <c r="RN3" s="40">
        <v>44947</v>
      </c>
      <c r="RO3" s="40">
        <v>45153</v>
      </c>
      <c r="RP3" s="40">
        <v>45239</v>
      </c>
      <c r="RQ3" s="40">
        <v>45043</v>
      </c>
      <c r="RR3" s="40">
        <v>45228</v>
      </c>
      <c r="RS3" s="40">
        <v>45068</v>
      </c>
      <c r="RT3" s="40">
        <v>44965</v>
      </c>
      <c r="RU3" s="40">
        <v>45281</v>
      </c>
      <c r="RV3" s="40">
        <v>45178</v>
      </c>
      <c r="RW3" s="40">
        <v>45259</v>
      </c>
      <c r="RX3" s="40">
        <v>45133</v>
      </c>
      <c r="RY3" s="40">
        <v>45136</v>
      </c>
      <c r="RZ3" s="40">
        <v>45041</v>
      </c>
      <c r="SA3" s="40">
        <v>45151</v>
      </c>
      <c r="SB3" s="40">
        <v>45060</v>
      </c>
      <c r="SC3" s="40">
        <v>45177</v>
      </c>
      <c r="SD3" s="40">
        <v>45145</v>
      </c>
      <c r="SE3" s="40">
        <v>45017</v>
      </c>
      <c r="SF3" s="40">
        <v>45280</v>
      </c>
      <c r="SG3" s="40">
        <v>44972</v>
      </c>
    </row>
    <row r="4" spans="1:501" x14ac:dyDescent="0.3">
      <c r="A4" s="38" t="s">
        <v>3</v>
      </c>
      <c r="B4" s="40">
        <v>45203</v>
      </c>
      <c r="C4" s="40">
        <v>45203</v>
      </c>
      <c r="D4" s="40">
        <v>45114</v>
      </c>
      <c r="E4" s="40">
        <v>45087</v>
      </c>
      <c r="F4" s="40">
        <v>45244</v>
      </c>
      <c r="G4" s="40">
        <v>45263</v>
      </c>
      <c r="H4" s="40">
        <v>45054</v>
      </c>
      <c r="I4" s="40">
        <v>45041</v>
      </c>
      <c r="J4" s="40">
        <v>45213</v>
      </c>
      <c r="K4" s="40">
        <v>45147</v>
      </c>
      <c r="L4" s="40">
        <v>45106</v>
      </c>
      <c r="M4" s="40">
        <v>45220</v>
      </c>
      <c r="N4" s="40">
        <v>45107</v>
      </c>
      <c r="O4" s="40">
        <v>45045</v>
      </c>
      <c r="P4" s="40">
        <v>45057</v>
      </c>
      <c r="Q4" s="40">
        <v>44961</v>
      </c>
      <c r="R4" s="40">
        <v>45151</v>
      </c>
      <c r="S4" s="40">
        <v>45048</v>
      </c>
      <c r="T4" s="40">
        <v>44968</v>
      </c>
      <c r="U4" s="40">
        <v>45203</v>
      </c>
      <c r="V4" s="40">
        <v>45163</v>
      </c>
      <c r="W4" s="40">
        <v>44951</v>
      </c>
      <c r="X4" s="40">
        <v>45084</v>
      </c>
      <c r="Y4" s="40">
        <v>45082</v>
      </c>
      <c r="Z4" s="40">
        <v>45061</v>
      </c>
      <c r="AA4" s="40">
        <v>45231</v>
      </c>
      <c r="AB4" s="40">
        <v>45290</v>
      </c>
      <c r="AC4" s="40">
        <v>45172</v>
      </c>
      <c r="AD4" s="40">
        <v>45067</v>
      </c>
      <c r="AE4" s="40">
        <v>45082</v>
      </c>
      <c r="AF4" s="40">
        <v>45166</v>
      </c>
      <c r="AG4" s="40">
        <v>45158</v>
      </c>
      <c r="AH4" s="40">
        <v>45130</v>
      </c>
      <c r="AI4" s="40">
        <v>45191</v>
      </c>
      <c r="AJ4" s="40">
        <v>45013</v>
      </c>
      <c r="AK4" s="40">
        <v>45084</v>
      </c>
      <c r="AL4" s="40">
        <v>45165</v>
      </c>
      <c r="AM4" s="40">
        <v>45280</v>
      </c>
      <c r="AN4" s="40">
        <v>44953</v>
      </c>
      <c r="AO4" s="40">
        <v>45277</v>
      </c>
      <c r="AP4" s="40">
        <v>45220</v>
      </c>
      <c r="AQ4" s="40">
        <v>45204</v>
      </c>
      <c r="AR4" s="40">
        <v>45188</v>
      </c>
      <c r="AS4" s="40">
        <v>44959</v>
      </c>
      <c r="AT4" s="40">
        <v>45147</v>
      </c>
      <c r="AU4" s="40">
        <v>45211</v>
      </c>
      <c r="AV4" s="40">
        <v>44985</v>
      </c>
      <c r="AW4" s="40">
        <v>45027</v>
      </c>
      <c r="AX4" s="40">
        <v>45023</v>
      </c>
      <c r="AY4" s="40">
        <v>44978</v>
      </c>
      <c r="AZ4" s="40">
        <v>45211</v>
      </c>
      <c r="BA4" s="40">
        <v>45098</v>
      </c>
      <c r="BB4" s="40">
        <v>45118</v>
      </c>
      <c r="BC4" s="40">
        <v>45281</v>
      </c>
      <c r="BD4" s="40">
        <v>45115</v>
      </c>
      <c r="BE4" s="40">
        <v>44934</v>
      </c>
      <c r="BF4" s="40">
        <v>45122</v>
      </c>
      <c r="BG4" s="40">
        <v>45048</v>
      </c>
      <c r="BH4" s="40">
        <v>44950</v>
      </c>
      <c r="BI4" s="40">
        <v>44952</v>
      </c>
      <c r="BJ4" s="40">
        <v>44957</v>
      </c>
      <c r="BK4" s="40">
        <v>45226</v>
      </c>
      <c r="BL4" s="40">
        <v>45043</v>
      </c>
      <c r="BM4" s="40">
        <v>45216</v>
      </c>
      <c r="BN4" s="40">
        <v>45058</v>
      </c>
      <c r="BO4" s="40">
        <v>45158</v>
      </c>
      <c r="BP4" s="40">
        <v>45038</v>
      </c>
      <c r="BQ4" s="40">
        <v>45064</v>
      </c>
      <c r="BR4" s="40">
        <v>45296</v>
      </c>
      <c r="BS4" s="40">
        <v>45113</v>
      </c>
      <c r="BT4" s="40">
        <v>45078</v>
      </c>
      <c r="BU4" s="40">
        <v>45005</v>
      </c>
      <c r="BV4" s="40">
        <v>45063</v>
      </c>
      <c r="BW4" s="40">
        <v>45296</v>
      </c>
      <c r="BX4" s="40">
        <v>45196</v>
      </c>
      <c r="BY4" s="40">
        <v>44932</v>
      </c>
      <c r="BZ4" s="40">
        <v>45034</v>
      </c>
      <c r="CA4" s="40">
        <v>45156</v>
      </c>
      <c r="CB4" s="40">
        <v>45254</v>
      </c>
      <c r="CC4" s="40">
        <v>45293</v>
      </c>
      <c r="CD4" s="40">
        <v>45283</v>
      </c>
      <c r="CE4" s="40">
        <v>44942</v>
      </c>
      <c r="CF4" s="40">
        <v>45232</v>
      </c>
      <c r="CG4" s="40">
        <v>45166</v>
      </c>
      <c r="CH4" s="40">
        <v>45148</v>
      </c>
      <c r="CI4" s="40">
        <v>44996</v>
      </c>
      <c r="CJ4" s="40">
        <v>45045</v>
      </c>
      <c r="CK4" s="40">
        <v>44946</v>
      </c>
      <c r="CL4" s="40">
        <v>45016</v>
      </c>
      <c r="CM4" s="40">
        <v>45166</v>
      </c>
      <c r="CN4" s="40">
        <v>45019</v>
      </c>
      <c r="CO4" s="40">
        <v>45246</v>
      </c>
      <c r="CP4" s="40">
        <v>44982</v>
      </c>
      <c r="CQ4" s="40">
        <v>44946</v>
      </c>
      <c r="CR4" s="40">
        <v>45137</v>
      </c>
      <c r="CS4" s="40">
        <v>44947</v>
      </c>
      <c r="CT4" s="40">
        <v>45056</v>
      </c>
      <c r="CU4" s="40">
        <v>44947</v>
      </c>
      <c r="CV4" s="40">
        <v>45009</v>
      </c>
      <c r="CW4" s="40">
        <v>45176</v>
      </c>
      <c r="CX4" s="40">
        <v>45155</v>
      </c>
      <c r="CY4" s="40">
        <v>45002</v>
      </c>
      <c r="CZ4" s="40">
        <v>45244</v>
      </c>
      <c r="DA4" s="40">
        <v>45146</v>
      </c>
      <c r="DB4" s="40">
        <v>45029</v>
      </c>
      <c r="DC4" s="40">
        <v>45113</v>
      </c>
      <c r="DD4" s="40">
        <v>45064</v>
      </c>
      <c r="DE4" s="40">
        <v>45045</v>
      </c>
      <c r="DF4" s="40">
        <v>45061</v>
      </c>
      <c r="DG4" s="40">
        <v>44947</v>
      </c>
      <c r="DH4" s="40">
        <v>44959</v>
      </c>
      <c r="DI4" s="40">
        <v>45154</v>
      </c>
      <c r="DJ4" s="40">
        <v>45083</v>
      </c>
      <c r="DK4" s="40">
        <v>45227</v>
      </c>
      <c r="DL4" s="40">
        <v>45159</v>
      </c>
      <c r="DM4" s="40">
        <v>45240</v>
      </c>
      <c r="DN4" s="40">
        <v>45293</v>
      </c>
      <c r="DO4" s="40">
        <v>45129</v>
      </c>
      <c r="DP4" s="40">
        <v>44970</v>
      </c>
      <c r="DQ4" s="40">
        <v>45187</v>
      </c>
      <c r="DR4" s="40">
        <v>45115</v>
      </c>
      <c r="DS4" s="40">
        <v>44991</v>
      </c>
      <c r="DT4" s="40">
        <v>44950</v>
      </c>
      <c r="DU4" s="40">
        <v>45200</v>
      </c>
      <c r="DV4" s="40">
        <v>45052</v>
      </c>
      <c r="DW4" s="40">
        <v>45002</v>
      </c>
      <c r="DX4" s="40">
        <v>44935</v>
      </c>
      <c r="DY4" s="40">
        <v>45148</v>
      </c>
      <c r="DZ4" s="40">
        <v>44946</v>
      </c>
      <c r="EA4" s="40">
        <v>44938</v>
      </c>
      <c r="EB4" s="40">
        <v>45151</v>
      </c>
      <c r="EC4" s="40">
        <v>45163</v>
      </c>
      <c r="ED4" s="40">
        <v>45267</v>
      </c>
      <c r="EE4" s="40">
        <v>45113</v>
      </c>
      <c r="EF4" s="40">
        <v>44990</v>
      </c>
      <c r="EG4" s="40">
        <v>45181</v>
      </c>
      <c r="EH4" s="40">
        <v>44958</v>
      </c>
      <c r="EI4" s="40">
        <v>45093</v>
      </c>
      <c r="EJ4" s="40">
        <v>45087</v>
      </c>
      <c r="EK4" s="40">
        <v>45015</v>
      </c>
      <c r="EL4" s="40">
        <v>45092</v>
      </c>
      <c r="EM4" s="40">
        <v>45123</v>
      </c>
      <c r="EN4" s="40">
        <v>44993</v>
      </c>
      <c r="EO4" s="40">
        <v>45234</v>
      </c>
      <c r="EP4" s="40">
        <v>45246</v>
      </c>
      <c r="EQ4" s="40">
        <v>45145</v>
      </c>
      <c r="ER4" s="40">
        <v>45081</v>
      </c>
      <c r="ES4" s="40">
        <v>45043</v>
      </c>
      <c r="ET4" s="40">
        <v>45010</v>
      </c>
      <c r="EU4" s="40">
        <v>44961</v>
      </c>
      <c r="EV4" s="40">
        <v>45241</v>
      </c>
      <c r="EW4" s="40">
        <v>45050</v>
      </c>
      <c r="EX4" s="40">
        <v>45287</v>
      </c>
      <c r="EY4" s="40">
        <v>45126</v>
      </c>
      <c r="EZ4" s="40">
        <v>44954</v>
      </c>
      <c r="FA4" s="40">
        <v>45106</v>
      </c>
      <c r="FB4" s="40">
        <v>45161</v>
      </c>
      <c r="FC4" s="40">
        <v>45277</v>
      </c>
      <c r="FD4" s="40">
        <v>45113</v>
      </c>
      <c r="FE4" s="40">
        <v>45041</v>
      </c>
      <c r="FF4" s="40">
        <v>45111</v>
      </c>
      <c r="FG4" s="40">
        <v>45074</v>
      </c>
      <c r="FH4" s="40">
        <v>45249</v>
      </c>
      <c r="FI4" s="40">
        <v>45043</v>
      </c>
      <c r="FJ4" s="40">
        <v>45043</v>
      </c>
      <c r="FK4" s="40">
        <v>45179</v>
      </c>
      <c r="FL4" s="40">
        <v>45182</v>
      </c>
      <c r="FM4" s="40">
        <v>45232</v>
      </c>
      <c r="FN4" s="40">
        <v>45247</v>
      </c>
      <c r="FO4" s="40">
        <v>45048</v>
      </c>
      <c r="FP4" s="40">
        <v>45228</v>
      </c>
      <c r="FQ4" s="40">
        <v>45088</v>
      </c>
      <c r="FR4" s="40">
        <v>45127</v>
      </c>
      <c r="FS4" s="40">
        <v>45195</v>
      </c>
      <c r="FT4" s="40">
        <v>45081</v>
      </c>
      <c r="FU4" s="40">
        <v>45168</v>
      </c>
      <c r="FV4" s="40">
        <v>44982</v>
      </c>
      <c r="FW4" s="40">
        <v>45126</v>
      </c>
      <c r="FX4" s="40">
        <v>44976</v>
      </c>
      <c r="FY4" s="40">
        <v>45006</v>
      </c>
      <c r="FZ4" s="40">
        <v>45053</v>
      </c>
      <c r="GA4" s="40">
        <v>45007</v>
      </c>
      <c r="GB4" s="40">
        <v>45294</v>
      </c>
      <c r="GC4" s="40">
        <v>45072</v>
      </c>
      <c r="GD4" s="40">
        <v>45023</v>
      </c>
      <c r="GE4" s="40">
        <v>45254</v>
      </c>
      <c r="GF4" s="40">
        <v>44991</v>
      </c>
      <c r="GG4" s="40">
        <v>45070</v>
      </c>
      <c r="GH4" s="40">
        <v>44981</v>
      </c>
      <c r="GI4" s="40">
        <v>45187</v>
      </c>
      <c r="GJ4" s="40">
        <v>45039</v>
      </c>
      <c r="GK4" s="40">
        <v>45042</v>
      </c>
      <c r="GL4" s="40">
        <v>45284</v>
      </c>
      <c r="GM4" s="40">
        <v>45182</v>
      </c>
      <c r="GN4" s="40">
        <v>45045</v>
      </c>
      <c r="GO4" s="40">
        <v>45133</v>
      </c>
      <c r="GP4" s="40">
        <v>45266</v>
      </c>
      <c r="GQ4" s="40">
        <v>45292</v>
      </c>
      <c r="GR4" s="40">
        <v>44984</v>
      </c>
      <c r="GS4" s="40">
        <v>45176</v>
      </c>
      <c r="GT4" s="40">
        <v>44966</v>
      </c>
      <c r="GU4" s="40">
        <v>45229</v>
      </c>
      <c r="GV4" s="40">
        <v>45004</v>
      </c>
      <c r="GW4" s="40">
        <v>45282</v>
      </c>
      <c r="GX4" s="40">
        <v>45254</v>
      </c>
      <c r="GY4" s="40">
        <v>44984</v>
      </c>
      <c r="GZ4" s="40">
        <v>45006</v>
      </c>
      <c r="HA4" s="40">
        <v>45123</v>
      </c>
      <c r="HB4" s="40">
        <v>45193</v>
      </c>
      <c r="HC4" s="40">
        <v>45284</v>
      </c>
      <c r="HD4" s="40">
        <v>45000</v>
      </c>
      <c r="HE4" s="40">
        <v>45019</v>
      </c>
      <c r="HF4" s="40">
        <v>45193</v>
      </c>
      <c r="HG4" s="40">
        <v>45061</v>
      </c>
      <c r="HH4" s="40">
        <v>45162</v>
      </c>
      <c r="HI4" s="40">
        <v>45227</v>
      </c>
      <c r="HJ4" s="40">
        <v>45057</v>
      </c>
      <c r="HK4" s="40">
        <v>45209</v>
      </c>
      <c r="HL4" s="40">
        <v>45242</v>
      </c>
      <c r="HM4" s="40">
        <v>45035</v>
      </c>
      <c r="HN4" s="40">
        <v>45259</v>
      </c>
      <c r="HO4" s="40">
        <v>45231</v>
      </c>
      <c r="HP4" s="40">
        <v>45117</v>
      </c>
      <c r="HQ4" s="40">
        <v>45106</v>
      </c>
      <c r="HR4" s="40">
        <v>45246</v>
      </c>
      <c r="HS4" s="40">
        <v>45291</v>
      </c>
      <c r="HT4" s="40">
        <v>45122</v>
      </c>
      <c r="HU4" s="40">
        <v>44990</v>
      </c>
      <c r="HV4" s="40">
        <v>44959</v>
      </c>
      <c r="HW4" s="40">
        <v>45018</v>
      </c>
      <c r="HX4" s="40">
        <v>45083</v>
      </c>
      <c r="HY4" s="40">
        <v>44969</v>
      </c>
      <c r="HZ4" s="40">
        <v>45143</v>
      </c>
      <c r="IA4" s="40">
        <v>45295</v>
      </c>
      <c r="IB4" s="40">
        <v>45040</v>
      </c>
      <c r="IC4" s="40">
        <v>45269</v>
      </c>
      <c r="ID4" s="40">
        <v>45147</v>
      </c>
      <c r="IE4" s="40">
        <v>45093</v>
      </c>
      <c r="IF4" s="40">
        <v>45149</v>
      </c>
      <c r="IG4" s="40">
        <v>45198</v>
      </c>
      <c r="IH4" s="40">
        <v>45049</v>
      </c>
      <c r="II4" s="40">
        <v>45263</v>
      </c>
      <c r="IJ4" s="40">
        <v>45109</v>
      </c>
      <c r="IK4" s="40">
        <v>45038</v>
      </c>
      <c r="IL4" s="40">
        <v>45148</v>
      </c>
      <c r="IM4" s="40">
        <v>45139</v>
      </c>
      <c r="IN4" s="40">
        <v>44998</v>
      </c>
      <c r="IO4" s="40">
        <v>44974</v>
      </c>
      <c r="IP4" s="40">
        <v>45263</v>
      </c>
      <c r="IQ4" s="40">
        <v>45233</v>
      </c>
      <c r="IR4" s="40">
        <v>45155</v>
      </c>
      <c r="IS4" s="40">
        <v>45114</v>
      </c>
      <c r="IT4" s="40">
        <v>45034</v>
      </c>
      <c r="IU4" s="40">
        <v>45012</v>
      </c>
      <c r="IV4" s="40">
        <v>45269</v>
      </c>
      <c r="IW4" s="40">
        <v>45184</v>
      </c>
      <c r="IX4" s="40">
        <v>45297</v>
      </c>
      <c r="IY4" s="40">
        <v>44950</v>
      </c>
      <c r="IZ4" s="40">
        <v>45126</v>
      </c>
      <c r="JA4" s="40">
        <v>45110</v>
      </c>
      <c r="JB4" s="40">
        <v>44936</v>
      </c>
      <c r="JC4" s="40">
        <v>44998</v>
      </c>
      <c r="JD4" s="40">
        <v>45059</v>
      </c>
      <c r="JE4" s="40">
        <v>45091</v>
      </c>
      <c r="JF4" s="40">
        <v>45179</v>
      </c>
      <c r="JG4" s="40">
        <v>45134</v>
      </c>
      <c r="JH4" s="40">
        <v>45079</v>
      </c>
      <c r="JI4" s="40">
        <v>45072</v>
      </c>
      <c r="JJ4" s="40">
        <v>45132</v>
      </c>
      <c r="JK4" s="40">
        <v>45086</v>
      </c>
      <c r="JL4" s="40">
        <v>45072</v>
      </c>
      <c r="JM4" s="40">
        <v>45241</v>
      </c>
      <c r="JN4" s="40">
        <v>45100</v>
      </c>
      <c r="JO4" s="40">
        <v>45241</v>
      </c>
      <c r="JP4" s="40">
        <v>44951</v>
      </c>
      <c r="JQ4" s="40">
        <v>45009</v>
      </c>
      <c r="JR4" s="40">
        <v>45001</v>
      </c>
      <c r="JS4" s="40">
        <v>45061</v>
      </c>
      <c r="JT4" s="40">
        <v>45018</v>
      </c>
      <c r="JU4" s="40">
        <v>45149</v>
      </c>
      <c r="JV4" s="40">
        <v>45240</v>
      </c>
      <c r="JW4" s="40">
        <v>45272</v>
      </c>
      <c r="JX4" s="40">
        <v>45269</v>
      </c>
      <c r="JY4" s="40">
        <v>45093</v>
      </c>
      <c r="JZ4" s="40">
        <v>45109</v>
      </c>
      <c r="KA4" s="40">
        <v>45050</v>
      </c>
      <c r="KB4" s="40">
        <v>45125</v>
      </c>
      <c r="KC4" s="40">
        <v>45256</v>
      </c>
      <c r="KD4" s="40">
        <v>45014</v>
      </c>
      <c r="KE4" s="40">
        <v>45218</v>
      </c>
      <c r="KF4" s="40">
        <v>45008</v>
      </c>
      <c r="KG4" s="40">
        <v>45083</v>
      </c>
      <c r="KH4" s="40">
        <v>44992</v>
      </c>
      <c r="KI4" s="40">
        <v>44994</v>
      </c>
      <c r="KJ4" s="40">
        <v>45284</v>
      </c>
      <c r="KK4" s="40">
        <v>44957</v>
      </c>
      <c r="KL4" s="40">
        <v>44970</v>
      </c>
      <c r="KM4" s="40">
        <v>45103</v>
      </c>
      <c r="KN4" s="40">
        <v>45015</v>
      </c>
      <c r="KO4" s="40">
        <v>45105</v>
      </c>
      <c r="KP4" s="40">
        <v>44947</v>
      </c>
      <c r="KQ4" s="40">
        <v>45027</v>
      </c>
      <c r="KR4" s="40">
        <v>45125</v>
      </c>
      <c r="KS4" s="40">
        <v>45027</v>
      </c>
      <c r="KT4" s="40">
        <v>44993</v>
      </c>
      <c r="KU4" s="40">
        <v>45264</v>
      </c>
      <c r="KV4" s="40">
        <v>45273</v>
      </c>
      <c r="KW4" s="40">
        <v>44940</v>
      </c>
      <c r="KX4" s="40">
        <v>44936</v>
      </c>
      <c r="KY4" s="40">
        <v>44951</v>
      </c>
      <c r="KZ4" s="40">
        <v>45043</v>
      </c>
      <c r="LA4" s="40">
        <v>44990</v>
      </c>
      <c r="LB4" s="40">
        <v>44997</v>
      </c>
      <c r="LC4" s="40">
        <v>45264</v>
      </c>
      <c r="LD4" s="40">
        <v>45029</v>
      </c>
      <c r="LE4" s="40">
        <v>45071</v>
      </c>
      <c r="LF4" s="40">
        <v>45056</v>
      </c>
      <c r="LG4" s="40">
        <v>45097</v>
      </c>
      <c r="LH4" s="40">
        <v>45018</v>
      </c>
      <c r="LI4" s="40">
        <v>45005</v>
      </c>
      <c r="LJ4" s="40">
        <v>45275</v>
      </c>
      <c r="LK4" s="40">
        <v>45222</v>
      </c>
      <c r="LL4" s="40">
        <v>44991</v>
      </c>
      <c r="LM4" s="40">
        <v>45070</v>
      </c>
      <c r="LN4" s="40">
        <v>45030</v>
      </c>
      <c r="LO4" s="40">
        <v>45124</v>
      </c>
      <c r="LP4" s="40">
        <v>45176</v>
      </c>
      <c r="LQ4" s="40">
        <v>45250</v>
      </c>
      <c r="LR4" s="40">
        <v>44976</v>
      </c>
      <c r="LS4" s="40">
        <v>44966</v>
      </c>
      <c r="LT4" s="40">
        <v>45207</v>
      </c>
      <c r="LU4" s="40">
        <v>44955</v>
      </c>
      <c r="LV4" s="40">
        <v>45086</v>
      </c>
      <c r="LW4" s="40">
        <v>44995</v>
      </c>
      <c r="LX4" s="40">
        <v>45143</v>
      </c>
      <c r="LY4" s="40">
        <v>45072</v>
      </c>
      <c r="LZ4" s="40">
        <v>45162</v>
      </c>
      <c r="MA4" s="40">
        <v>45145</v>
      </c>
      <c r="MB4" s="40">
        <v>45012</v>
      </c>
      <c r="MC4" s="40">
        <v>45144</v>
      </c>
      <c r="MD4" s="40">
        <v>45048</v>
      </c>
      <c r="ME4" s="40">
        <v>45019</v>
      </c>
      <c r="MF4" s="40">
        <v>45204</v>
      </c>
      <c r="MG4" s="40">
        <v>45101</v>
      </c>
      <c r="MH4" s="40">
        <v>44993</v>
      </c>
      <c r="MI4" s="40">
        <v>45213</v>
      </c>
      <c r="MJ4" s="40">
        <v>44954</v>
      </c>
      <c r="MK4" s="40">
        <v>44993</v>
      </c>
      <c r="ML4" s="40">
        <v>45177</v>
      </c>
      <c r="MM4" s="40">
        <v>45185</v>
      </c>
      <c r="MN4" s="40">
        <v>44972</v>
      </c>
      <c r="MO4" s="40">
        <v>45026</v>
      </c>
      <c r="MP4" s="40">
        <v>44972</v>
      </c>
      <c r="MQ4" s="40">
        <v>45160</v>
      </c>
      <c r="MR4" s="40">
        <v>45191</v>
      </c>
      <c r="MS4" s="40">
        <v>45102</v>
      </c>
      <c r="MT4" s="40">
        <v>45213</v>
      </c>
      <c r="MU4" s="40">
        <v>45019</v>
      </c>
      <c r="MV4" s="40">
        <v>45105</v>
      </c>
      <c r="MW4" s="40">
        <v>45124</v>
      </c>
      <c r="MX4" s="40">
        <v>45234</v>
      </c>
      <c r="MY4" s="40">
        <v>45194</v>
      </c>
      <c r="MZ4" s="40">
        <v>45202</v>
      </c>
      <c r="NA4" s="40">
        <v>45003</v>
      </c>
      <c r="NB4" s="40">
        <v>44940</v>
      </c>
      <c r="NC4" s="40">
        <v>45226</v>
      </c>
      <c r="ND4" s="40">
        <v>45095</v>
      </c>
      <c r="NE4" s="40">
        <v>45018</v>
      </c>
      <c r="NF4" s="40">
        <v>45000</v>
      </c>
      <c r="NG4" s="40">
        <v>44987</v>
      </c>
      <c r="NH4" s="40">
        <v>44979</v>
      </c>
      <c r="NI4" s="40">
        <v>45167</v>
      </c>
      <c r="NJ4" s="40">
        <v>45036</v>
      </c>
      <c r="NK4" s="40">
        <v>45141</v>
      </c>
      <c r="NL4" s="40">
        <v>44970</v>
      </c>
      <c r="NM4" s="40">
        <v>45251</v>
      </c>
      <c r="NN4" s="40">
        <v>45202</v>
      </c>
      <c r="NO4" s="40">
        <v>45192</v>
      </c>
      <c r="NP4" s="40">
        <v>45270</v>
      </c>
      <c r="NQ4" s="40">
        <v>45300</v>
      </c>
      <c r="NR4" s="40">
        <v>45188</v>
      </c>
      <c r="NS4" s="40">
        <v>45212</v>
      </c>
      <c r="NT4" s="40">
        <v>45042</v>
      </c>
      <c r="NU4" s="40">
        <v>45297</v>
      </c>
      <c r="NV4" s="40">
        <v>44967</v>
      </c>
      <c r="NW4" s="40">
        <v>45154</v>
      </c>
      <c r="NX4" s="40">
        <v>45062</v>
      </c>
      <c r="NY4" s="40">
        <v>44941</v>
      </c>
      <c r="NZ4" s="40">
        <v>45030</v>
      </c>
      <c r="OA4" s="40">
        <v>45103</v>
      </c>
      <c r="OB4" s="40">
        <v>45037</v>
      </c>
      <c r="OC4" s="40">
        <v>45036</v>
      </c>
      <c r="OD4" s="40">
        <v>45191</v>
      </c>
      <c r="OE4" s="40">
        <v>45173</v>
      </c>
      <c r="OF4" s="40">
        <v>45206</v>
      </c>
      <c r="OG4" s="40">
        <v>44966</v>
      </c>
      <c r="OH4" s="40">
        <v>45071</v>
      </c>
      <c r="OI4" s="40">
        <v>44943</v>
      </c>
      <c r="OJ4" s="40">
        <v>45237</v>
      </c>
      <c r="OK4" s="40">
        <v>44943</v>
      </c>
      <c r="OL4" s="40">
        <v>45059</v>
      </c>
      <c r="OM4" s="40">
        <v>44992</v>
      </c>
      <c r="ON4" s="40">
        <v>45037</v>
      </c>
      <c r="OO4" s="40">
        <v>44955</v>
      </c>
      <c r="OP4" s="40">
        <v>45091</v>
      </c>
      <c r="OQ4" s="40">
        <v>45204</v>
      </c>
      <c r="OR4" s="40">
        <v>45090</v>
      </c>
      <c r="OS4" s="40">
        <v>45190</v>
      </c>
      <c r="OT4" s="40">
        <v>45034</v>
      </c>
      <c r="OU4" s="40">
        <v>45152</v>
      </c>
      <c r="OV4" s="40">
        <v>44993</v>
      </c>
      <c r="OW4" s="40">
        <v>45176</v>
      </c>
      <c r="OX4" s="40">
        <v>45056</v>
      </c>
      <c r="OY4" s="40">
        <v>45212</v>
      </c>
      <c r="OZ4" s="40">
        <v>45257</v>
      </c>
      <c r="PA4" s="40">
        <v>44953</v>
      </c>
      <c r="PB4" s="40">
        <v>45065</v>
      </c>
      <c r="PC4" s="40">
        <v>45280</v>
      </c>
      <c r="PD4" s="40">
        <v>45129</v>
      </c>
      <c r="PE4" s="40">
        <v>45209</v>
      </c>
      <c r="PF4" s="40">
        <v>45086</v>
      </c>
      <c r="PG4" s="40">
        <v>45061</v>
      </c>
      <c r="PH4" s="40">
        <v>45155</v>
      </c>
      <c r="PI4" s="40">
        <v>45123</v>
      </c>
      <c r="PJ4" s="40">
        <v>45193</v>
      </c>
      <c r="PK4" s="40">
        <v>45067</v>
      </c>
      <c r="PL4" s="40">
        <v>45140</v>
      </c>
      <c r="PM4" s="40">
        <v>44994</v>
      </c>
      <c r="PN4" s="40">
        <v>45297</v>
      </c>
      <c r="PO4" s="40">
        <v>45298</v>
      </c>
      <c r="PP4" s="40">
        <v>45146</v>
      </c>
      <c r="PQ4" s="40">
        <v>45148</v>
      </c>
      <c r="PR4" s="40">
        <v>45159</v>
      </c>
      <c r="PS4" s="40">
        <v>45062</v>
      </c>
      <c r="PT4" s="40">
        <v>45009</v>
      </c>
      <c r="PU4" s="40">
        <v>45213</v>
      </c>
      <c r="PV4" s="40">
        <v>45204</v>
      </c>
      <c r="PW4" s="40">
        <v>45091</v>
      </c>
      <c r="PX4" s="40">
        <v>45179</v>
      </c>
      <c r="PY4" s="40">
        <v>45149</v>
      </c>
      <c r="PZ4" s="40">
        <v>45119</v>
      </c>
      <c r="QA4" s="40">
        <v>45094</v>
      </c>
      <c r="QB4" s="40">
        <v>45109</v>
      </c>
      <c r="QC4" s="40">
        <v>44969</v>
      </c>
      <c r="QD4" s="40">
        <v>44976</v>
      </c>
      <c r="QE4" s="40">
        <v>45239</v>
      </c>
      <c r="QF4" s="40">
        <v>45265</v>
      </c>
      <c r="QG4" s="40">
        <v>45247</v>
      </c>
      <c r="QH4" s="40">
        <v>45008</v>
      </c>
      <c r="QI4" s="40">
        <v>45209</v>
      </c>
      <c r="QJ4" s="40">
        <v>45110</v>
      </c>
      <c r="QK4" s="40">
        <v>45082</v>
      </c>
      <c r="QL4" s="40">
        <v>45203</v>
      </c>
      <c r="QM4" s="40">
        <v>45255</v>
      </c>
      <c r="QN4" s="40">
        <v>45036</v>
      </c>
      <c r="QO4" s="40">
        <v>45067</v>
      </c>
      <c r="QP4" s="40">
        <v>45280</v>
      </c>
      <c r="QQ4" s="40">
        <v>45202</v>
      </c>
      <c r="QR4" s="40">
        <v>45281</v>
      </c>
      <c r="QS4" s="40">
        <v>45221</v>
      </c>
      <c r="QT4" s="40">
        <v>45142</v>
      </c>
      <c r="QU4" s="40">
        <v>45205</v>
      </c>
      <c r="QV4" s="40">
        <v>45000</v>
      </c>
      <c r="QW4" s="40">
        <v>45176</v>
      </c>
      <c r="QX4" s="40">
        <v>45089</v>
      </c>
      <c r="QY4" s="40">
        <v>44975</v>
      </c>
      <c r="QZ4" s="40">
        <v>45129</v>
      </c>
      <c r="RA4" s="40">
        <v>45082</v>
      </c>
      <c r="RB4" s="40">
        <v>45052</v>
      </c>
      <c r="RC4" s="40">
        <v>44936</v>
      </c>
      <c r="RD4" s="40">
        <v>45174</v>
      </c>
      <c r="RE4" s="40">
        <v>45278</v>
      </c>
      <c r="RF4" s="40">
        <v>45055</v>
      </c>
      <c r="RG4" s="40">
        <v>45119</v>
      </c>
      <c r="RH4" s="40">
        <v>44999</v>
      </c>
      <c r="RI4" s="40">
        <v>44936</v>
      </c>
      <c r="RJ4" s="40">
        <v>45230</v>
      </c>
      <c r="RK4" s="40">
        <v>45227</v>
      </c>
      <c r="RL4" s="40">
        <v>45077</v>
      </c>
      <c r="RM4" s="40">
        <v>45119</v>
      </c>
      <c r="RN4" s="40">
        <v>44955</v>
      </c>
      <c r="RO4" s="40">
        <v>45162</v>
      </c>
      <c r="RP4" s="40">
        <v>45245</v>
      </c>
      <c r="RQ4" s="40">
        <v>45048</v>
      </c>
      <c r="RR4" s="40">
        <v>45237</v>
      </c>
      <c r="RS4" s="40">
        <v>45077</v>
      </c>
      <c r="RT4" s="40">
        <v>44966</v>
      </c>
      <c r="RU4" s="40">
        <v>45284</v>
      </c>
      <c r="RV4" s="40">
        <v>45187</v>
      </c>
      <c r="RW4" s="40">
        <v>45261</v>
      </c>
      <c r="RX4" s="40">
        <v>45137</v>
      </c>
      <c r="RY4" s="40">
        <v>45140</v>
      </c>
      <c r="RZ4" s="40">
        <v>45043</v>
      </c>
      <c r="SA4" s="40">
        <v>45154</v>
      </c>
      <c r="SB4" s="40">
        <v>45063</v>
      </c>
      <c r="SC4" s="40">
        <v>45178</v>
      </c>
      <c r="SD4" s="40">
        <v>45151</v>
      </c>
      <c r="SE4" s="40">
        <v>45025</v>
      </c>
      <c r="SF4" s="40">
        <v>45283</v>
      </c>
      <c r="SG4" s="40">
        <v>44977</v>
      </c>
    </row>
    <row r="5" spans="1:501" x14ac:dyDescent="0.3">
      <c r="A5" s="38" t="s">
        <v>4</v>
      </c>
      <c r="B5" s="36" t="s">
        <v>15</v>
      </c>
      <c r="C5" s="36" t="s">
        <v>22</v>
      </c>
      <c r="D5" s="36" t="s">
        <v>15</v>
      </c>
      <c r="E5" s="36" t="s">
        <v>34</v>
      </c>
      <c r="F5" s="36" t="s">
        <v>37</v>
      </c>
      <c r="G5" s="36" t="s">
        <v>40</v>
      </c>
      <c r="H5" s="36" t="s">
        <v>34</v>
      </c>
      <c r="I5" s="36" t="s">
        <v>46</v>
      </c>
      <c r="J5" s="36" t="s">
        <v>15</v>
      </c>
      <c r="K5" s="36" t="s">
        <v>34</v>
      </c>
      <c r="L5" s="36" t="s">
        <v>34</v>
      </c>
      <c r="M5" s="36" t="s">
        <v>46</v>
      </c>
      <c r="N5" s="36" t="s">
        <v>16</v>
      </c>
      <c r="O5" s="36" t="s">
        <v>37</v>
      </c>
      <c r="P5" s="36" t="s">
        <v>40</v>
      </c>
      <c r="Q5" s="36" t="s">
        <v>22</v>
      </c>
      <c r="R5" s="36" t="s">
        <v>16</v>
      </c>
      <c r="S5" s="36" t="s">
        <v>15</v>
      </c>
      <c r="T5" s="36" t="s">
        <v>34</v>
      </c>
      <c r="U5" s="36" t="s">
        <v>46</v>
      </c>
      <c r="V5" s="36" t="s">
        <v>46</v>
      </c>
      <c r="W5" s="36" t="s">
        <v>37</v>
      </c>
      <c r="X5" s="36" t="s">
        <v>16</v>
      </c>
      <c r="Y5" s="36" t="s">
        <v>22</v>
      </c>
      <c r="Z5" s="36" t="s">
        <v>37</v>
      </c>
      <c r="AA5" s="36" t="s">
        <v>34</v>
      </c>
      <c r="AB5" s="36" t="s">
        <v>37</v>
      </c>
      <c r="AC5" s="36" t="s">
        <v>40</v>
      </c>
      <c r="AD5" s="36" t="s">
        <v>46</v>
      </c>
      <c r="AE5" s="36" t="s">
        <v>46</v>
      </c>
      <c r="AF5" s="36" t="s">
        <v>15</v>
      </c>
      <c r="AG5" s="36" t="s">
        <v>15</v>
      </c>
      <c r="AH5" s="36" t="s">
        <v>22</v>
      </c>
      <c r="AI5" s="36" t="s">
        <v>34</v>
      </c>
      <c r="AJ5" s="36" t="s">
        <v>40</v>
      </c>
      <c r="AK5" s="36" t="s">
        <v>16</v>
      </c>
      <c r="AL5" s="36" t="s">
        <v>37</v>
      </c>
      <c r="AM5" s="36" t="s">
        <v>22</v>
      </c>
      <c r="AN5" s="36" t="s">
        <v>34</v>
      </c>
      <c r="AO5" s="36" t="s">
        <v>15</v>
      </c>
      <c r="AP5" s="36" t="s">
        <v>37</v>
      </c>
      <c r="AQ5" s="36" t="s">
        <v>15</v>
      </c>
      <c r="AR5" s="36" t="s">
        <v>37</v>
      </c>
      <c r="AS5" s="36" t="s">
        <v>16</v>
      </c>
      <c r="AT5" s="36" t="s">
        <v>34</v>
      </c>
      <c r="AU5" s="36" t="s">
        <v>37</v>
      </c>
      <c r="AV5" s="36" t="s">
        <v>40</v>
      </c>
      <c r="AW5" s="36" t="s">
        <v>22</v>
      </c>
      <c r="AX5" s="36" t="s">
        <v>46</v>
      </c>
      <c r="AY5" s="36" t="s">
        <v>40</v>
      </c>
      <c r="AZ5" s="36" t="s">
        <v>40</v>
      </c>
      <c r="BA5" s="36" t="s">
        <v>22</v>
      </c>
      <c r="BB5" s="36" t="s">
        <v>46</v>
      </c>
      <c r="BC5" s="36" t="s">
        <v>40</v>
      </c>
      <c r="BD5" s="36" t="s">
        <v>37</v>
      </c>
      <c r="BE5" s="36" t="s">
        <v>37</v>
      </c>
      <c r="BF5" s="36" t="s">
        <v>37</v>
      </c>
      <c r="BG5" s="36" t="s">
        <v>46</v>
      </c>
      <c r="BH5" s="36" t="s">
        <v>40</v>
      </c>
      <c r="BI5" s="36" t="s">
        <v>46</v>
      </c>
      <c r="BJ5" s="36" t="s">
        <v>37</v>
      </c>
      <c r="BK5" s="36" t="s">
        <v>22</v>
      </c>
      <c r="BL5" s="36" t="s">
        <v>40</v>
      </c>
      <c r="BM5" s="36" t="s">
        <v>40</v>
      </c>
      <c r="BN5" s="36" t="s">
        <v>15</v>
      </c>
      <c r="BO5" s="36" t="s">
        <v>15</v>
      </c>
      <c r="BP5" s="36" t="s">
        <v>16</v>
      </c>
      <c r="BQ5" s="36" t="s">
        <v>34</v>
      </c>
      <c r="BR5" s="36" t="s">
        <v>15</v>
      </c>
      <c r="BS5" s="36" t="s">
        <v>46</v>
      </c>
      <c r="BT5" s="36" t="s">
        <v>15</v>
      </c>
      <c r="BU5" s="36" t="s">
        <v>16</v>
      </c>
      <c r="BV5" s="36" t="s">
        <v>40</v>
      </c>
      <c r="BW5" s="36" t="s">
        <v>16</v>
      </c>
      <c r="BX5" s="36" t="s">
        <v>40</v>
      </c>
      <c r="BY5" s="36" t="s">
        <v>22</v>
      </c>
      <c r="BZ5" s="36" t="s">
        <v>22</v>
      </c>
      <c r="CA5" s="36" t="s">
        <v>40</v>
      </c>
      <c r="CB5" s="36" t="s">
        <v>34</v>
      </c>
      <c r="CC5" s="36" t="s">
        <v>15</v>
      </c>
      <c r="CD5" s="36" t="s">
        <v>46</v>
      </c>
      <c r="CE5" s="36" t="s">
        <v>46</v>
      </c>
      <c r="CF5" s="36" t="s">
        <v>37</v>
      </c>
      <c r="CG5" s="36" t="s">
        <v>40</v>
      </c>
      <c r="CH5" s="36" t="s">
        <v>46</v>
      </c>
      <c r="CI5" s="36" t="s">
        <v>34</v>
      </c>
      <c r="CJ5" s="36" t="s">
        <v>40</v>
      </c>
      <c r="CK5" s="36" t="s">
        <v>34</v>
      </c>
      <c r="CL5" s="36" t="s">
        <v>46</v>
      </c>
      <c r="CM5" s="36" t="s">
        <v>46</v>
      </c>
      <c r="CN5" s="36" t="s">
        <v>37</v>
      </c>
      <c r="CO5" s="36" t="s">
        <v>46</v>
      </c>
      <c r="CP5" s="36" t="s">
        <v>40</v>
      </c>
      <c r="CQ5" s="36" t="s">
        <v>22</v>
      </c>
      <c r="CR5" s="36" t="s">
        <v>40</v>
      </c>
      <c r="CS5" s="36" t="s">
        <v>40</v>
      </c>
      <c r="CT5" s="36" t="s">
        <v>37</v>
      </c>
      <c r="CU5" s="36" t="s">
        <v>37</v>
      </c>
      <c r="CV5" s="36" t="s">
        <v>46</v>
      </c>
      <c r="CW5" s="36" t="s">
        <v>16</v>
      </c>
      <c r="CX5" s="36" t="s">
        <v>16</v>
      </c>
      <c r="CY5" s="36" t="s">
        <v>37</v>
      </c>
      <c r="CZ5" s="36" t="s">
        <v>46</v>
      </c>
      <c r="DA5" s="36" t="s">
        <v>16</v>
      </c>
      <c r="DB5" s="36" t="s">
        <v>46</v>
      </c>
      <c r="DC5" s="36" t="s">
        <v>46</v>
      </c>
      <c r="DD5" s="36" t="s">
        <v>46</v>
      </c>
      <c r="DE5" s="36" t="s">
        <v>15</v>
      </c>
      <c r="DF5" s="36" t="s">
        <v>40</v>
      </c>
      <c r="DG5" s="36" t="s">
        <v>46</v>
      </c>
      <c r="DH5" s="36" t="s">
        <v>15</v>
      </c>
      <c r="DI5" s="36" t="s">
        <v>37</v>
      </c>
      <c r="DJ5" s="36" t="s">
        <v>16</v>
      </c>
      <c r="DK5" s="36" t="s">
        <v>40</v>
      </c>
      <c r="DL5" s="36" t="s">
        <v>22</v>
      </c>
      <c r="DM5" s="36" t="s">
        <v>16</v>
      </c>
      <c r="DN5" s="36" t="s">
        <v>40</v>
      </c>
      <c r="DO5" s="36" t="s">
        <v>22</v>
      </c>
      <c r="DP5" s="36" t="s">
        <v>16</v>
      </c>
      <c r="DQ5" s="36" t="s">
        <v>40</v>
      </c>
      <c r="DR5" s="36" t="s">
        <v>16</v>
      </c>
      <c r="DS5" s="36" t="s">
        <v>16</v>
      </c>
      <c r="DT5" s="36" t="s">
        <v>22</v>
      </c>
      <c r="DU5" s="36" t="s">
        <v>16</v>
      </c>
      <c r="DV5" s="36" t="s">
        <v>16</v>
      </c>
      <c r="DW5" s="36" t="s">
        <v>22</v>
      </c>
      <c r="DX5" s="36" t="s">
        <v>37</v>
      </c>
      <c r="DY5" s="36" t="s">
        <v>46</v>
      </c>
      <c r="DZ5" s="36" t="s">
        <v>34</v>
      </c>
      <c r="EA5" s="36" t="s">
        <v>15</v>
      </c>
      <c r="EB5" s="36" t="s">
        <v>34</v>
      </c>
      <c r="EC5" s="36" t="s">
        <v>34</v>
      </c>
      <c r="ED5" s="36" t="s">
        <v>40</v>
      </c>
      <c r="EE5" s="36" t="s">
        <v>46</v>
      </c>
      <c r="EF5" s="36" t="s">
        <v>40</v>
      </c>
      <c r="EG5" s="36" t="s">
        <v>46</v>
      </c>
      <c r="EH5" s="36" t="s">
        <v>22</v>
      </c>
      <c r="EI5" s="36" t="s">
        <v>22</v>
      </c>
      <c r="EJ5" s="36" t="s">
        <v>46</v>
      </c>
      <c r="EK5" s="36" t="s">
        <v>16</v>
      </c>
      <c r="EL5" s="36" t="s">
        <v>37</v>
      </c>
      <c r="EM5" s="36" t="s">
        <v>16</v>
      </c>
      <c r="EN5" s="36" t="s">
        <v>37</v>
      </c>
      <c r="EO5" s="36" t="s">
        <v>40</v>
      </c>
      <c r="EP5" s="36" t="s">
        <v>37</v>
      </c>
      <c r="EQ5" s="36" t="s">
        <v>40</v>
      </c>
      <c r="ER5" s="36" t="s">
        <v>22</v>
      </c>
      <c r="ES5" s="36" t="s">
        <v>34</v>
      </c>
      <c r="ET5" s="36" t="s">
        <v>22</v>
      </c>
      <c r="EU5" s="36" t="s">
        <v>22</v>
      </c>
      <c r="EV5" s="36" t="s">
        <v>34</v>
      </c>
      <c r="EW5" s="36" t="s">
        <v>37</v>
      </c>
      <c r="EX5" s="36" t="s">
        <v>37</v>
      </c>
      <c r="EY5" s="36" t="s">
        <v>40</v>
      </c>
      <c r="EZ5" s="36" t="s">
        <v>16</v>
      </c>
      <c r="FA5" s="36" t="s">
        <v>40</v>
      </c>
      <c r="FB5" s="36" t="s">
        <v>16</v>
      </c>
      <c r="FC5" s="36" t="s">
        <v>22</v>
      </c>
      <c r="FD5" s="36" t="s">
        <v>34</v>
      </c>
      <c r="FE5" s="36" t="s">
        <v>22</v>
      </c>
      <c r="FF5" s="36" t="s">
        <v>46</v>
      </c>
      <c r="FG5" s="36" t="s">
        <v>37</v>
      </c>
      <c r="FH5" s="36" t="s">
        <v>16</v>
      </c>
      <c r="FI5" s="36" t="s">
        <v>40</v>
      </c>
      <c r="FJ5" s="36" t="s">
        <v>34</v>
      </c>
      <c r="FK5" s="36" t="s">
        <v>16</v>
      </c>
      <c r="FL5" s="36" t="s">
        <v>40</v>
      </c>
      <c r="FM5" s="36" t="s">
        <v>37</v>
      </c>
      <c r="FN5" s="36" t="s">
        <v>22</v>
      </c>
      <c r="FO5" s="36" t="s">
        <v>37</v>
      </c>
      <c r="FP5" s="36" t="s">
        <v>15</v>
      </c>
      <c r="FQ5" s="36" t="s">
        <v>46</v>
      </c>
      <c r="FR5" s="36" t="s">
        <v>15</v>
      </c>
      <c r="FS5" s="36" t="s">
        <v>34</v>
      </c>
      <c r="FT5" s="36" t="s">
        <v>16</v>
      </c>
      <c r="FU5" s="36" t="s">
        <v>34</v>
      </c>
      <c r="FV5" s="36" t="s">
        <v>22</v>
      </c>
      <c r="FW5" s="36" t="s">
        <v>40</v>
      </c>
      <c r="FX5" s="36" t="s">
        <v>37</v>
      </c>
      <c r="FY5" s="36" t="s">
        <v>15</v>
      </c>
      <c r="FZ5" s="36" t="s">
        <v>15</v>
      </c>
      <c r="GA5" s="36" t="s">
        <v>22</v>
      </c>
      <c r="GB5" s="36" t="s">
        <v>15</v>
      </c>
      <c r="GC5" s="36" t="s">
        <v>22</v>
      </c>
      <c r="GD5" s="36" t="s">
        <v>34</v>
      </c>
      <c r="GE5" s="36" t="s">
        <v>37</v>
      </c>
      <c r="GF5" s="36" t="s">
        <v>16</v>
      </c>
      <c r="GG5" s="36" t="s">
        <v>40</v>
      </c>
      <c r="GH5" s="36" t="s">
        <v>16</v>
      </c>
      <c r="GI5" s="36" t="s">
        <v>34</v>
      </c>
      <c r="GJ5" s="36" t="s">
        <v>40</v>
      </c>
      <c r="GK5" s="36" t="s">
        <v>15</v>
      </c>
      <c r="GL5" s="36" t="s">
        <v>46</v>
      </c>
      <c r="GM5" s="36" t="s">
        <v>34</v>
      </c>
      <c r="GN5" s="36" t="s">
        <v>34</v>
      </c>
      <c r="GO5" s="36" t="s">
        <v>37</v>
      </c>
      <c r="GP5" s="36" t="s">
        <v>16</v>
      </c>
      <c r="GQ5" s="36" t="s">
        <v>34</v>
      </c>
      <c r="GR5" s="36" t="s">
        <v>34</v>
      </c>
      <c r="GS5" s="36" t="s">
        <v>15</v>
      </c>
      <c r="GT5" s="36" t="s">
        <v>15</v>
      </c>
      <c r="GU5" s="36" t="s">
        <v>40</v>
      </c>
      <c r="GV5" s="36" t="s">
        <v>22</v>
      </c>
      <c r="GW5" s="36" t="s">
        <v>22</v>
      </c>
      <c r="GX5" s="36" t="s">
        <v>46</v>
      </c>
      <c r="GY5" s="36" t="s">
        <v>22</v>
      </c>
      <c r="GZ5" s="36" t="s">
        <v>37</v>
      </c>
      <c r="HA5" s="36" t="s">
        <v>46</v>
      </c>
      <c r="HB5" s="36" t="s">
        <v>40</v>
      </c>
      <c r="HC5" s="36" t="s">
        <v>15</v>
      </c>
      <c r="HD5" s="36" t="s">
        <v>22</v>
      </c>
      <c r="HE5" s="36" t="s">
        <v>16</v>
      </c>
      <c r="HF5" s="36" t="s">
        <v>15</v>
      </c>
      <c r="HG5" s="36" t="s">
        <v>37</v>
      </c>
      <c r="HH5" s="36" t="s">
        <v>15</v>
      </c>
      <c r="HI5" s="36" t="s">
        <v>37</v>
      </c>
      <c r="HJ5" s="36" t="s">
        <v>37</v>
      </c>
      <c r="HK5" s="36" t="s">
        <v>37</v>
      </c>
      <c r="HL5" s="36" t="s">
        <v>40</v>
      </c>
      <c r="HM5" s="36" t="s">
        <v>37</v>
      </c>
      <c r="HN5" s="36" t="s">
        <v>37</v>
      </c>
      <c r="HO5" s="36" t="s">
        <v>16</v>
      </c>
      <c r="HP5" s="36" t="s">
        <v>46</v>
      </c>
      <c r="HQ5" s="36" t="s">
        <v>34</v>
      </c>
      <c r="HR5" s="36" t="s">
        <v>46</v>
      </c>
      <c r="HS5" s="36" t="s">
        <v>37</v>
      </c>
      <c r="HT5" s="36" t="s">
        <v>16</v>
      </c>
      <c r="HU5" s="36" t="s">
        <v>15</v>
      </c>
      <c r="HV5" s="36" t="s">
        <v>16</v>
      </c>
      <c r="HW5" s="36" t="s">
        <v>37</v>
      </c>
      <c r="HX5" s="36" t="s">
        <v>16</v>
      </c>
      <c r="HY5" s="36" t="s">
        <v>22</v>
      </c>
      <c r="HZ5" s="36" t="s">
        <v>16</v>
      </c>
      <c r="IA5" s="36" t="s">
        <v>37</v>
      </c>
      <c r="IB5" s="36" t="s">
        <v>40</v>
      </c>
      <c r="IC5" s="36" t="s">
        <v>22</v>
      </c>
      <c r="ID5" s="36" t="s">
        <v>16</v>
      </c>
      <c r="IE5" s="36" t="s">
        <v>34</v>
      </c>
      <c r="IF5" s="36" t="s">
        <v>34</v>
      </c>
      <c r="IG5" s="36" t="s">
        <v>16</v>
      </c>
      <c r="IH5" s="36" t="s">
        <v>40</v>
      </c>
      <c r="II5" s="36" t="s">
        <v>15</v>
      </c>
      <c r="IJ5" s="36" t="s">
        <v>37</v>
      </c>
      <c r="IK5" s="36" t="s">
        <v>34</v>
      </c>
      <c r="IL5" s="36" t="s">
        <v>15</v>
      </c>
      <c r="IM5" s="36" t="s">
        <v>16</v>
      </c>
      <c r="IN5" s="36" t="s">
        <v>15</v>
      </c>
      <c r="IO5" s="36" t="s">
        <v>22</v>
      </c>
      <c r="IP5" s="36" t="s">
        <v>46</v>
      </c>
      <c r="IQ5" s="36" t="s">
        <v>34</v>
      </c>
      <c r="IR5" s="36" t="s">
        <v>16</v>
      </c>
      <c r="IS5" s="36" t="s">
        <v>37</v>
      </c>
      <c r="IT5" s="36" t="s">
        <v>40</v>
      </c>
      <c r="IU5" s="36" t="s">
        <v>22</v>
      </c>
      <c r="IV5" s="36" t="s">
        <v>16</v>
      </c>
      <c r="IW5" s="36" t="s">
        <v>37</v>
      </c>
      <c r="IX5" s="36" t="s">
        <v>40</v>
      </c>
      <c r="IY5" s="36" t="s">
        <v>40</v>
      </c>
      <c r="IZ5" s="36" t="s">
        <v>16</v>
      </c>
      <c r="JA5" s="36" t="s">
        <v>22</v>
      </c>
      <c r="JB5" s="36" t="s">
        <v>15</v>
      </c>
      <c r="JC5" s="36" t="s">
        <v>15</v>
      </c>
      <c r="JD5" s="36" t="s">
        <v>40</v>
      </c>
      <c r="JE5" s="36" t="s">
        <v>15</v>
      </c>
      <c r="JF5" s="36" t="s">
        <v>46</v>
      </c>
      <c r="JG5" s="36" t="s">
        <v>40</v>
      </c>
      <c r="JH5" s="36" t="s">
        <v>40</v>
      </c>
      <c r="JI5" s="36" t="s">
        <v>37</v>
      </c>
      <c r="JJ5" s="36" t="s">
        <v>15</v>
      </c>
      <c r="JK5" s="36" t="s">
        <v>22</v>
      </c>
      <c r="JL5" s="36" t="s">
        <v>40</v>
      </c>
      <c r="JM5" s="36" t="s">
        <v>22</v>
      </c>
      <c r="JN5" s="36" t="s">
        <v>46</v>
      </c>
      <c r="JO5" s="36" t="s">
        <v>37</v>
      </c>
      <c r="JP5" s="36" t="s">
        <v>16</v>
      </c>
      <c r="JQ5" s="36" t="s">
        <v>22</v>
      </c>
      <c r="JR5" s="36" t="s">
        <v>40</v>
      </c>
      <c r="JS5" s="36" t="s">
        <v>46</v>
      </c>
      <c r="JT5" s="36" t="s">
        <v>34</v>
      </c>
      <c r="JU5" s="36" t="s">
        <v>46</v>
      </c>
      <c r="JV5" s="36" t="s">
        <v>46</v>
      </c>
      <c r="JW5" s="36" t="s">
        <v>37</v>
      </c>
      <c r="JX5" s="36" t="s">
        <v>16</v>
      </c>
      <c r="JY5" s="36" t="s">
        <v>34</v>
      </c>
      <c r="JZ5" s="36" t="s">
        <v>15</v>
      </c>
      <c r="KA5" s="36" t="s">
        <v>15</v>
      </c>
      <c r="KB5" s="36" t="s">
        <v>22</v>
      </c>
      <c r="KC5" s="36" t="s">
        <v>46</v>
      </c>
      <c r="KD5" s="36" t="s">
        <v>37</v>
      </c>
      <c r="KE5" s="36" t="s">
        <v>37</v>
      </c>
      <c r="KF5" s="36" t="s">
        <v>15</v>
      </c>
      <c r="KG5" s="36" t="s">
        <v>22</v>
      </c>
      <c r="KH5" s="36" t="s">
        <v>22</v>
      </c>
      <c r="KI5" s="36" t="s">
        <v>22</v>
      </c>
      <c r="KJ5" s="36" t="s">
        <v>34</v>
      </c>
      <c r="KK5" s="36" t="s">
        <v>16</v>
      </c>
      <c r="KL5" s="36" t="s">
        <v>34</v>
      </c>
      <c r="KM5" s="36" t="s">
        <v>40</v>
      </c>
      <c r="KN5" s="36" t="s">
        <v>40</v>
      </c>
      <c r="KO5" s="36" t="s">
        <v>16</v>
      </c>
      <c r="KP5" s="36" t="s">
        <v>15</v>
      </c>
      <c r="KQ5" s="36" t="s">
        <v>16</v>
      </c>
      <c r="KR5" s="36" t="s">
        <v>37</v>
      </c>
      <c r="KS5" s="36" t="s">
        <v>40</v>
      </c>
      <c r="KT5" s="36" t="s">
        <v>46</v>
      </c>
      <c r="KU5" s="36" t="s">
        <v>46</v>
      </c>
      <c r="KV5" s="36" t="s">
        <v>15</v>
      </c>
      <c r="KW5" s="36" t="s">
        <v>37</v>
      </c>
      <c r="KX5" s="36" t="s">
        <v>34</v>
      </c>
      <c r="KY5" s="36" t="s">
        <v>37</v>
      </c>
      <c r="KZ5" s="36" t="s">
        <v>46</v>
      </c>
      <c r="LA5" s="36" t="s">
        <v>46</v>
      </c>
      <c r="LB5" s="36" t="s">
        <v>40</v>
      </c>
      <c r="LC5" s="36" t="s">
        <v>37</v>
      </c>
      <c r="LD5" s="36" t="s">
        <v>37</v>
      </c>
      <c r="LE5" s="36" t="s">
        <v>46</v>
      </c>
      <c r="LF5" s="36" t="s">
        <v>34</v>
      </c>
      <c r="LG5" s="36" t="s">
        <v>15</v>
      </c>
      <c r="LH5" s="36" t="s">
        <v>22</v>
      </c>
      <c r="LI5" s="36" t="s">
        <v>15</v>
      </c>
      <c r="LJ5" s="36" t="s">
        <v>37</v>
      </c>
      <c r="LK5" s="36" t="s">
        <v>15</v>
      </c>
      <c r="LL5" s="36" t="s">
        <v>46</v>
      </c>
      <c r="LM5" s="36" t="s">
        <v>46</v>
      </c>
      <c r="LN5" s="36" t="s">
        <v>37</v>
      </c>
      <c r="LO5" s="36" t="s">
        <v>37</v>
      </c>
      <c r="LP5" s="36" t="s">
        <v>22</v>
      </c>
      <c r="LQ5" s="36" t="s">
        <v>22</v>
      </c>
      <c r="LR5" s="36" t="s">
        <v>40</v>
      </c>
      <c r="LS5" s="36" t="s">
        <v>37</v>
      </c>
      <c r="LT5" s="36" t="s">
        <v>34</v>
      </c>
      <c r="LU5" s="36" t="s">
        <v>15</v>
      </c>
      <c r="LV5" s="36" t="s">
        <v>37</v>
      </c>
      <c r="LW5" s="36" t="s">
        <v>16</v>
      </c>
      <c r="LX5" s="36" t="s">
        <v>40</v>
      </c>
      <c r="LY5" s="36" t="s">
        <v>16</v>
      </c>
      <c r="LZ5" s="36" t="s">
        <v>46</v>
      </c>
      <c r="MA5" s="36" t="s">
        <v>22</v>
      </c>
      <c r="MB5" s="36" t="s">
        <v>15</v>
      </c>
      <c r="MC5" s="36" t="s">
        <v>37</v>
      </c>
      <c r="MD5" s="36" t="s">
        <v>16</v>
      </c>
      <c r="ME5" s="36" t="s">
        <v>15</v>
      </c>
      <c r="MF5" s="36" t="s">
        <v>46</v>
      </c>
      <c r="MG5" s="36" t="s">
        <v>22</v>
      </c>
      <c r="MH5" s="36" t="s">
        <v>34</v>
      </c>
      <c r="MI5" s="36" t="s">
        <v>40</v>
      </c>
      <c r="MJ5" s="36" t="s">
        <v>15</v>
      </c>
      <c r="MK5" s="36" t="s">
        <v>15</v>
      </c>
      <c r="ML5" s="36" t="s">
        <v>34</v>
      </c>
      <c r="MM5" s="36" t="s">
        <v>15</v>
      </c>
      <c r="MN5" s="36" t="s">
        <v>46</v>
      </c>
      <c r="MO5" s="36" t="s">
        <v>46</v>
      </c>
      <c r="MP5" s="36" t="s">
        <v>34</v>
      </c>
      <c r="MQ5" s="36" t="s">
        <v>40</v>
      </c>
      <c r="MR5" s="36" t="s">
        <v>37</v>
      </c>
      <c r="MS5" s="36" t="s">
        <v>16</v>
      </c>
      <c r="MT5" s="36" t="s">
        <v>37</v>
      </c>
      <c r="MU5" s="36" t="s">
        <v>15</v>
      </c>
      <c r="MV5" s="36" t="s">
        <v>16</v>
      </c>
      <c r="MW5" s="36" t="s">
        <v>34</v>
      </c>
      <c r="MX5" s="36" t="s">
        <v>34</v>
      </c>
      <c r="MY5" s="36" t="s">
        <v>40</v>
      </c>
      <c r="MZ5" s="36" t="s">
        <v>16</v>
      </c>
      <c r="NA5" s="36" t="s">
        <v>46</v>
      </c>
      <c r="NB5" s="36" t="s">
        <v>16</v>
      </c>
      <c r="NC5" s="36" t="s">
        <v>15</v>
      </c>
      <c r="ND5" s="36" t="s">
        <v>46</v>
      </c>
      <c r="NE5" s="36" t="s">
        <v>22</v>
      </c>
      <c r="NF5" s="36" t="s">
        <v>22</v>
      </c>
      <c r="NG5" s="36" t="s">
        <v>22</v>
      </c>
      <c r="NH5" s="36" t="s">
        <v>34</v>
      </c>
      <c r="NI5" s="36" t="s">
        <v>16</v>
      </c>
      <c r="NJ5" s="36" t="s">
        <v>22</v>
      </c>
      <c r="NK5" s="36" t="s">
        <v>37</v>
      </c>
      <c r="NL5" s="36" t="s">
        <v>40</v>
      </c>
      <c r="NM5" s="36" t="s">
        <v>37</v>
      </c>
      <c r="NN5" s="36" t="s">
        <v>22</v>
      </c>
      <c r="NO5" s="36" t="s">
        <v>40</v>
      </c>
      <c r="NP5" s="36" t="s">
        <v>15</v>
      </c>
      <c r="NQ5" s="36" t="s">
        <v>37</v>
      </c>
      <c r="NR5" s="36" t="s">
        <v>16</v>
      </c>
      <c r="NS5" s="36" t="s">
        <v>16</v>
      </c>
      <c r="NT5" s="36" t="s">
        <v>37</v>
      </c>
      <c r="NU5" s="36" t="s">
        <v>22</v>
      </c>
      <c r="NV5" s="36" t="s">
        <v>16</v>
      </c>
      <c r="NW5" s="36" t="s">
        <v>15</v>
      </c>
      <c r="NX5" s="36" t="s">
        <v>46</v>
      </c>
      <c r="NY5" s="36" t="s">
        <v>22</v>
      </c>
      <c r="NZ5" s="36" t="s">
        <v>15</v>
      </c>
      <c r="OA5" s="36" t="s">
        <v>40</v>
      </c>
      <c r="OB5" s="36" t="s">
        <v>15</v>
      </c>
      <c r="OC5" s="36" t="s">
        <v>22</v>
      </c>
      <c r="OD5" s="36" t="s">
        <v>40</v>
      </c>
      <c r="OE5" s="36" t="s">
        <v>22</v>
      </c>
      <c r="OF5" s="36" t="s">
        <v>16</v>
      </c>
      <c r="OG5" s="36" t="s">
        <v>46</v>
      </c>
      <c r="OH5" s="36" t="s">
        <v>22</v>
      </c>
      <c r="OI5" s="36" t="s">
        <v>22</v>
      </c>
      <c r="OJ5" s="36" t="s">
        <v>16</v>
      </c>
      <c r="OK5" s="36" t="s">
        <v>34</v>
      </c>
      <c r="OL5" s="36" t="s">
        <v>16</v>
      </c>
      <c r="OM5" s="36" t="s">
        <v>40</v>
      </c>
      <c r="ON5" s="36" t="s">
        <v>16</v>
      </c>
      <c r="OO5" s="36" t="s">
        <v>16</v>
      </c>
      <c r="OP5" s="36" t="s">
        <v>46</v>
      </c>
      <c r="OQ5" s="36" t="s">
        <v>16</v>
      </c>
      <c r="OR5" s="36" t="s">
        <v>22</v>
      </c>
      <c r="OS5" s="36" t="s">
        <v>46</v>
      </c>
      <c r="OT5" s="36" t="s">
        <v>37</v>
      </c>
      <c r="OU5" s="36" t="s">
        <v>34</v>
      </c>
      <c r="OV5" s="36" t="s">
        <v>46</v>
      </c>
      <c r="OW5" s="36" t="s">
        <v>40</v>
      </c>
      <c r="OX5" s="36" t="s">
        <v>37</v>
      </c>
      <c r="OY5" s="36" t="s">
        <v>46</v>
      </c>
      <c r="OZ5" s="36" t="s">
        <v>46</v>
      </c>
      <c r="PA5" s="36" t="s">
        <v>34</v>
      </c>
      <c r="PB5" s="36" t="s">
        <v>22</v>
      </c>
      <c r="PC5" s="36" t="s">
        <v>40</v>
      </c>
      <c r="PD5" s="36" t="s">
        <v>15</v>
      </c>
      <c r="PE5" s="36" t="s">
        <v>15</v>
      </c>
      <c r="PF5" s="36" t="s">
        <v>46</v>
      </c>
      <c r="PG5" s="36" t="s">
        <v>16</v>
      </c>
      <c r="PH5" s="36" t="s">
        <v>40</v>
      </c>
      <c r="PI5" s="36" t="s">
        <v>37</v>
      </c>
      <c r="PJ5" s="36" t="s">
        <v>16</v>
      </c>
      <c r="PK5" s="36" t="s">
        <v>16</v>
      </c>
      <c r="PL5" s="36" t="s">
        <v>40</v>
      </c>
      <c r="PM5" s="36" t="s">
        <v>22</v>
      </c>
      <c r="PN5" s="36" t="s">
        <v>46</v>
      </c>
      <c r="PO5" s="36" t="s">
        <v>46</v>
      </c>
      <c r="PP5" s="36" t="s">
        <v>46</v>
      </c>
      <c r="PQ5" s="36" t="s">
        <v>46</v>
      </c>
      <c r="PR5" s="36" t="s">
        <v>15</v>
      </c>
      <c r="PS5" s="36" t="s">
        <v>46</v>
      </c>
      <c r="PT5" s="36" t="s">
        <v>15</v>
      </c>
      <c r="PU5" s="36" t="s">
        <v>15</v>
      </c>
      <c r="PV5" s="36" t="s">
        <v>22</v>
      </c>
      <c r="PW5" s="36" t="s">
        <v>46</v>
      </c>
      <c r="PX5" s="36" t="s">
        <v>34</v>
      </c>
      <c r="PY5" s="36" t="s">
        <v>37</v>
      </c>
      <c r="PZ5" s="36" t="s">
        <v>16</v>
      </c>
      <c r="QA5" s="36" t="s">
        <v>15</v>
      </c>
      <c r="QB5" s="36" t="s">
        <v>40</v>
      </c>
      <c r="QC5" s="36" t="s">
        <v>40</v>
      </c>
      <c r="QD5" s="36" t="s">
        <v>37</v>
      </c>
      <c r="QE5" s="36" t="s">
        <v>40</v>
      </c>
      <c r="QF5" s="36" t="s">
        <v>34</v>
      </c>
      <c r="QG5" s="36" t="s">
        <v>40</v>
      </c>
      <c r="QH5" s="36" t="s">
        <v>16</v>
      </c>
      <c r="QI5" s="36" t="s">
        <v>16</v>
      </c>
      <c r="QJ5" s="36" t="s">
        <v>15</v>
      </c>
      <c r="QK5" s="36" t="s">
        <v>46</v>
      </c>
      <c r="QL5" s="36" t="s">
        <v>22</v>
      </c>
      <c r="QM5" s="36" t="s">
        <v>34</v>
      </c>
      <c r="QN5" s="36" t="s">
        <v>15</v>
      </c>
      <c r="QO5" s="36" t="s">
        <v>34</v>
      </c>
      <c r="QP5" s="36" t="s">
        <v>46</v>
      </c>
      <c r="QQ5" s="36" t="s">
        <v>40</v>
      </c>
      <c r="QR5" s="36" t="s">
        <v>40</v>
      </c>
      <c r="QS5" s="36" t="s">
        <v>22</v>
      </c>
      <c r="QT5" s="36" t="s">
        <v>46</v>
      </c>
      <c r="QU5" s="36" t="s">
        <v>15</v>
      </c>
      <c r="QV5" s="36" t="s">
        <v>22</v>
      </c>
      <c r="QW5" s="36" t="s">
        <v>46</v>
      </c>
      <c r="QX5" s="36" t="s">
        <v>37</v>
      </c>
      <c r="QY5" s="36" t="s">
        <v>16</v>
      </c>
      <c r="QZ5" s="36" t="s">
        <v>22</v>
      </c>
      <c r="RA5" s="36" t="s">
        <v>22</v>
      </c>
      <c r="RB5" s="36" t="s">
        <v>15</v>
      </c>
      <c r="RC5" s="36" t="s">
        <v>34</v>
      </c>
      <c r="RD5" s="36" t="s">
        <v>37</v>
      </c>
      <c r="RE5" s="36" t="s">
        <v>15</v>
      </c>
      <c r="RF5" s="36" t="s">
        <v>46</v>
      </c>
      <c r="RG5" s="36" t="s">
        <v>46</v>
      </c>
      <c r="RH5" s="36" t="s">
        <v>46</v>
      </c>
      <c r="RI5" s="36" t="s">
        <v>46</v>
      </c>
      <c r="RJ5" s="36" t="s">
        <v>34</v>
      </c>
      <c r="RK5" s="36" t="s">
        <v>37</v>
      </c>
      <c r="RL5" s="36" t="s">
        <v>40</v>
      </c>
      <c r="RM5" s="36" t="s">
        <v>16</v>
      </c>
      <c r="RN5" s="36" t="s">
        <v>34</v>
      </c>
      <c r="RO5" s="36" t="s">
        <v>34</v>
      </c>
      <c r="RP5" s="36" t="s">
        <v>40</v>
      </c>
      <c r="RQ5" s="36" t="s">
        <v>40</v>
      </c>
      <c r="RR5" s="36" t="s">
        <v>16</v>
      </c>
      <c r="RS5" s="36" t="s">
        <v>16</v>
      </c>
      <c r="RT5" s="36" t="s">
        <v>40</v>
      </c>
      <c r="RU5" s="36" t="s">
        <v>46</v>
      </c>
      <c r="RV5" s="36" t="s">
        <v>34</v>
      </c>
      <c r="RW5" s="36" t="s">
        <v>15</v>
      </c>
      <c r="RX5" s="36" t="s">
        <v>16</v>
      </c>
      <c r="RY5" s="36" t="s">
        <v>16</v>
      </c>
      <c r="RZ5" s="36" t="s">
        <v>40</v>
      </c>
      <c r="SA5" s="36" t="s">
        <v>37</v>
      </c>
      <c r="SB5" s="36" t="s">
        <v>15</v>
      </c>
      <c r="SC5" s="36" t="s">
        <v>15</v>
      </c>
      <c r="SD5" s="36" t="s">
        <v>16</v>
      </c>
      <c r="SE5" s="36" t="s">
        <v>46</v>
      </c>
      <c r="SF5" s="36" t="s">
        <v>37</v>
      </c>
      <c r="SG5" s="36" t="s">
        <v>15</v>
      </c>
    </row>
    <row r="6" spans="1:501" x14ac:dyDescent="0.3">
      <c r="A6" s="38" t="s">
        <v>5</v>
      </c>
      <c r="B6" s="36" t="s">
        <v>16</v>
      </c>
      <c r="C6" s="36" t="s">
        <v>23</v>
      </c>
      <c r="D6" s="36" t="s">
        <v>29</v>
      </c>
      <c r="E6" s="36" t="s">
        <v>29</v>
      </c>
      <c r="F6" s="36" t="s">
        <v>38</v>
      </c>
      <c r="G6" s="36" t="s">
        <v>41</v>
      </c>
      <c r="H6" s="36" t="s">
        <v>41</v>
      </c>
      <c r="I6" s="36" t="s">
        <v>16</v>
      </c>
      <c r="J6" s="36" t="s">
        <v>29</v>
      </c>
      <c r="K6" s="36" t="s">
        <v>38</v>
      </c>
      <c r="L6" s="36" t="s">
        <v>38</v>
      </c>
      <c r="M6" s="36" t="s">
        <v>23</v>
      </c>
      <c r="N6" s="36" t="s">
        <v>23</v>
      </c>
      <c r="O6" s="36" t="s">
        <v>38</v>
      </c>
      <c r="P6" s="36" t="s">
        <v>23</v>
      </c>
      <c r="Q6" s="36" t="s">
        <v>29</v>
      </c>
      <c r="R6" s="36" t="s">
        <v>54</v>
      </c>
      <c r="S6" s="36" t="s">
        <v>29</v>
      </c>
      <c r="T6" s="36" t="s">
        <v>38</v>
      </c>
      <c r="U6" s="36" t="s">
        <v>38</v>
      </c>
      <c r="V6" s="36" t="s">
        <v>29</v>
      </c>
      <c r="W6" s="36" t="s">
        <v>23</v>
      </c>
      <c r="X6" s="36" t="s">
        <v>23</v>
      </c>
      <c r="Y6" s="36" t="s">
        <v>41</v>
      </c>
      <c r="Z6" s="36" t="s">
        <v>38</v>
      </c>
      <c r="AA6" s="36" t="s">
        <v>16</v>
      </c>
      <c r="AB6" s="36" t="s">
        <v>41</v>
      </c>
      <c r="AC6" s="36" t="s">
        <v>23</v>
      </c>
      <c r="AD6" s="36" t="s">
        <v>29</v>
      </c>
      <c r="AE6" s="36" t="s">
        <v>23</v>
      </c>
      <c r="AF6" s="36" t="s">
        <v>29</v>
      </c>
      <c r="AG6" s="36" t="s">
        <v>41</v>
      </c>
      <c r="AH6" s="36" t="s">
        <v>38</v>
      </c>
      <c r="AI6" s="36" t="s">
        <v>23</v>
      </c>
      <c r="AJ6" s="36" t="s">
        <v>29</v>
      </c>
      <c r="AK6" s="36" t="s">
        <v>38</v>
      </c>
      <c r="AL6" s="36" t="s">
        <v>16</v>
      </c>
      <c r="AM6" s="36" t="s">
        <v>29</v>
      </c>
      <c r="AN6" s="36" t="s">
        <v>41</v>
      </c>
      <c r="AO6" s="36" t="s">
        <v>16</v>
      </c>
      <c r="AP6" s="36" t="s">
        <v>16</v>
      </c>
      <c r="AQ6" s="36" t="s">
        <v>54</v>
      </c>
      <c r="AR6" s="36" t="s">
        <v>23</v>
      </c>
      <c r="AS6" s="36" t="s">
        <v>29</v>
      </c>
      <c r="AT6" s="36" t="s">
        <v>16</v>
      </c>
      <c r="AU6" s="36" t="s">
        <v>54</v>
      </c>
      <c r="AV6" s="36" t="s">
        <v>41</v>
      </c>
      <c r="AW6" s="36" t="s">
        <v>38</v>
      </c>
      <c r="AX6" s="36" t="s">
        <v>29</v>
      </c>
      <c r="AY6" s="36" t="s">
        <v>16</v>
      </c>
      <c r="AZ6" s="36" t="s">
        <v>23</v>
      </c>
      <c r="BA6" s="36" t="s">
        <v>54</v>
      </c>
      <c r="BB6" s="36" t="s">
        <v>16</v>
      </c>
      <c r="BC6" s="36" t="s">
        <v>23</v>
      </c>
      <c r="BD6" s="36" t="s">
        <v>16</v>
      </c>
      <c r="BE6" s="36" t="s">
        <v>29</v>
      </c>
      <c r="BF6" s="36" t="s">
        <v>29</v>
      </c>
      <c r="BG6" s="36" t="s">
        <v>29</v>
      </c>
      <c r="BH6" s="36" t="s">
        <v>41</v>
      </c>
      <c r="BI6" s="36" t="s">
        <v>41</v>
      </c>
      <c r="BJ6" s="36" t="s">
        <v>54</v>
      </c>
      <c r="BK6" s="36" t="s">
        <v>29</v>
      </c>
      <c r="BL6" s="36" t="s">
        <v>23</v>
      </c>
      <c r="BM6" s="36" t="s">
        <v>16</v>
      </c>
      <c r="BN6" s="36" t="s">
        <v>38</v>
      </c>
      <c r="BO6" s="36" t="s">
        <v>23</v>
      </c>
      <c r="BP6" s="36" t="s">
        <v>41</v>
      </c>
      <c r="BQ6" s="36" t="s">
        <v>41</v>
      </c>
      <c r="BR6" s="36" t="s">
        <v>23</v>
      </c>
      <c r="BS6" s="36" t="s">
        <v>41</v>
      </c>
      <c r="BT6" s="36" t="s">
        <v>29</v>
      </c>
      <c r="BU6" s="36" t="s">
        <v>54</v>
      </c>
      <c r="BV6" s="36" t="s">
        <v>16</v>
      </c>
      <c r="BW6" s="36" t="s">
        <v>54</v>
      </c>
      <c r="BX6" s="36" t="s">
        <v>16</v>
      </c>
      <c r="BY6" s="36" t="s">
        <v>16</v>
      </c>
      <c r="BZ6" s="36" t="s">
        <v>54</v>
      </c>
      <c r="CA6" s="36" t="s">
        <v>23</v>
      </c>
      <c r="CB6" s="36" t="s">
        <v>16</v>
      </c>
      <c r="CC6" s="36" t="s">
        <v>54</v>
      </c>
      <c r="CD6" s="36" t="s">
        <v>16</v>
      </c>
      <c r="CE6" s="36" t="s">
        <v>38</v>
      </c>
      <c r="CF6" s="36" t="s">
        <v>23</v>
      </c>
      <c r="CG6" s="36" t="s">
        <v>29</v>
      </c>
      <c r="CH6" s="36" t="s">
        <v>16</v>
      </c>
      <c r="CI6" s="36" t="s">
        <v>38</v>
      </c>
      <c r="CJ6" s="36" t="s">
        <v>29</v>
      </c>
      <c r="CK6" s="36" t="s">
        <v>29</v>
      </c>
      <c r="CL6" s="36" t="s">
        <v>16</v>
      </c>
      <c r="CM6" s="36" t="s">
        <v>54</v>
      </c>
      <c r="CN6" s="36" t="s">
        <v>16</v>
      </c>
      <c r="CO6" s="36" t="s">
        <v>38</v>
      </c>
      <c r="CP6" s="36" t="s">
        <v>29</v>
      </c>
      <c r="CQ6" s="36" t="s">
        <v>16</v>
      </c>
      <c r="CR6" s="36" t="s">
        <v>54</v>
      </c>
      <c r="CS6" s="36" t="s">
        <v>16</v>
      </c>
      <c r="CT6" s="36" t="s">
        <v>23</v>
      </c>
      <c r="CU6" s="36" t="s">
        <v>54</v>
      </c>
      <c r="CV6" s="36" t="s">
        <v>38</v>
      </c>
      <c r="CW6" s="36" t="s">
        <v>29</v>
      </c>
      <c r="CX6" s="36" t="s">
        <v>16</v>
      </c>
      <c r="CY6" s="36" t="s">
        <v>54</v>
      </c>
      <c r="CZ6" s="36" t="s">
        <v>23</v>
      </c>
      <c r="DA6" s="36" t="s">
        <v>54</v>
      </c>
      <c r="DB6" s="36" t="s">
        <v>41</v>
      </c>
      <c r="DC6" s="36" t="s">
        <v>23</v>
      </c>
      <c r="DD6" s="36" t="s">
        <v>38</v>
      </c>
      <c r="DE6" s="36" t="s">
        <v>29</v>
      </c>
      <c r="DF6" s="36" t="s">
        <v>38</v>
      </c>
      <c r="DG6" s="36" t="s">
        <v>16</v>
      </c>
      <c r="DH6" s="36" t="s">
        <v>54</v>
      </c>
      <c r="DI6" s="36" t="s">
        <v>41</v>
      </c>
      <c r="DJ6" s="36" t="s">
        <v>23</v>
      </c>
      <c r="DK6" s="36" t="s">
        <v>23</v>
      </c>
      <c r="DL6" s="36" t="s">
        <v>54</v>
      </c>
      <c r="DM6" s="36" t="s">
        <v>41</v>
      </c>
      <c r="DN6" s="36" t="s">
        <v>54</v>
      </c>
      <c r="DO6" s="36" t="s">
        <v>16</v>
      </c>
      <c r="DP6" s="36" t="s">
        <v>38</v>
      </c>
      <c r="DQ6" s="36" t="s">
        <v>23</v>
      </c>
      <c r="DR6" s="36" t="s">
        <v>16</v>
      </c>
      <c r="DS6" s="36" t="s">
        <v>38</v>
      </c>
      <c r="DT6" s="36" t="s">
        <v>16</v>
      </c>
      <c r="DU6" s="36" t="s">
        <v>41</v>
      </c>
      <c r="DV6" s="36" t="s">
        <v>23</v>
      </c>
      <c r="DW6" s="36" t="s">
        <v>54</v>
      </c>
      <c r="DX6" s="36" t="s">
        <v>54</v>
      </c>
      <c r="DY6" s="36" t="s">
        <v>38</v>
      </c>
      <c r="DZ6" s="36" t="s">
        <v>29</v>
      </c>
      <c r="EA6" s="36" t="s">
        <v>41</v>
      </c>
      <c r="EB6" s="36" t="s">
        <v>38</v>
      </c>
      <c r="EC6" s="36" t="s">
        <v>29</v>
      </c>
      <c r="ED6" s="36" t="s">
        <v>16</v>
      </c>
      <c r="EE6" s="36" t="s">
        <v>41</v>
      </c>
      <c r="EF6" s="36" t="s">
        <v>16</v>
      </c>
      <c r="EG6" s="36" t="s">
        <v>23</v>
      </c>
      <c r="EH6" s="36" t="s">
        <v>41</v>
      </c>
      <c r="EI6" s="36" t="s">
        <v>29</v>
      </c>
      <c r="EJ6" s="36" t="s">
        <v>23</v>
      </c>
      <c r="EK6" s="36" t="s">
        <v>54</v>
      </c>
      <c r="EL6" s="36" t="s">
        <v>29</v>
      </c>
      <c r="EM6" s="36" t="s">
        <v>38</v>
      </c>
      <c r="EN6" s="36" t="s">
        <v>54</v>
      </c>
      <c r="EO6" s="36" t="s">
        <v>54</v>
      </c>
      <c r="EP6" s="36" t="s">
        <v>38</v>
      </c>
      <c r="EQ6" s="36" t="s">
        <v>41</v>
      </c>
      <c r="ER6" s="36" t="s">
        <v>54</v>
      </c>
      <c r="ES6" s="36" t="s">
        <v>29</v>
      </c>
      <c r="ET6" s="36" t="s">
        <v>23</v>
      </c>
      <c r="EU6" s="36" t="s">
        <v>54</v>
      </c>
      <c r="EV6" s="36" t="s">
        <v>29</v>
      </c>
      <c r="EW6" s="36" t="s">
        <v>16</v>
      </c>
      <c r="EX6" s="36" t="s">
        <v>29</v>
      </c>
      <c r="EY6" s="36" t="s">
        <v>23</v>
      </c>
      <c r="EZ6" s="36" t="s">
        <v>29</v>
      </c>
      <c r="FA6" s="36" t="s">
        <v>38</v>
      </c>
      <c r="FB6" s="36" t="s">
        <v>23</v>
      </c>
      <c r="FC6" s="36" t="s">
        <v>41</v>
      </c>
      <c r="FD6" s="36" t="s">
        <v>16</v>
      </c>
      <c r="FE6" s="36" t="s">
        <v>38</v>
      </c>
      <c r="FF6" s="36" t="s">
        <v>41</v>
      </c>
      <c r="FG6" s="36" t="s">
        <v>29</v>
      </c>
      <c r="FH6" s="36" t="s">
        <v>23</v>
      </c>
      <c r="FI6" s="36" t="s">
        <v>16</v>
      </c>
      <c r="FJ6" s="36" t="s">
        <v>38</v>
      </c>
      <c r="FK6" s="36" t="s">
        <v>41</v>
      </c>
      <c r="FL6" s="36" t="s">
        <v>41</v>
      </c>
      <c r="FM6" s="36" t="s">
        <v>16</v>
      </c>
      <c r="FN6" s="36" t="s">
        <v>29</v>
      </c>
      <c r="FO6" s="36" t="s">
        <v>16</v>
      </c>
      <c r="FP6" s="36" t="s">
        <v>41</v>
      </c>
      <c r="FQ6" s="36" t="s">
        <v>54</v>
      </c>
      <c r="FR6" s="36" t="s">
        <v>38</v>
      </c>
      <c r="FS6" s="36" t="s">
        <v>16</v>
      </c>
      <c r="FT6" s="36" t="s">
        <v>41</v>
      </c>
      <c r="FU6" s="36" t="s">
        <v>29</v>
      </c>
      <c r="FV6" s="36" t="s">
        <v>41</v>
      </c>
      <c r="FW6" s="36" t="s">
        <v>29</v>
      </c>
      <c r="FX6" s="36" t="s">
        <v>16</v>
      </c>
      <c r="FY6" s="36" t="s">
        <v>29</v>
      </c>
      <c r="FZ6" s="36" t="s">
        <v>23</v>
      </c>
      <c r="GA6" s="36" t="s">
        <v>23</v>
      </c>
      <c r="GB6" s="36" t="s">
        <v>23</v>
      </c>
      <c r="GC6" s="36" t="s">
        <v>54</v>
      </c>
      <c r="GD6" s="36" t="s">
        <v>16</v>
      </c>
      <c r="GE6" s="36" t="s">
        <v>41</v>
      </c>
      <c r="GF6" s="36" t="s">
        <v>41</v>
      </c>
      <c r="GG6" s="36" t="s">
        <v>54</v>
      </c>
      <c r="GH6" s="36" t="s">
        <v>29</v>
      </c>
      <c r="GI6" s="36" t="s">
        <v>54</v>
      </c>
      <c r="GJ6" s="36" t="s">
        <v>29</v>
      </c>
      <c r="GK6" s="36" t="s">
        <v>29</v>
      </c>
      <c r="GL6" s="36" t="s">
        <v>38</v>
      </c>
      <c r="GM6" s="36" t="s">
        <v>41</v>
      </c>
      <c r="GN6" s="36" t="s">
        <v>23</v>
      </c>
      <c r="GO6" s="36" t="s">
        <v>29</v>
      </c>
      <c r="GP6" s="36" t="s">
        <v>38</v>
      </c>
      <c r="GQ6" s="36" t="s">
        <v>41</v>
      </c>
      <c r="GR6" s="36" t="s">
        <v>23</v>
      </c>
      <c r="GS6" s="36" t="s">
        <v>29</v>
      </c>
      <c r="GT6" s="36" t="s">
        <v>29</v>
      </c>
      <c r="GU6" s="36" t="s">
        <v>54</v>
      </c>
      <c r="GV6" s="36" t="s">
        <v>54</v>
      </c>
      <c r="GW6" s="36" t="s">
        <v>41</v>
      </c>
      <c r="GX6" s="36" t="s">
        <v>23</v>
      </c>
      <c r="GY6" s="36" t="s">
        <v>29</v>
      </c>
      <c r="GZ6" s="36" t="s">
        <v>41</v>
      </c>
      <c r="HA6" s="36" t="s">
        <v>41</v>
      </c>
      <c r="HB6" s="36" t="s">
        <v>16</v>
      </c>
      <c r="HC6" s="36" t="s">
        <v>54</v>
      </c>
      <c r="HD6" s="36" t="s">
        <v>23</v>
      </c>
      <c r="HE6" s="36" t="s">
        <v>29</v>
      </c>
      <c r="HF6" s="36" t="s">
        <v>41</v>
      </c>
      <c r="HG6" s="36" t="s">
        <v>29</v>
      </c>
      <c r="HH6" s="36" t="s">
        <v>16</v>
      </c>
      <c r="HI6" s="36" t="s">
        <v>23</v>
      </c>
      <c r="HJ6" s="36" t="s">
        <v>41</v>
      </c>
      <c r="HK6" s="36" t="s">
        <v>29</v>
      </c>
      <c r="HL6" s="36" t="s">
        <v>54</v>
      </c>
      <c r="HM6" s="36" t="s">
        <v>16</v>
      </c>
      <c r="HN6" s="36" t="s">
        <v>23</v>
      </c>
      <c r="HO6" s="36" t="s">
        <v>16</v>
      </c>
      <c r="HP6" s="36" t="s">
        <v>54</v>
      </c>
      <c r="HQ6" s="36" t="s">
        <v>23</v>
      </c>
      <c r="HR6" s="36" t="s">
        <v>16</v>
      </c>
      <c r="HS6" s="36" t="s">
        <v>38</v>
      </c>
      <c r="HT6" s="36" t="s">
        <v>54</v>
      </c>
      <c r="HU6" s="36" t="s">
        <v>54</v>
      </c>
      <c r="HV6" s="36" t="s">
        <v>54</v>
      </c>
      <c r="HW6" s="36" t="s">
        <v>38</v>
      </c>
      <c r="HX6" s="36" t="s">
        <v>38</v>
      </c>
      <c r="HY6" s="36" t="s">
        <v>29</v>
      </c>
      <c r="HZ6" s="36" t="s">
        <v>41</v>
      </c>
      <c r="IA6" s="36" t="s">
        <v>16</v>
      </c>
      <c r="IB6" s="36" t="s">
        <v>29</v>
      </c>
      <c r="IC6" s="36" t="s">
        <v>16</v>
      </c>
      <c r="ID6" s="36" t="s">
        <v>41</v>
      </c>
      <c r="IE6" s="36" t="s">
        <v>38</v>
      </c>
      <c r="IF6" s="36" t="s">
        <v>41</v>
      </c>
      <c r="IG6" s="36" t="s">
        <v>38</v>
      </c>
      <c r="IH6" s="36" t="s">
        <v>41</v>
      </c>
      <c r="II6" s="36" t="s">
        <v>29</v>
      </c>
      <c r="IJ6" s="36" t="s">
        <v>23</v>
      </c>
      <c r="IK6" s="36" t="s">
        <v>29</v>
      </c>
      <c r="IL6" s="36" t="s">
        <v>16</v>
      </c>
      <c r="IM6" s="36" t="s">
        <v>29</v>
      </c>
      <c r="IN6" s="36" t="s">
        <v>54</v>
      </c>
      <c r="IO6" s="36" t="s">
        <v>16</v>
      </c>
      <c r="IP6" s="36" t="s">
        <v>41</v>
      </c>
      <c r="IQ6" s="36" t="s">
        <v>16</v>
      </c>
      <c r="IR6" s="36" t="s">
        <v>23</v>
      </c>
      <c r="IS6" s="36" t="s">
        <v>38</v>
      </c>
      <c r="IT6" s="36" t="s">
        <v>41</v>
      </c>
      <c r="IU6" s="36" t="s">
        <v>16</v>
      </c>
      <c r="IV6" s="36" t="s">
        <v>41</v>
      </c>
      <c r="IW6" s="36" t="s">
        <v>41</v>
      </c>
      <c r="IX6" s="36" t="s">
        <v>41</v>
      </c>
      <c r="IY6" s="36" t="s">
        <v>38</v>
      </c>
      <c r="IZ6" s="36" t="s">
        <v>29</v>
      </c>
      <c r="JA6" s="36" t="s">
        <v>41</v>
      </c>
      <c r="JB6" s="36" t="s">
        <v>54</v>
      </c>
      <c r="JC6" s="36" t="s">
        <v>23</v>
      </c>
      <c r="JD6" s="36" t="s">
        <v>38</v>
      </c>
      <c r="JE6" s="36" t="s">
        <v>16</v>
      </c>
      <c r="JF6" s="36" t="s">
        <v>38</v>
      </c>
      <c r="JG6" s="36" t="s">
        <v>16</v>
      </c>
      <c r="JH6" s="36" t="s">
        <v>38</v>
      </c>
      <c r="JI6" s="36" t="s">
        <v>16</v>
      </c>
      <c r="JJ6" s="36" t="s">
        <v>41</v>
      </c>
      <c r="JK6" s="36" t="s">
        <v>29</v>
      </c>
      <c r="JL6" s="36" t="s">
        <v>16</v>
      </c>
      <c r="JM6" s="36" t="s">
        <v>16</v>
      </c>
      <c r="JN6" s="36" t="s">
        <v>54</v>
      </c>
      <c r="JO6" s="36" t="s">
        <v>16</v>
      </c>
      <c r="JP6" s="36" t="s">
        <v>54</v>
      </c>
      <c r="JQ6" s="36" t="s">
        <v>23</v>
      </c>
      <c r="JR6" s="36" t="s">
        <v>41</v>
      </c>
      <c r="JS6" s="36" t="s">
        <v>54</v>
      </c>
      <c r="JT6" s="36" t="s">
        <v>29</v>
      </c>
      <c r="JU6" s="36" t="s">
        <v>41</v>
      </c>
      <c r="JV6" s="36" t="s">
        <v>54</v>
      </c>
      <c r="JW6" s="36" t="s">
        <v>41</v>
      </c>
      <c r="JX6" s="36" t="s">
        <v>41</v>
      </c>
      <c r="JY6" s="36" t="s">
        <v>41</v>
      </c>
      <c r="JZ6" s="36" t="s">
        <v>23</v>
      </c>
      <c r="KA6" s="36" t="s">
        <v>29</v>
      </c>
      <c r="KB6" s="36" t="s">
        <v>38</v>
      </c>
      <c r="KC6" s="36" t="s">
        <v>38</v>
      </c>
      <c r="KD6" s="36" t="s">
        <v>54</v>
      </c>
      <c r="KE6" s="36" t="s">
        <v>41</v>
      </c>
      <c r="KF6" s="36" t="s">
        <v>54</v>
      </c>
      <c r="KG6" s="36" t="s">
        <v>23</v>
      </c>
      <c r="KH6" s="36" t="s">
        <v>23</v>
      </c>
      <c r="KI6" s="36" t="s">
        <v>16</v>
      </c>
      <c r="KJ6" s="36" t="s">
        <v>23</v>
      </c>
      <c r="KK6" s="36" t="s">
        <v>16</v>
      </c>
      <c r="KL6" s="36" t="s">
        <v>29</v>
      </c>
      <c r="KM6" s="36" t="s">
        <v>54</v>
      </c>
      <c r="KN6" s="36" t="s">
        <v>29</v>
      </c>
      <c r="KO6" s="36" t="s">
        <v>23</v>
      </c>
      <c r="KP6" s="36" t="s">
        <v>29</v>
      </c>
      <c r="KQ6" s="36" t="s">
        <v>29</v>
      </c>
      <c r="KR6" s="36" t="s">
        <v>29</v>
      </c>
      <c r="KS6" s="36" t="s">
        <v>23</v>
      </c>
      <c r="KT6" s="36" t="s">
        <v>41</v>
      </c>
      <c r="KU6" s="36" t="s">
        <v>29</v>
      </c>
      <c r="KV6" s="36" t="s">
        <v>16</v>
      </c>
      <c r="KW6" s="36" t="s">
        <v>23</v>
      </c>
      <c r="KX6" s="36" t="s">
        <v>29</v>
      </c>
      <c r="KY6" s="36" t="s">
        <v>41</v>
      </c>
      <c r="KZ6" s="36" t="s">
        <v>23</v>
      </c>
      <c r="LA6" s="36" t="s">
        <v>38</v>
      </c>
      <c r="LB6" s="36" t="s">
        <v>41</v>
      </c>
      <c r="LC6" s="36" t="s">
        <v>16</v>
      </c>
      <c r="LD6" s="36" t="s">
        <v>29</v>
      </c>
      <c r="LE6" s="36" t="s">
        <v>38</v>
      </c>
      <c r="LF6" s="36" t="s">
        <v>38</v>
      </c>
      <c r="LG6" s="36" t="s">
        <v>23</v>
      </c>
      <c r="LH6" s="36" t="s">
        <v>38</v>
      </c>
      <c r="LI6" s="36" t="s">
        <v>16</v>
      </c>
      <c r="LJ6" s="36" t="s">
        <v>16</v>
      </c>
      <c r="LK6" s="36" t="s">
        <v>54</v>
      </c>
      <c r="LL6" s="36" t="s">
        <v>16</v>
      </c>
      <c r="LM6" s="36" t="s">
        <v>41</v>
      </c>
      <c r="LN6" s="36" t="s">
        <v>38</v>
      </c>
      <c r="LO6" s="36" t="s">
        <v>16</v>
      </c>
      <c r="LP6" s="36" t="s">
        <v>23</v>
      </c>
      <c r="LQ6" s="36" t="s">
        <v>54</v>
      </c>
      <c r="LR6" s="36" t="s">
        <v>38</v>
      </c>
      <c r="LS6" s="36" t="s">
        <v>54</v>
      </c>
      <c r="LT6" s="36" t="s">
        <v>38</v>
      </c>
      <c r="LU6" s="36" t="s">
        <v>23</v>
      </c>
      <c r="LV6" s="36" t="s">
        <v>54</v>
      </c>
      <c r="LW6" s="36" t="s">
        <v>29</v>
      </c>
      <c r="LX6" s="36" t="s">
        <v>41</v>
      </c>
      <c r="LY6" s="36" t="s">
        <v>41</v>
      </c>
      <c r="LZ6" s="36" t="s">
        <v>38</v>
      </c>
      <c r="MA6" s="36" t="s">
        <v>29</v>
      </c>
      <c r="MB6" s="36" t="s">
        <v>54</v>
      </c>
      <c r="MC6" s="36" t="s">
        <v>29</v>
      </c>
      <c r="MD6" s="36" t="s">
        <v>29</v>
      </c>
      <c r="ME6" s="36" t="s">
        <v>54</v>
      </c>
      <c r="MF6" s="36" t="s">
        <v>23</v>
      </c>
      <c r="MG6" s="36" t="s">
        <v>29</v>
      </c>
      <c r="MH6" s="36" t="s">
        <v>29</v>
      </c>
      <c r="MI6" s="36" t="s">
        <v>23</v>
      </c>
      <c r="MJ6" s="36" t="s">
        <v>29</v>
      </c>
      <c r="MK6" s="36" t="s">
        <v>29</v>
      </c>
      <c r="ML6" s="36" t="s">
        <v>29</v>
      </c>
      <c r="MM6" s="36" t="s">
        <v>41</v>
      </c>
      <c r="MN6" s="36" t="s">
        <v>16</v>
      </c>
      <c r="MO6" s="36" t="s">
        <v>23</v>
      </c>
      <c r="MP6" s="36" t="s">
        <v>29</v>
      </c>
      <c r="MQ6" s="36" t="s">
        <v>41</v>
      </c>
      <c r="MR6" s="36" t="s">
        <v>23</v>
      </c>
      <c r="MS6" s="36" t="s">
        <v>38</v>
      </c>
      <c r="MT6" s="36" t="s">
        <v>38</v>
      </c>
      <c r="MU6" s="36" t="s">
        <v>29</v>
      </c>
      <c r="MV6" s="36" t="s">
        <v>41</v>
      </c>
      <c r="MW6" s="36" t="s">
        <v>41</v>
      </c>
      <c r="MX6" s="36" t="s">
        <v>23</v>
      </c>
      <c r="MY6" s="36" t="s">
        <v>23</v>
      </c>
      <c r="MZ6" s="36" t="s">
        <v>41</v>
      </c>
      <c r="NA6" s="36" t="s">
        <v>23</v>
      </c>
      <c r="NB6" s="36" t="s">
        <v>41</v>
      </c>
      <c r="NC6" s="36" t="s">
        <v>16</v>
      </c>
      <c r="ND6" s="36" t="s">
        <v>41</v>
      </c>
      <c r="NE6" s="36" t="s">
        <v>38</v>
      </c>
      <c r="NF6" s="36" t="s">
        <v>23</v>
      </c>
      <c r="NG6" s="36" t="s">
        <v>41</v>
      </c>
      <c r="NH6" s="36" t="s">
        <v>41</v>
      </c>
      <c r="NI6" s="36" t="s">
        <v>23</v>
      </c>
      <c r="NJ6" s="36" t="s">
        <v>16</v>
      </c>
      <c r="NK6" s="36" t="s">
        <v>16</v>
      </c>
      <c r="NL6" s="36" t="s">
        <v>23</v>
      </c>
      <c r="NM6" s="36" t="s">
        <v>54</v>
      </c>
      <c r="NN6" s="36" t="s">
        <v>23</v>
      </c>
      <c r="NO6" s="36" t="s">
        <v>23</v>
      </c>
      <c r="NP6" s="36" t="s">
        <v>16</v>
      </c>
      <c r="NQ6" s="36" t="s">
        <v>16</v>
      </c>
      <c r="NR6" s="36" t="s">
        <v>23</v>
      </c>
      <c r="NS6" s="36" t="s">
        <v>23</v>
      </c>
      <c r="NT6" s="36" t="s">
        <v>23</v>
      </c>
      <c r="NU6" s="36" t="s">
        <v>16</v>
      </c>
      <c r="NV6" s="36" t="s">
        <v>23</v>
      </c>
      <c r="NW6" s="36" t="s">
        <v>23</v>
      </c>
      <c r="NX6" s="36" t="s">
        <v>29</v>
      </c>
      <c r="NY6" s="36" t="s">
        <v>54</v>
      </c>
      <c r="NZ6" s="36" t="s">
        <v>38</v>
      </c>
      <c r="OA6" s="36" t="s">
        <v>54</v>
      </c>
      <c r="OB6" s="36" t="s">
        <v>29</v>
      </c>
      <c r="OC6" s="36" t="s">
        <v>38</v>
      </c>
      <c r="OD6" s="36" t="s">
        <v>23</v>
      </c>
      <c r="OE6" s="36" t="s">
        <v>29</v>
      </c>
      <c r="OF6" s="36" t="s">
        <v>23</v>
      </c>
      <c r="OG6" s="36" t="s">
        <v>16</v>
      </c>
      <c r="OH6" s="36" t="s">
        <v>41</v>
      </c>
      <c r="OI6" s="36" t="s">
        <v>29</v>
      </c>
      <c r="OJ6" s="36" t="s">
        <v>16</v>
      </c>
      <c r="OK6" s="36" t="s">
        <v>29</v>
      </c>
      <c r="OL6" s="36" t="s">
        <v>29</v>
      </c>
      <c r="OM6" s="36" t="s">
        <v>16</v>
      </c>
      <c r="ON6" s="36" t="s">
        <v>38</v>
      </c>
      <c r="OO6" s="36" t="s">
        <v>54</v>
      </c>
      <c r="OP6" s="36" t="s">
        <v>23</v>
      </c>
      <c r="OQ6" s="36" t="s">
        <v>29</v>
      </c>
      <c r="OR6" s="36" t="s">
        <v>23</v>
      </c>
      <c r="OS6" s="36" t="s">
        <v>41</v>
      </c>
      <c r="OT6" s="36" t="s">
        <v>16</v>
      </c>
      <c r="OU6" s="36" t="s">
        <v>23</v>
      </c>
      <c r="OV6" s="36" t="s">
        <v>16</v>
      </c>
      <c r="OW6" s="36" t="s">
        <v>23</v>
      </c>
      <c r="OX6" s="36" t="s">
        <v>54</v>
      </c>
      <c r="OY6" s="36" t="s">
        <v>54</v>
      </c>
      <c r="OZ6" s="36" t="s">
        <v>54</v>
      </c>
      <c r="PA6" s="36" t="s">
        <v>54</v>
      </c>
      <c r="PB6" s="36" t="s">
        <v>54</v>
      </c>
      <c r="PC6" s="36" t="s">
        <v>54</v>
      </c>
      <c r="PD6" s="36" t="s">
        <v>16</v>
      </c>
      <c r="PE6" s="36" t="s">
        <v>29</v>
      </c>
      <c r="PF6" s="36" t="s">
        <v>23</v>
      </c>
      <c r="PG6" s="36" t="s">
        <v>54</v>
      </c>
      <c r="PH6" s="36" t="s">
        <v>16</v>
      </c>
      <c r="PI6" s="36" t="s">
        <v>16</v>
      </c>
      <c r="PJ6" s="36" t="s">
        <v>16</v>
      </c>
      <c r="PK6" s="36" t="s">
        <v>29</v>
      </c>
      <c r="PL6" s="36" t="s">
        <v>23</v>
      </c>
      <c r="PM6" s="36" t="s">
        <v>29</v>
      </c>
      <c r="PN6" s="36" t="s">
        <v>38</v>
      </c>
      <c r="PO6" s="36" t="s">
        <v>16</v>
      </c>
      <c r="PP6" s="36" t="s">
        <v>38</v>
      </c>
      <c r="PQ6" s="36" t="s">
        <v>41</v>
      </c>
      <c r="PR6" s="36" t="s">
        <v>54</v>
      </c>
      <c r="PS6" s="36" t="s">
        <v>54</v>
      </c>
      <c r="PT6" s="36" t="s">
        <v>29</v>
      </c>
      <c r="PU6" s="36" t="s">
        <v>23</v>
      </c>
      <c r="PV6" s="36" t="s">
        <v>38</v>
      </c>
      <c r="PW6" s="36" t="s">
        <v>23</v>
      </c>
      <c r="PX6" s="36" t="s">
        <v>29</v>
      </c>
      <c r="PY6" s="36" t="s">
        <v>54</v>
      </c>
      <c r="PZ6" s="36" t="s">
        <v>23</v>
      </c>
      <c r="QA6" s="36" t="s">
        <v>23</v>
      </c>
      <c r="QB6" s="36" t="s">
        <v>54</v>
      </c>
      <c r="QC6" s="36" t="s">
        <v>38</v>
      </c>
      <c r="QD6" s="36" t="s">
        <v>54</v>
      </c>
      <c r="QE6" s="36" t="s">
        <v>23</v>
      </c>
      <c r="QF6" s="36" t="s">
        <v>38</v>
      </c>
      <c r="QG6" s="36" t="s">
        <v>38</v>
      </c>
      <c r="QH6" s="36" t="s">
        <v>54</v>
      </c>
      <c r="QI6" s="36" t="s">
        <v>23</v>
      </c>
      <c r="QJ6" s="36" t="s">
        <v>29</v>
      </c>
      <c r="QK6" s="36" t="s">
        <v>23</v>
      </c>
      <c r="QL6" s="36" t="s">
        <v>16</v>
      </c>
      <c r="QM6" s="36" t="s">
        <v>41</v>
      </c>
      <c r="QN6" s="36" t="s">
        <v>29</v>
      </c>
      <c r="QO6" s="36" t="s">
        <v>38</v>
      </c>
      <c r="QP6" s="36" t="s">
        <v>29</v>
      </c>
      <c r="QQ6" s="36" t="s">
        <v>38</v>
      </c>
      <c r="QR6" s="36" t="s">
        <v>38</v>
      </c>
      <c r="QS6" s="36" t="s">
        <v>29</v>
      </c>
      <c r="QT6" s="36" t="s">
        <v>38</v>
      </c>
      <c r="QU6" s="36" t="s">
        <v>38</v>
      </c>
      <c r="QV6" s="36" t="s">
        <v>16</v>
      </c>
      <c r="QW6" s="36" t="s">
        <v>23</v>
      </c>
      <c r="QX6" s="36" t="s">
        <v>23</v>
      </c>
      <c r="QY6" s="36" t="s">
        <v>41</v>
      </c>
      <c r="QZ6" s="36" t="s">
        <v>41</v>
      </c>
      <c r="RA6" s="36" t="s">
        <v>16</v>
      </c>
      <c r="RB6" s="36" t="s">
        <v>41</v>
      </c>
      <c r="RC6" s="36" t="s">
        <v>29</v>
      </c>
      <c r="RD6" s="36" t="s">
        <v>54</v>
      </c>
      <c r="RE6" s="36" t="s">
        <v>54</v>
      </c>
      <c r="RF6" s="36" t="s">
        <v>54</v>
      </c>
      <c r="RG6" s="36" t="s">
        <v>16</v>
      </c>
      <c r="RH6" s="36" t="s">
        <v>16</v>
      </c>
      <c r="RI6" s="36" t="s">
        <v>38</v>
      </c>
      <c r="RJ6" s="36" t="s">
        <v>54</v>
      </c>
      <c r="RK6" s="36" t="s">
        <v>29</v>
      </c>
      <c r="RL6" s="36" t="s">
        <v>41</v>
      </c>
      <c r="RM6" s="36" t="s">
        <v>29</v>
      </c>
      <c r="RN6" s="36" t="s">
        <v>41</v>
      </c>
      <c r="RO6" s="36" t="s">
        <v>54</v>
      </c>
      <c r="RP6" s="36" t="s">
        <v>54</v>
      </c>
      <c r="RQ6" s="36" t="s">
        <v>54</v>
      </c>
      <c r="RR6" s="36" t="s">
        <v>16</v>
      </c>
      <c r="RS6" s="36" t="s">
        <v>41</v>
      </c>
      <c r="RT6" s="36" t="s">
        <v>16</v>
      </c>
      <c r="RU6" s="36" t="s">
        <v>16</v>
      </c>
      <c r="RV6" s="36" t="s">
        <v>23</v>
      </c>
      <c r="RW6" s="36" t="s">
        <v>29</v>
      </c>
      <c r="RX6" s="36" t="s">
        <v>29</v>
      </c>
      <c r="RY6" s="36" t="s">
        <v>38</v>
      </c>
      <c r="RZ6" s="36" t="s">
        <v>16</v>
      </c>
      <c r="SA6" s="36" t="s">
        <v>41</v>
      </c>
      <c r="SB6" s="36" t="s">
        <v>23</v>
      </c>
      <c r="SC6" s="36" t="s">
        <v>23</v>
      </c>
      <c r="SD6" s="36" t="s">
        <v>29</v>
      </c>
      <c r="SE6" s="36" t="s">
        <v>16</v>
      </c>
      <c r="SF6" s="36" t="s">
        <v>38</v>
      </c>
      <c r="SG6" s="36" t="s">
        <v>16</v>
      </c>
    </row>
    <row r="7" spans="1:501" x14ac:dyDescent="0.3">
      <c r="A7" s="38" t="s">
        <v>6</v>
      </c>
      <c r="B7" s="36" t="s">
        <v>17</v>
      </c>
      <c r="C7" s="36" t="s">
        <v>24</v>
      </c>
      <c r="D7" s="36" t="s">
        <v>30</v>
      </c>
      <c r="E7" s="36" t="s">
        <v>24</v>
      </c>
      <c r="F7" s="36" t="s">
        <v>30</v>
      </c>
      <c r="G7" s="36" t="s">
        <v>24</v>
      </c>
      <c r="H7" s="36" t="s">
        <v>17</v>
      </c>
      <c r="I7" s="36" t="s">
        <v>24</v>
      </c>
      <c r="J7" s="36" t="s">
        <v>24</v>
      </c>
      <c r="K7" s="36" t="s">
        <v>24</v>
      </c>
      <c r="L7" s="36" t="s">
        <v>17</v>
      </c>
      <c r="M7" s="36" t="s">
        <v>24</v>
      </c>
      <c r="N7" s="36" t="s">
        <v>17</v>
      </c>
      <c r="O7" s="36" t="s">
        <v>30</v>
      </c>
      <c r="P7" s="36" t="s">
        <v>24</v>
      </c>
      <c r="Q7" s="36" t="s">
        <v>17</v>
      </c>
      <c r="R7" s="36" t="s">
        <v>17</v>
      </c>
      <c r="S7" s="36" t="s">
        <v>24</v>
      </c>
      <c r="T7" s="36" t="s">
        <v>30</v>
      </c>
      <c r="U7" s="36" t="s">
        <v>17</v>
      </c>
      <c r="V7" s="36" t="s">
        <v>24</v>
      </c>
      <c r="W7" s="36" t="s">
        <v>30</v>
      </c>
      <c r="X7" s="36" t="s">
        <v>17</v>
      </c>
      <c r="Y7" s="36" t="s">
        <v>17</v>
      </c>
      <c r="Z7" s="36" t="s">
        <v>30</v>
      </c>
      <c r="AA7" s="36" t="s">
        <v>30</v>
      </c>
      <c r="AB7" s="36" t="s">
        <v>24</v>
      </c>
      <c r="AC7" s="36" t="s">
        <v>24</v>
      </c>
      <c r="AD7" s="36" t="s">
        <v>17</v>
      </c>
      <c r="AE7" s="36" t="s">
        <v>30</v>
      </c>
      <c r="AF7" s="36" t="s">
        <v>30</v>
      </c>
      <c r="AG7" s="36" t="s">
        <v>30</v>
      </c>
      <c r="AH7" s="36" t="s">
        <v>17</v>
      </c>
      <c r="AI7" s="36" t="s">
        <v>30</v>
      </c>
      <c r="AJ7" s="36" t="s">
        <v>30</v>
      </c>
      <c r="AK7" s="36" t="s">
        <v>17</v>
      </c>
      <c r="AL7" s="36" t="s">
        <v>24</v>
      </c>
      <c r="AM7" s="36" t="s">
        <v>24</v>
      </c>
      <c r="AN7" s="36" t="s">
        <v>17</v>
      </c>
      <c r="AO7" s="36" t="s">
        <v>30</v>
      </c>
      <c r="AP7" s="36" t="s">
        <v>17</v>
      </c>
      <c r="AQ7" s="36" t="s">
        <v>24</v>
      </c>
      <c r="AR7" s="36" t="s">
        <v>24</v>
      </c>
      <c r="AS7" s="36" t="s">
        <v>17</v>
      </c>
      <c r="AT7" s="36" t="s">
        <v>17</v>
      </c>
      <c r="AU7" s="36" t="s">
        <v>24</v>
      </c>
      <c r="AV7" s="36" t="s">
        <v>17</v>
      </c>
      <c r="AW7" s="36" t="s">
        <v>24</v>
      </c>
      <c r="AX7" s="36" t="s">
        <v>17</v>
      </c>
      <c r="AY7" s="36" t="s">
        <v>17</v>
      </c>
      <c r="AZ7" s="36" t="s">
        <v>17</v>
      </c>
      <c r="BA7" s="36" t="s">
        <v>24</v>
      </c>
      <c r="BB7" s="36" t="s">
        <v>17</v>
      </c>
      <c r="BC7" s="36" t="s">
        <v>24</v>
      </c>
      <c r="BD7" s="36" t="s">
        <v>24</v>
      </c>
      <c r="BE7" s="36" t="s">
        <v>17</v>
      </c>
      <c r="BF7" s="36" t="s">
        <v>17</v>
      </c>
      <c r="BG7" s="36" t="s">
        <v>24</v>
      </c>
      <c r="BH7" s="36" t="s">
        <v>24</v>
      </c>
      <c r="BI7" s="36" t="s">
        <v>30</v>
      </c>
      <c r="BJ7" s="36" t="s">
        <v>24</v>
      </c>
      <c r="BK7" s="36" t="s">
        <v>30</v>
      </c>
      <c r="BL7" s="36" t="s">
        <v>30</v>
      </c>
      <c r="BM7" s="36" t="s">
        <v>30</v>
      </c>
      <c r="BN7" s="36" t="s">
        <v>17</v>
      </c>
      <c r="BO7" s="36" t="s">
        <v>17</v>
      </c>
      <c r="BP7" s="36" t="s">
        <v>24</v>
      </c>
      <c r="BQ7" s="36" t="s">
        <v>30</v>
      </c>
      <c r="BR7" s="36" t="s">
        <v>17</v>
      </c>
      <c r="BS7" s="36" t="s">
        <v>17</v>
      </c>
      <c r="BT7" s="36" t="s">
        <v>17</v>
      </c>
      <c r="BU7" s="36" t="s">
        <v>17</v>
      </c>
      <c r="BV7" s="36" t="s">
        <v>17</v>
      </c>
      <c r="BW7" s="36" t="s">
        <v>30</v>
      </c>
      <c r="BX7" s="36" t="s">
        <v>30</v>
      </c>
      <c r="BY7" s="36" t="s">
        <v>30</v>
      </c>
      <c r="BZ7" s="36" t="s">
        <v>30</v>
      </c>
      <c r="CA7" s="36" t="s">
        <v>24</v>
      </c>
      <c r="CB7" s="36" t="s">
        <v>30</v>
      </c>
      <c r="CC7" s="36" t="s">
        <v>17</v>
      </c>
      <c r="CD7" s="36" t="s">
        <v>30</v>
      </c>
      <c r="CE7" s="36" t="s">
        <v>24</v>
      </c>
      <c r="CF7" s="36" t="s">
        <v>17</v>
      </c>
      <c r="CG7" s="36" t="s">
        <v>30</v>
      </c>
      <c r="CH7" s="36" t="s">
        <v>30</v>
      </c>
      <c r="CI7" s="36" t="s">
        <v>30</v>
      </c>
      <c r="CJ7" s="36" t="s">
        <v>17</v>
      </c>
      <c r="CK7" s="36" t="s">
        <v>17</v>
      </c>
      <c r="CL7" s="36" t="s">
        <v>24</v>
      </c>
      <c r="CM7" s="36" t="s">
        <v>17</v>
      </c>
      <c r="CN7" s="36" t="s">
        <v>17</v>
      </c>
      <c r="CO7" s="36" t="s">
        <v>30</v>
      </c>
      <c r="CP7" s="36" t="s">
        <v>17</v>
      </c>
      <c r="CQ7" s="36" t="s">
        <v>30</v>
      </c>
      <c r="CR7" s="36" t="s">
        <v>30</v>
      </c>
      <c r="CS7" s="36" t="s">
        <v>17</v>
      </c>
      <c r="CT7" s="36" t="s">
        <v>24</v>
      </c>
      <c r="CU7" s="36" t="s">
        <v>24</v>
      </c>
      <c r="CV7" s="36" t="s">
        <v>17</v>
      </c>
      <c r="CW7" s="36" t="s">
        <v>24</v>
      </c>
      <c r="CX7" s="36" t="s">
        <v>30</v>
      </c>
      <c r="CY7" s="36" t="s">
        <v>30</v>
      </c>
      <c r="CZ7" s="36" t="s">
        <v>17</v>
      </c>
      <c r="DA7" s="36" t="s">
        <v>24</v>
      </c>
      <c r="DB7" s="36" t="s">
        <v>24</v>
      </c>
      <c r="DC7" s="36" t="s">
        <v>30</v>
      </c>
      <c r="DD7" s="36" t="s">
        <v>17</v>
      </c>
      <c r="DE7" s="36" t="s">
        <v>24</v>
      </c>
      <c r="DF7" s="36" t="s">
        <v>17</v>
      </c>
      <c r="DG7" s="36" t="s">
        <v>24</v>
      </c>
      <c r="DH7" s="36" t="s">
        <v>30</v>
      </c>
      <c r="DI7" s="36" t="s">
        <v>30</v>
      </c>
      <c r="DJ7" s="36" t="s">
        <v>17</v>
      </c>
      <c r="DK7" s="36" t="s">
        <v>30</v>
      </c>
      <c r="DL7" s="36" t="s">
        <v>24</v>
      </c>
      <c r="DM7" s="36" t="s">
        <v>30</v>
      </c>
      <c r="DN7" s="36" t="s">
        <v>17</v>
      </c>
      <c r="DO7" s="36" t="s">
        <v>17</v>
      </c>
      <c r="DP7" s="36" t="s">
        <v>17</v>
      </c>
      <c r="DQ7" s="36" t="s">
        <v>24</v>
      </c>
      <c r="DR7" s="36" t="s">
        <v>24</v>
      </c>
      <c r="DS7" s="36" t="s">
        <v>24</v>
      </c>
      <c r="DT7" s="36" t="s">
        <v>24</v>
      </c>
      <c r="DU7" s="36" t="s">
        <v>24</v>
      </c>
      <c r="DV7" s="36" t="s">
        <v>30</v>
      </c>
      <c r="DW7" s="36" t="s">
        <v>24</v>
      </c>
      <c r="DX7" s="36" t="s">
        <v>24</v>
      </c>
      <c r="DY7" s="36" t="s">
        <v>30</v>
      </c>
      <c r="DZ7" s="36" t="s">
        <v>24</v>
      </c>
      <c r="EA7" s="36" t="s">
        <v>17</v>
      </c>
      <c r="EB7" s="36" t="s">
        <v>24</v>
      </c>
      <c r="EC7" s="36" t="s">
        <v>24</v>
      </c>
      <c r="ED7" s="36" t="s">
        <v>17</v>
      </c>
      <c r="EE7" s="36" t="s">
        <v>17</v>
      </c>
      <c r="EF7" s="36" t="s">
        <v>17</v>
      </c>
      <c r="EG7" s="36" t="s">
        <v>17</v>
      </c>
      <c r="EH7" s="36" t="s">
        <v>24</v>
      </c>
      <c r="EI7" s="36" t="s">
        <v>17</v>
      </c>
      <c r="EJ7" s="36" t="s">
        <v>17</v>
      </c>
      <c r="EK7" s="36" t="s">
        <v>30</v>
      </c>
      <c r="EL7" s="36" t="s">
        <v>17</v>
      </c>
      <c r="EM7" s="36" t="s">
        <v>17</v>
      </c>
      <c r="EN7" s="36" t="s">
        <v>30</v>
      </c>
      <c r="EO7" s="36" t="s">
        <v>30</v>
      </c>
      <c r="EP7" s="36" t="s">
        <v>24</v>
      </c>
      <c r="EQ7" s="36" t="s">
        <v>30</v>
      </c>
      <c r="ER7" s="36" t="s">
        <v>24</v>
      </c>
      <c r="ES7" s="36" t="s">
        <v>30</v>
      </c>
      <c r="ET7" s="36" t="s">
        <v>30</v>
      </c>
      <c r="EU7" s="36" t="s">
        <v>24</v>
      </c>
      <c r="EV7" s="36" t="s">
        <v>30</v>
      </c>
      <c r="EW7" s="36" t="s">
        <v>24</v>
      </c>
      <c r="EX7" s="36" t="s">
        <v>30</v>
      </c>
      <c r="EY7" s="36" t="s">
        <v>17</v>
      </c>
      <c r="EZ7" s="36" t="s">
        <v>30</v>
      </c>
      <c r="FA7" s="36" t="s">
        <v>24</v>
      </c>
      <c r="FB7" s="36" t="s">
        <v>30</v>
      </c>
      <c r="FC7" s="36" t="s">
        <v>24</v>
      </c>
      <c r="FD7" s="36" t="s">
        <v>24</v>
      </c>
      <c r="FE7" s="36" t="s">
        <v>17</v>
      </c>
      <c r="FF7" s="36" t="s">
        <v>17</v>
      </c>
      <c r="FG7" s="36" t="s">
        <v>24</v>
      </c>
      <c r="FH7" s="36" t="s">
        <v>30</v>
      </c>
      <c r="FI7" s="36" t="s">
        <v>24</v>
      </c>
      <c r="FJ7" s="36" t="s">
        <v>24</v>
      </c>
      <c r="FK7" s="36" t="s">
        <v>30</v>
      </c>
      <c r="FL7" s="36" t="s">
        <v>30</v>
      </c>
      <c r="FM7" s="36" t="s">
        <v>30</v>
      </c>
      <c r="FN7" s="36" t="s">
        <v>30</v>
      </c>
      <c r="FO7" s="36" t="s">
        <v>24</v>
      </c>
      <c r="FP7" s="36" t="s">
        <v>24</v>
      </c>
      <c r="FQ7" s="36" t="s">
        <v>17</v>
      </c>
      <c r="FR7" s="36" t="s">
        <v>24</v>
      </c>
      <c r="FS7" s="36" t="s">
        <v>30</v>
      </c>
      <c r="FT7" s="36" t="s">
        <v>17</v>
      </c>
      <c r="FU7" s="36" t="s">
        <v>30</v>
      </c>
      <c r="FV7" s="36" t="s">
        <v>24</v>
      </c>
      <c r="FW7" s="36" t="s">
        <v>17</v>
      </c>
      <c r="FX7" s="36" t="s">
        <v>30</v>
      </c>
      <c r="FY7" s="36" t="s">
        <v>17</v>
      </c>
      <c r="FZ7" s="36" t="s">
        <v>17</v>
      </c>
      <c r="GA7" s="36" t="s">
        <v>24</v>
      </c>
      <c r="GB7" s="36" t="s">
        <v>30</v>
      </c>
      <c r="GC7" s="36" t="s">
        <v>17</v>
      </c>
      <c r="GD7" s="36" t="s">
        <v>17</v>
      </c>
      <c r="GE7" s="36" t="s">
        <v>30</v>
      </c>
      <c r="GF7" s="36" t="s">
        <v>17</v>
      </c>
      <c r="GG7" s="36" t="s">
        <v>17</v>
      </c>
      <c r="GH7" s="36" t="s">
        <v>17</v>
      </c>
      <c r="GI7" s="36" t="s">
        <v>30</v>
      </c>
      <c r="GJ7" s="36" t="s">
        <v>30</v>
      </c>
      <c r="GK7" s="36" t="s">
        <v>30</v>
      </c>
      <c r="GL7" s="36" t="s">
        <v>30</v>
      </c>
      <c r="GM7" s="36" t="s">
        <v>24</v>
      </c>
      <c r="GN7" s="36" t="s">
        <v>17</v>
      </c>
      <c r="GO7" s="36" t="s">
        <v>30</v>
      </c>
      <c r="GP7" s="36" t="s">
        <v>17</v>
      </c>
      <c r="GQ7" s="36" t="s">
        <v>17</v>
      </c>
      <c r="GR7" s="36" t="s">
        <v>24</v>
      </c>
      <c r="GS7" s="36" t="s">
        <v>30</v>
      </c>
      <c r="GT7" s="36" t="s">
        <v>30</v>
      </c>
      <c r="GU7" s="36" t="s">
        <v>17</v>
      </c>
      <c r="GV7" s="36" t="s">
        <v>30</v>
      </c>
      <c r="GW7" s="36" t="s">
        <v>17</v>
      </c>
      <c r="GX7" s="36" t="s">
        <v>17</v>
      </c>
      <c r="GY7" s="36" t="s">
        <v>24</v>
      </c>
      <c r="GZ7" s="36" t="s">
        <v>24</v>
      </c>
      <c r="HA7" s="36" t="s">
        <v>24</v>
      </c>
      <c r="HB7" s="36" t="s">
        <v>17</v>
      </c>
      <c r="HC7" s="36" t="s">
        <v>30</v>
      </c>
      <c r="HD7" s="36" t="s">
        <v>24</v>
      </c>
      <c r="HE7" s="36" t="s">
        <v>30</v>
      </c>
      <c r="HF7" s="36" t="s">
        <v>24</v>
      </c>
      <c r="HG7" s="36" t="s">
        <v>24</v>
      </c>
      <c r="HH7" s="36" t="s">
        <v>17</v>
      </c>
      <c r="HI7" s="36" t="s">
        <v>24</v>
      </c>
      <c r="HJ7" s="36" t="s">
        <v>24</v>
      </c>
      <c r="HK7" s="36" t="s">
        <v>17</v>
      </c>
      <c r="HL7" s="36" t="s">
        <v>30</v>
      </c>
      <c r="HM7" s="36" t="s">
        <v>24</v>
      </c>
      <c r="HN7" s="36" t="s">
        <v>17</v>
      </c>
      <c r="HO7" s="36" t="s">
        <v>24</v>
      </c>
      <c r="HP7" s="36" t="s">
        <v>17</v>
      </c>
      <c r="HQ7" s="36" t="s">
        <v>30</v>
      </c>
      <c r="HR7" s="36" t="s">
        <v>30</v>
      </c>
      <c r="HS7" s="36" t="s">
        <v>17</v>
      </c>
      <c r="HT7" s="36" t="s">
        <v>17</v>
      </c>
      <c r="HU7" s="36" t="s">
        <v>17</v>
      </c>
      <c r="HV7" s="36" t="s">
        <v>30</v>
      </c>
      <c r="HW7" s="36" t="s">
        <v>24</v>
      </c>
      <c r="HX7" s="36" t="s">
        <v>30</v>
      </c>
      <c r="HY7" s="36" t="s">
        <v>17</v>
      </c>
      <c r="HZ7" s="36" t="s">
        <v>17</v>
      </c>
      <c r="IA7" s="36" t="s">
        <v>30</v>
      </c>
      <c r="IB7" s="36" t="s">
        <v>17</v>
      </c>
      <c r="IC7" s="36" t="s">
        <v>30</v>
      </c>
      <c r="ID7" s="36" t="s">
        <v>17</v>
      </c>
      <c r="IE7" s="36" t="s">
        <v>24</v>
      </c>
      <c r="IF7" s="36" t="s">
        <v>24</v>
      </c>
      <c r="IG7" s="36" t="s">
        <v>17</v>
      </c>
      <c r="IH7" s="36" t="s">
        <v>30</v>
      </c>
      <c r="II7" s="36" t="s">
        <v>24</v>
      </c>
      <c r="IJ7" s="36" t="s">
        <v>30</v>
      </c>
      <c r="IK7" s="36" t="s">
        <v>17</v>
      </c>
      <c r="IL7" s="36" t="s">
        <v>30</v>
      </c>
      <c r="IM7" s="36" t="s">
        <v>24</v>
      </c>
      <c r="IN7" s="36" t="s">
        <v>30</v>
      </c>
      <c r="IO7" s="36" t="s">
        <v>30</v>
      </c>
      <c r="IP7" s="36" t="s">
        <v>17</v>
      </c>
      <c r="IQ7" s="36" t="s">
        <v>17</v>
      </c>
      <c r="IR7" s="36" t="s">
        <v>17</v>
      </c>
      <c r="IS7" s="36" t="s">
        <v>24</v>
      </c>
      <c r="IT7" s="36" t="s">
        <v>24</v>
      </c>
      <c r="IU7" s="36" t="s">
        <v>17</v>
      </c>
      <c r="IV7" s="36" t="s">
        <v>17</v>
      </c>
      <c r="IW7" s="36" t="s">
        <v>24</v>
      </c>
      <c r="IX7" s="36" t="s">
        <v>24</v>
      </c>
      <c r="IY7" s="36" t="s">
        <v>24</v>
      </c>
      <c r="IZ7" s="36" t="s">
        <v>24</v>
      </c>
      <c r="JA7" s="36" t="s">
        <v>17</v>
      </c>
      <c r="JB7" s="36" t="s">
        <v>24</v>
      </c>
      <c r="JC7" s="36" t="s">
        <v>17</v>
      </c>
      <c r="JD7" s="36" t="s">
        <v>30</v>
      </c>
      <c r="JE7" s="36" t="s">
        <v>30</v>
      </c>
      <c r="JF7" s="36" t="s">
        <v>24</v>
      </c>
      <c r="JG7" s="36" t="s">
        <v>30</v>
      </c>
      <c r="JH7" s="36" t="s">
        <v>30</v>
      </c>
      <c r="JI7" s="36" t="s">
        <v>30</v>
      </c>
      <c r="JJ7" s="36" t="s">
        <v>24</v>
      </c>
      <c r="JK7" s="36" t="s">
        <v>24</v>
      </c>
      <c r="JL7" s="36" t="s">
        <v>30</v>
      </c>
      <c r="JM7" s="36" t="s">
        <v>17</v>
      </c>
      <c r="JN7" s="36" t="s">
        <v>30</v>
      </c>
      <c r="JO7" s="36" t="s">
        <v>24</v>
      </c>
      <c r="JP7" s="36" t="s">
        <v>24</v>
      </c>
      <c r="JQ7" s="36" t="s">
        <v>24</v>
      </c>
      <c r="JR7" s="36" t="s">
        <v>30</v>
      </c>
      <c r="JS7" s="36" t="s">
        <v>17</v>
      </c>
      <c r="JT7" s="36" t="s">
        <v>24</v>
      </c>
      <c r="JU7" s="36" t="s">
        <v>24</v>
      </c>
      <c r="JV7" s="36" t="s">
        <v>30</v>
      </c>
      <c r="JW7" s="36" t="s">
        <v>17</v>
      </c>
      <c r="JX7" s="36" t="s">
        <v>30</v>
      </c>
      <c r="JY7" s="36" t="s">
        <v>24</v>
      </c>
      <c r="JZ7" s="36" t="s">
        <v>17</v>
      </c>
      <c r="KA7" s="36" t="s">
        <v>17</v>
      </c>
      <c r="KB7" s="36" t="s">
        <v>24</v>
      </c>
      <c r="KC7" s="36" t="s">
        <v>17</v>
      </c>
      <c r="KD7" s="36" t="s">
        <v>17</v>
      </c>
      <c r="KE7" s="36" t="s">
        <v>30</v>
      </c>
      <c r="KF7" s="36" t="s">
        <v>24</v>
      </c>
      <c r="KG7" s="36" t="s">
        <v>24</v>
      </c>
      <c r="KH7" s="36" t="s">
        <v>24</v>
      </c>
      <c r="KI7" s="36" t="s">
        <v>24</v>
      </c>
      <c r="KJ7" s="36" t="s">
        <v>24</v>
      </c>
      <c r="KK7" s="36" t="s">
        <v>17</v>
      </c>
      <c r="KL7" s="36" t="s">
        <v>30</v>
      </c>
      <c r="KM7" s="36" t="s">
        <v>24</v>
      </c>
      <c r="KN7" s="36" t="s">
        <v>30</v>
      </c>
      <c r="KO7" s="36" t="s">
        <v>30</v>
      </c>
      <c r="KP7" s="36" t="s">
        <v>17</v>
      </c>
      <c r="KQ7" s="36" t="s">
        <v>24</v>
      </c>
      <c r="KR7" s="36" t="s">
        <v>17</v>
      </c>
      <c r="KS7" s="36" t="s">
        <v>24</v>
      </c>
      <c r="KT7" s="36" t="s">
        <v>17</v>
      </c>
      <c r="KU7" s="36" t="s">
        <v>30</v>
      </c>
      <c r="KV7" s="36" t="s">
        <v>24</v>
      </c>
      <c r="KW7" s="36" t="s">
        <v>30</v>
      </c>
      <c r="KX7" s="36" t="s">
        <v>30</v>
      </c>
      <c r="KY7" s="36" t="s">
        <v>17</v>
      </c>
      <c r="KZ7" s="36" t="s">
        <v>24</v>
      </c>
      <c r="LA7" s="36" t="s">
        <v>30</v>
      </c>
      <c r="LB7" s="36" t="s">
        <v>17</v>
      </c>
      <c r="LC7" s="36" t="s">
        <v>24</v>
      </c>
      <c r="LD7" s="36" t="s">
        <v>24</v>
      </c>
      <c r="LE7" s="36" t="s">
        <v>30</v>
      </c>
      <c r="LF7" s="36" t="s">
        <v>24</v>
      </c>
      <c r="LG7" s="36" t="s">
        <v>30</v>
      </c>
      <c r="LH7" s="36" t="s">
        <v>24</v>
      </c>
      <c r="LI7" s="36" t="s">
        <v>17</v>
      </c>
      <c r="LJ7" s="36" t="s">
        <v>30</v>
      </c>
      <c r="LK7" s="36" t="s">
        <v>30</v>
      </c>
      <c r="LL7" s="36" t="s">
        <v>24</v>
      </c>
      <c r="LM7" s="36" t="s">
        <v>24</v>
      </c>
      <c r="LN7" s="36" t="s">
        <v>30</v>
      </c>
      <c r="LO7" s="36" t="s">
        <v>24</v>
      </c>
      <c r="LP7" s="36" t="s">
        <v>17</v>
      </c>
      <c r="LQ7" s="36" t="s">
        <v>24</v>
      </c>
      <c r="LR7" s="36" t="s">
        <v>17</v>
      </c>
      <c r="LS7" s="36" t="s">
        <v>17</v>
      </c>
      <c r="LT7" s="36" t="s">
        <v>17</v>
      </c>
      <c r="LU7" s="36" t="s">
        <v>17</v>
      </c>
      <c r="LV7" s="36" t="s">
        <v>17</v>
      </c>
      <c r="LW7" s="36" t="s">
        <v>24</v>
      </c>
      <c r="LX7" s="36" t="s">
        <v>17</v>
      </c>
      <c r="LY7" s="36" t="s">
        <v>24</v>
      </c>
      <c r="LZ7" s="36" t="s">
        <v>17</v>
      </c>
      <c r="MA7" s="36" t="s">
        <v>30</v>
      </c>
      <c r="MB7" s="36" t="s">
        <v>17</v>
      </c>
      <c r="MC7" s="36" t="s">
        <v>30</v>
      </c>
      <c r="MD7" s="36" t="s">
        <v>17</v>
      </c>
      <c r="ME7" s="36" t="s">
        <v>17</v>
      </c>
      <c r="MF7" s="36" t="s">
        <v>17</v>
      </c>
      <c r="MG7" s="36" t="s">
        <v>30</v>
      </c>
      <c r="MH7" s="36" t="s">
        <v>30</v>
      </c>
      <c r="MI7" s="36" t="s">
        <v>17</v>
      </c>
      <c r="MJ7" s="36" t="s">
        <v>24</v>
      </c>
      <c r="MK7" s="36" t="s">
        <v>17</v>
      </c>
      <c r="ML7" s="36" t="s">
        <v>30</v>
      </c>
      <c r="MM7" s="36" t="s">
        <v>17</v>
      </c>
      <c r="MN7" s="36" t="s">
        <v>30</v>
      </c>
      <c r="MO7" s="36" t="s">
        <v>30</v>
      </c>
      <c r="MP7" s="36" t="s">
        <v>30</v>
      </c>
      <c r="MQ7" s="36" t="s">
        <v>17</v>
      </c>
      <c r="MR7" s="36" t="s">
        <v>30</v>
      </c>
      <c r="MS7" s="36" t="s">
        <v>30</v>
      </c>
      <c r="MT7" s="36" t="s">
        <v>17</v>
      </c>
      <c r="MU7" s="36" t="s">
        <v>30</v>
      </c>
      <c r="MV7" s="36" t="s">
        <v>17</v>
      </c>
      <c r="MW7" s="36" t="s">
        <v>30</v>
      </c>
      <c r="MX7" s="36" t="s">
        <v>24</v>
      </c>
      <c r="MY7" s="36" t="s">
        <v>24</v>
      </c>
      <c r="MZ7" s="36" t="s">
        <v>30</v>
      </c>
      <c r="NA7" s="36" t="s">
        <v>24</v>
      </c>
      <c r="NB7" s="36" t="s">
        <v>17</v>
      </c>
      <c r="NC7" s="36" t="s">
        <v>24</v>
      </c>
      <c r="ND7" s="36" t="s">
        <v>30</v>
      </c>
      <c r="NE7" s="36" t="s">
        <v>30</v>
      </c>
      <c r="NF7" s="36" t="s">
        <v>17</v>
      </c>
      <c r="NG7" s="36" t="s">
        <v>30</v>
      </c>
      <c r="NH7" s="36" t="s">
        <v>17</v>
      </c>
      <c r="NI7" s="36" t="s">
        <v>24</v>
      </c>
      <c r="NJ7" s="36" t="s">
        <v>24</v>
      </c>
      <c r="NK7" s="36" t="s">
        <v>17</v>
      </c>
      <c r="NL7" s="36" t="s">
        <v>17</v>
      </c>
      <c r="NM7" s="36" t="s">
        <v>30</v>
      </c>
      <c r="NN7" s="36" t="s">
        <v>24</v>
      </c>
      <c r="NO7" s="36" t="s">
        <v>17</v>
      </c>
      <c r="NP7" s="36" t="s">
        <v>24</v>
      </c>
      <c r="NQ7" s="36" t="s">
        <v>17</v>
      </c>
      <c r="NR7" s="36" t="s">
        <v>24</v>
      </c>
      <c r="NS7" s="36" t="s">
        <v>30</v>
      </c>
      <c r="NT7" s="36" t="s">
        <v>24</v>
      </c>
      <c r="NU7" s="36" t="s">
        <v>24</v>
      </c>
      <c r="NV7" s="36" t="s">
        <v>24</v>
      </c>
      <c r="NW7" s="36" t="s">
        <v>24</v>
      </c>
      <c r="NX7" s="36" t="s">
        <v>24</v>
      </c>
      <c r="NY7" s="36" t="s">
        <v>30</v>
      </c>
      <c r="NZ7" s="36" t="s">
        <v>17</v>
      </c>
      <c r="OA7" s="36" t="s">
        <v>24</v>
      </c>
      <c r="OB7" s="36" t="s">
        <v>30</v>
      </c>
      <c r="OC7" s="36" t="s">
        <v>24</v>
      </c>
      <c r="OD7" s="36" t="s">
        <v>24</v>
      </c>
      <c r="OE7" s="36" t="s">
        <v>17</v>
      </c>
      <c r="OF7" s="36" t="s">
        <v>24</v>
      </c>
      <c r="OG7" s="36" t="s">
        <v>30</v>
      </c>
      <c r="OH7" s="36" t="s">
        <v>30</v>
      </c>
      <c r="OI7" s="36" t="s">
        <v>17</v>
      </c>
      <c r="OJ7" s="36" t="s">
        <v>24</v>
      </c>
      <c r="OK7" s="36" t="s">
        <v>30</v>
      </c>
      <c r="OL7" s="36" t="s">
        <v>24</v>
      </c>
      <c r="OM7" s="36" t="s">
        <v>24</v>
      </c>
      <c r="ON7" s="36" t="s">
        <v>24</v>
      </c>
      <c r="OO7" s="36" t="s">
        <v>17</v>
      </c>
      <c r="OP7" s="36" t="s">
        <v>24</v>
      </c>
      <c r="OQ7" s="36" t="s">
        <v>30</v>
      </c>
      <c r="OR7" s="36" t="s">
        <v>24</v>
      </c>
      <c r="OS7" s="36" t="s">
        <v>30</v>
      </c>
      <c r="OT7" s="36" t="s">
        <v>24</v>
      </c>
      <c r="OU7" s="36" t="s">
        <v>30</v>
      </c>
      <c r="OV7" s="36" t="s">
        <v>30</v>
      </c>
      <c r="OW7" s="36" t="s">
        <v>24</v>
      </c>
      <c r="OX7" s="36" t="s">
        <v>24</v>
      </c>
      <c r="OY7" s="36" t="s">
        <v>30</v>
      </c>
      <c r="OZ7" s="36" t="s">
        <v>17</v>
      </c>
      <c r="PA7" s="36" t="s">
        <v>24</v>
      </c>
      <c r="PB7" s="36" t="s">
        <v>17</v>
      </c>
      <c r="PC7" s="36" t="s">
        <v>24</v>
      </c>
      <c r="PD7" s="36" t="s">
        <v>24</v>
      </c>
      <c r="PE7" s="36" t="s">
        <v>24</v>
      </c>
      <c r="PF7" s="36" t="s">
        <v>24</v>
      </c>
      <c r="PG7" s="36" t="s">
        <v>17</v>
      </c>
      <c r="PH7" s="36" t="s">
        <v>24</v>
      </c>
      <c r="PI7" s="36" t="s">
        <v>30</v>
      </c>
      <c r="PJ7" s="36" t="s">
        <v>30</v>
      </c>
      <c r="PK7" s="36" t="s">
        <v>17</v>
      </c>
      <c r="PL7" s="36" t="s">
        <v>24</v>
      </c>
      <c r="PM7" s="36" t="s">
        <v>30</v>
      </c>
      <c r="PN7" s="36" t="s">
        <v>17</v>
      </c>
      <c r="PO7" s="36" t="s">
        <v>24</v>
      </c>
      <c r="PP7" s="36" t="s">
        <v>30</v>
      </c>
      <c r="PQ7" s="36" t="s">
        <v>30</v>
      </c>
      <c r="PR7" s="36" t="s">
        <v>17</v>
      </c>
      <c r="PS7" s="36" t="s">
        <v>24</v>
      </c>
      <c r="PT7" s="36" t="s">
        <v>24</v>
      </c>
      <c r="PU7" s="36" t="s">
        <v>30</v>
      </c>
      <c r="PV7" s="36" t="s">
        <v>30</v>
      </c>
      <c r="PW7" s="36" t="s">
        <v>30</v>
      </c>
      <c r="PX7" s="36" t="s">
        <v>24</v>
      </c>
      <c r="PY7" s="36" t="s">
        <v>17</v>
      </c>
      <c r="PZ7" s="36" t="s">
        <v>17</v>
      </c>
      <c r="QA7" s="36" t="s">
        <v>24</v>
      </c>
      <c r="QB7" s="36" t="s">
        <v>17</v>
      </c>
      <c r="QC7" s="36" t="s">
        <v>30</v>
      </c>
      <c r="QD7" s="36" t="s">
        <v>17</v>
      </c>
      <c r="QE7" s="36" t="s">
        <v>17</v>
      </c>
      <c r="QF7" s="36" t="s">
        <v>17</v>
      </c>
      <c r="QG7" s="36" t="s">
        <v>30</v>
      </c>
      <c r="QH7" s="36" t="s">
        <v>24</v>
      </c>
      <c r="QI7" s="36" t="s">
        <v>30</v>
      </c>
      <c r="QJ7" s="36" t="s">
        <v>24</v>
      </c>
      <c r="QK7" s="36" t="s">
        <v>24</v>
      </c>
      <c r="QL7" s="36" t="s">
        <v>24</v>
      </c>
      <c r="QM7" s="36" t="s">
        <v>17</v>
      </c>
      <c r="QN7" s="36" t="s">
        <v>17</v>
      </c>
      <c r="QO7" s="36" t="s">
        <v>24</v>
      </c>
      <c r="QP7" s="36" t="s">
        <v>24</v>
      </c>
      <c r="QQ7" s="36" t="s">
        <v>17</v>
      </c>
      <c r="QR7" s="36" t="s">
        <v>30</v>
      </c>
      <c r="QS7" s="36" t="s">
        <v>24</v>
      </c>
      <c r="QT7" s="36" t="s">
        <v>30</v>
      </c>
      <c r="QU7" s="36" t="s">
        <v>17</v>
      </c>
      <c r="QV7" s="36" t="s">
        <v>24</v>
      </c>
      <c r="QW7" s="36" t="s">
        <v>30</v>
      </c>
      <c r="QX7" s="36" t="s">
        <v>30</v>
      </c>
      <c r="QY7" s="36" t="s">
        <v>30</v>
      </c>
      <c r="QZ7" s="36" t="s">
        <v>17</v>
      </c>
      <c r="RA7" s="36" t="s">
        <v>17</v>
      </c>
      <c r="RB7" s="36" t="s">
        <v>30</v>
      </c>
      <c r="RC7" s="36" t="s">
        <v>30</v>
      </c>
      <c r="RD7" s="36" t="s">
        <v>17</v>
      </c>
      <c r="RE7" s="36" t="s">
        <v>30</v>
      </c>
      <c r="RF7" s="36" t="s">
        <v>30</v>
      </c>
      <c r="RG7" s="36" t="s">
        <v>17</v>
      </c>
      <c r="RH7" s="36" t="s">
        <v>30</v>
      </c>
      <c r="RI7" s="36" t="s">
        <v>30</v>
      </c>
      <c r="RJ7" s="36" t="s">
        <v>30</v>
      </c>
      <c r="RK7" s="36" t="s">
        <v>17</v>
      </c>
      <c r="RL7" s="36" t="s">
        <v>30</v>
      </c>
      <c r="RM7" s="36" t="s">
        <v>17</v>
      </c>
      <c r="RN7" s="36" t="s">
        <v>17</v>
      </c>
      <c r="RO7" s="36" t="s">
        <v>24</v>
      </c>
      <c r="RP7" s="36" t="s">
        <v>24</v>
      </c>
      <c r="RQ7" s="36" t="s">
        <v>30</v>
      </c>
      <c r="RR7" s="36" t="s">
        <v>17</v>
      </c>
      <c r="RS7" s="36" t="s">
        <v>24</v>
      </c>
      <c r="RT7" s="36" t="s">
        <v>30</v>
      </c>
      <c r="RU7" s="36" t="s">
        <v>24</v>
      </c>
      <c r="RV7" s="36" t="s">
        <v>24</v>
      </c>
      <c r="RW7" s="36" t="s">
        <v>17</v>
      </c>
      <c r="RX7" s="36" t="s">
        <v>17</v>
      </c>
      <c r="RY7" s="36" t="s">
        <v>24</v>
      </c>
      <c r="RZ7" s="36" t="s">
        <v>24</v>
      </c>
      <c r="SA7" s="36" t="s">
        <v>17</v>
      </c>
      <c r="SB7" s="36" t="s">
        <v>30</v>
      </c>
      <c r="SC7" s="36" t="s">
        <v>17</v>
      </c>
      <c r="SD7" s="36" t="s">
        <v>24</v>
      </c>
      <c r="SE7" s="36" t="s">
        <v>30</v>
      </c>
      <c r="SF7" s="36" t="s">
        <v>24</v>
      </c>
      <c r="SG7" s="36" t="s">
        <v>30</v>
      </c>
    </row>
    <row r="8" spans="1:501" x14ac:dyDescent="0.3">
      <c r="A8" s="38" t="s">
        <v>7</v>
      </c>
      <c r="B8" s="36" t="s">
        <v>18</v>
      </c>
      <c r="C8" s="36" t="s">
        <v>25</v>
      </c>
      <c r="D8" s="36" t="s">
        <v>25</v>
      </c>
      <c r="E8" s="36" t="s">
        <v>35</v>
      </c>
      <c r="F8" s="36" t="s">
        <v>18</v>
      </c>
      <c r="G8" s="36" t="s">
        <v>42</v>
      </c>
      <c r="H8" s="36" t="s">
        <v>44</v>
      </c>
      <c r="I8" s="36" t="s">
        <v>18</v>
      </c>
      <c r="J8" s="36" t="s">
        <v>25</v>
      </c>
      <c r="K8" s="36" t="s">
        <v>35</v>
      </c>
      <c r="L8" s="36" t="s">
        <v>35</v>
      </c>
      <c r="M8" s="36" t="s">
        <v>44</v>
      </c>
      <c r="N8" s="36" t="s">
        <v>35</v>
      </c>
      <c r="O8" s="36" t="s">
        <v>35</v>
      </c>
      <c r="P8" s="36" t="s">
        <v>18</v>
      </c>
      <c r="Q8" s="36" t="s">
        <v>42</v>
      </c>
      <c r="R8" s="36" t="s">
        <v>44</v>
      </c>
      <c r="S8" s="36" t="s">
        <v>18</v>
      </c>
      <c r="T8" s="36" t="s">
        <v>42</v>
      </c>
      <c r="U8" s="36" t="s">
        <v>18</v>
      </c>
      <c r="V8" s="36" t="s">
        <v>18</v>
      </c>
      <c r="W8" s="36" t="s">
        <v>35</v>
      </c>
      <c r="X8" s="36" t="s">
        <v>42</v>
      </c>
      <c r="Y8" s="36" t="s">
        <v>44</v>
      </c>
      <c r="Z8" s="36" t="s">
        <v>44</v>
      </c>
      <c r="AA8" s="36" t="s">
        <v>42</v>
      </c>
      <c r="AB8" s="36" t="s">
        <v>35</v>
      </c>
      <c r="AC8" s="36" t="s">
        <v>25</v>
      </c>
      <c r="AD8" s="36" t="s">
        <v>18</v>
      </c>
      <c r="AE8" s="36" t="s">
        <v>35</v>
      </c>
      <c r="AF8" s="36" t="s">
        <v>42</v>
      </c>
      <c r="AG8" s="36" t="s">
        <v>18</v>
      </c>
      <c r="AH8" s="36" t="s">
        <v>44</v>
      </c>
      <c r="AI8" s="36" t="s">
        <v>25</v>
      </c>
      <c r="AJ8" s="36" t="s">
        <v>44</v>
      </c>
      <c r="AK8" s="36" t="s">
        <v>42</v>
      </c>
      <c r="AL8" s="36" t="s">
        <v>18</v>
      </c>
      <c r="AM8" s="36" t="s">
        <v>42</v>
      </c>
      <c r="AN8" s="36" t="s">
        <v>18</v>
      </c>
      <c r="AO8" s="36" t="s">
        <v>35</v>
      </c>
      <c r="AP8" s="36" t="s">
        <v>25</v>
      </c>
      <c r="AQ8" s="36" t="s">
        <v>35</v>
      </c>
      <c r="AR8" s="36" t="s">
        <v>35</v>
      </c>
      <c r="AS8" s="36" t="s">
        <v>42</v>
      </c>
      <c r="AT8" s="36" t="s">
        <v>25</v>
      </c>
      <c r="AU8" s="36" t="s">
        <v>18</v>
      </c>
      <c r="AV8" s="36" t="s">
        <v>18</v>
      </c>
      <c r="AW8" s="36" t="s">
        <v>44</v>
      </c>
      <c r="AX8" s="36" t="s">
        <v>18</v>
      </c>
      <c r="AY8" s="36" t="s">
        <v>42</v>
      </c>
      <c r="AZ8" s="36" t="s">
        <v>35</v>
      </c>
      <c r="BA8" s="36" t="s">
        <v>35</v>
      </c>
      <c r="BB8" s="36" t="s">
        <v>35</v>
      </c>
      <c r="BC8" s="36" t="s">
        <v>25</v>
      </c>
      <c r="BD8" s="36" t="s">
        <v>18</v>
      </c>
      <c r="BE8" s="36" t="s">
        <v>42</v>
      </c>
      <c r="BF8" s="36" t="s">
        <v>25</v>
      </c>
      <c r="BG8" s="36" t="s">
        <v>44</v>
      </c>
      <c r="BH8" s="36" t="s">
        <v>42</v>
      </c>
      <c r="BI8" s="36" t="s">
        <v>42</v>
      </c>
      <c r="BJ8" s="36" t="s">
        <v>42</v>
      </c>
      <c r="BK8" s="36" t="s">
        <v>35</v>
      </c>
      <c r="BL8" s="36" t="s">
        <v>42</v>
      </c>
      <c r="BM8" s="36" t="s">
        <v>18</v>
      </c>
      <c r="BN8" s="36" t="s">
        <v>42</v>
      </c>
      <c r="BO8" s="36" t="s">
        <v>35</v>
      </c>
      <c r="BP8" s="36" t="s">
        <v>42</v>
      </c>
      <c r="BQ8" s="36" t="s">
        <v>44</v>
      </c>
      <c r="BR8" s="36" t="s">
        <v>44</v>
      </c>
      <c r="BS8" s="36" t="s">
        <v>35</v>
      </c>
      <c r="BT8" s="36" t="s">
        <v>18</v>
      </c>
      <c r="BU8" s="36" t="s">
        <v>18</v>
      </c>
      <c r="BV8" s="36" t="s">
        <v>25</v>
      </c>
      <c r="BW8" s="36" t="s">
        <v>35</v>
      </c>
      <c r="BX8" s="36" t="s">
        <v>42</v>
      </c>
      <c r="BY8" s="36" t="s">
        <v>35</v>
      </c>
      <c r="BZ8" s="36" t="s">
        <v>25</v>
      </c>
      <c r="CA8" s="36" t="s">
        <v>35</v>
      </c>
      <c r="CB8" s="36" t="s">
        <v>35</v>
      </c>
      <c r="CC8" s="36" t="s">
        <v>25</v>
      </c>
      <c r="CD8" s="36" t="s">
        <v>18</v>
      </c>
      <c r="CE8" s="36" t="s">
        <v>42</v>
      </c>
      <c r="CF8" s="36" t="s">
        <v>25</v>
      </c>
      <c r="CG8" s="36" t="s">
        <v>44</v>
      </c>
      <c r="CH8" s="36" t="s">
        <v>18</v>
      </c>
      <c r="CI8" s="36" t="s">
        <v>44</v>
      </c>
      <c r="CJ8" s="36" t="s">
        <v>18</v>
      </c>
      <c r="CK8" s="36" t="s">
        <v>42</v>
      </c>
      <c r="CL8" s="36" t="s">
        <v>42</v>
      </c>
      <c r="CM8" s="36" t="s">
        <v>35</v>
      </c>
      <c r="CN8" s="36" t="s">
        <v>44</v>
      </c>
      <c r="CO8" s="36" t="s">
        <v>18</v>
      </c>
      <c r="CP8" s="36" t="s">
        <v>42</v>
      </c>
      <c r="CQ8" s="36" t="s">
        <v>25</v>
      </c>
      <c r="CR8" s="36" t="s">
        <v>42</v>
      </c>
      <c r="CS8" s="36" t="s">
        <v>25</v>
      </c>
      <c r="CT8" s="36" t="s">
        <v>18</v>
      </c>
      <c r="CU8" s="36" t="s">
        <v>42</v>
      </c>
      <c r="CV8" s="36" t="s">
        <v>42</v>
      </c>
      <c r="CW8" s="36" t="s">
        <v>18</v>
      </c>
      <c r="CX8" s="36" t="s">
        <v>42</v>
      </c>
      <c r="CY8" s="36" t="s">
        <v>25</v>
      </c>
      <c r="CZ8" s="36" t="s">
        <v>42</v>
      </c>
      <c r="DA8" s="36" t="s">
        <v>44</v>
      </c>
      <c r="DB8" s="36" t="s">
        <v>35</v>
      </c>
      <c r="DC8" s="36" t="s">
        <v>25</v>
      </c>
      <c r="DD8" s="36" t="s">
        <v>44</v>
      </c>
      <c r="DE8" s="36" t="s">
        <v>18</v>
      </c>
      <c r="DF8" s="36" t="s">
        <v>25</v>
      </c>
      <c r="DG8" s="36" t="s">
        <v>35</v>
      </c>
      <c r="DH8" s="36" t="s">
        <v>35</v>
      </c>
      <c r="DI8" s="36" t="s">
        <v>18</v>
      </c>
      <c r="DJ8" s="36" t="s">
        <v>18</v>
      </c>
      <c r="DK8" s="36" t="s">
        <v>25</v>
      </c>
      <c r="DL8" s="36" t="s">
        <v>42</v>
      </c>
      <c r="DM8" s="36" t="s">
        <v>18</v>
      </c>
      <c r="DN8" s="36" t="s">
        <v>42</v>
      </c>
      <c r="DO8" s="36" t="s">
        <v>44</v>
      </c>
      <c r="DP8" s="36" t="s">
        <v>35</v>
      </c>
      <c r="DQ8" s="36" t="s">
        <v>42</v>
      </c>
      <c r="DR8" s="36" t="s">
        <v>35</v>
      </c>
      <c r="DS8" s="36" t="s">
        <v>42</v>
      </c>
      <c r="DT8" s="36" t="s">
        <v>44</v>
      </c>
      <c r="DU8" s="36" t="s">
        <v>18</v>
      </c>
      <c r="DV8" s="36" t="s">
        <v>44</v>
      </c>
      <c r="DW8" s="36" t="s">
        <v>18</v>
      </c>
      <c r="DX8" s="36" t="s">
        <v>18</v>
      </c>
      <c r="DY8" s="36" t="s">
        <v>35</v>
      </c>
      <c r="DZ8" s="36" t="s">
        <v>44</v>
      </c>
      <c r="EA8" s="36" t="s">
        <v>42</v>
      </c>
      <c r="EB8" s="36" t="s">
        <v>44</v>
      </c>
      <c r="EC8" s="36" t="s">
        <v>35</v>
      </c>
      <c r="ED8" s="36" t="s">
        <v>18</v>
      </c>
      <c r="EE8" s="36" t="s">
        <v>35</v>
      </c>
      <c r="EF8" s="36" t="s">
        <v>25</v>
      </c>
      <c r="EG8" s="36" t="s">
        <v>25</v>
      </c>
      <c r="EH8" s="36" t="s">
        <v>42</v>
      </c>
      <c r="EI8" s="36" t="s">
        <v>35</v>
      </c>
      <c r="EJ8" s="36" t="s">
        <v>42</v>
      </c>
      <c r="EK8" s="36" t="s">
        <v>42</v>
      </c>
      <c r="EL8" s="36" t="s">
        <v>25</v>
      </c>
      <c r="EM8" s="36" t="s">
        <v>42</v>
      </c>
      <c r="EN8" s="36" t="s">
        <v>25</v>
      </c>
      <c r="EO8" s="36" t="s">
        <v>18</v>
      </c>
      <c r="EP8" s="36" t="s">
        <v>35</v>
      </c>
      <c r="EQ8" s="36" t="s">
        <v>42</v>
      </c>
      <c r="ER8" s="36" t="s">
        <v>25</v>
      </c>
      <c r="ES8" s="36" t="s">
        <v>44</v>
      </c>
      <c r="ET8" s="36" t="s">
        <v>42</v>
      </c>
      <c r="EU8" s="36" t="s">
        <v>18</v>
      </c>
      <c r="EV8" s="36" t="s">
        <v>18</v>
      </c>
      <c r="EW8" s="36" t="s">
        <v>44</v>
      </c>
      <c r="EX8" s="36" t="s">
        <v>25</v>
      </c>
      <c r="EY8" s="36" t="s">
        <v>42</v>
      </c>
      <c r="EZ8" s="36" t="s">
        <v>25</v>
      </c>
      <c r="FA8" s="36" t="s">
        <v>18</v>
      </c>
      <c r="FB8" s="36" t="s">
        <v>25</v>
      </c>
      <c r="FC8" s="36" t="s">
        <v>18</v>
      </c>
      <c r="FD8" s="36" t="s">
        <v>25</v>
      </c>
      <c r="FE8" s="36" t="s">
        <v>44</v>
      </c>
      <c r="FF8" s="36" t="s">
        <v>35</v>
      </c>
      <c r="FG8" s="36" t="s">
        <v>44</v>
      </c>
      <c r="FH8" s="36" t="s">
        <v>44</v>
      </c>
      <c r="FI8" s="36" t="s">
        <v>35</v>
      </c>
      <c r="FJ8" s="36" t="s">
        <v>35</v>
      </c>
      <c r="FK8" s="36" t="s">
        <v>42</v>
      </c>
      <c r="FL8" s="36" t="s">
        <v>42</v>
      </c>
      <c r="FM8" s="36" t="s">
        <v>44</v>
      </c>
      <c r="FN8" s="36" t="s">
        <v>44</v>
      </c>
      <c r="FO8" s="36" t="s">
        <v>18</v>
      </c>
      <c r="FP8" s="36" t="s">
        <v>18</v>
      </c>
      <c r="FQ8" s="36" t="s">
        <v>42</v>
      </c>
      <c r="FR8" s="36" t="s">
        <v>42</v>
      </c>
      <c r="FS8" s="36" t="s">
        <v>18</v>
      </c>
      <c r="FT8" s="36" t="s">
        <v>18</v>
      </c>
      <c r="FU8" s="36" t="s">
        <v>25</v>
      </c>
      <c r="FV8" s="36" t="s">
        <v>25</v>
      </c>
      <c r="FW8" s="36" t="s">
        <v>18</v>
      </c>
      <c r="FX8" s="36" t="s">
        <v>25</v>
      </c>
      <c r="FY8" s="36" t="s">
        <v>35</v>
      </c>
      <c r="FZ8" s="36" t="s">
        <v>42</v>
      </c>
      <c r="GA8" s="36" t="s">
        <v>42</v>
      </c>
      <c r="GB8" s="36" t="s">
        <v>18</v>
      </c>
      <c r="GC8" s="36" t="s">
        <v>44</v>
      </c>
      <c r="GD8" s="36" t="s">
        <v>18</v>
      </c>
      <c r="GE8" s="36" t="s">
        <v>25</v>
      </c>
      <c r="GF8" s="36" t="s">
        <v>44</v>
      </c>
      <c r="GG8" s="36" t="s">
        <v>25</v>
      </c>
      <c r="GH8" s="36" t="s">
        <v>35</v>
      </c>
      <c r="GI8" s="36" t="s">
        <v>25</v>
      </c>
      <c r="GJ8" s="36" t="s">
        <v>35</v>
      </c>
      <c r="GK8" s="36" t="s">
        <v>35</v>
      </c>
      <c r="GL8" s="36" t="s">
        <v>25</v>
      </c>
      <c r="GM8" s="36" t="s">
        <v>25</v>
      </c>
      <c r="GN8" s="36" t="s">
        <v>35</v>
      </c>
      <c r="GO8" s="36" t="s">
        <v>44</v>
      </c>
      <c r="GP8" s="36" t="s">
        <v>35</v>
      </c>
      <c r="GQ8" s="36" t="s">
        <v>42</v>
      </c>
      <c r="GR8" s="36" t="s">
        <v>35</v>
      </c>
      <c r="GS8" s="36" t="s">
        <v>44</v>
      </c>
      <c r="GT8" s="36" t="s">
        <v>42</v>
      </c>
      <c r="GU8" s="36" t="s">
        <v>18</v>
      </c>
      <c r="GV8" s="36" t="s">
        <v>18</v>
      </c>
      <c r="GW8" s="36" t="s">
        <v>44</v>
      </c>
      <c r="GX8" s="36" t="s">
        <v>35</v>
      </c>
      <c r="GY8" s="36" t="s">
        <v>25</v>
      </c>
      <c r="GZ8" s="36" t="s">
        <v>44</v>
      </c>
      <c r="HA8" s="36" t="s">
        <v>42</v>
      </c>
      <c r="HB8" s="36" t="s">
        <v>42</v>
      </c>
      <c r="HC8" s="36" t="s">
        <v>18</v>
      </c>
      <c r="HD8" s="36" t="s">
        <v>42</v>
      </c>
      <c r="HE8" s="36" t="s">
        <v>44</v>
      </c>
      <c r="HF8" s="36" t="s">
        <v>42</v>
      </c>
      <c r="HG8" s="36" t="s">
        <v>44</v>
      </c>
      <c r="HH8" s="36" t="s">
        <v>25</v>
      </c>
      <c r="HI8" s="36" t="s">
        <v>18</v>
      </c>
      <c r="HJ8" s="36" t="s">
        <v>42</v>
      </c>
      <c r="HK8" s="36" t="s">
        <v>44</v>
      </c>
      <c r="HL8" s="36" t="s">
        <v>35</v>
      </c>
      <c r="HM8" s="36" t="s">
        <v>18</v>
      </c>
      <c r="HN8" s="36" t="s">
        <v>25</v>
      </c>
      <c r="HO8" s="36" t="s">
        <v>44</v>
      </c>
      <c r="HP8" s="36" t="s">
        <v>25</v>
      </c>
      <c r="HQ8" s="36" t="s">
        <v>25</v>
      </c>
      <c r="HR8" s="36" t="s">
        <v>42</v>
      </c>
      <c r="HS8" s="36" t="s">
        <v>42</v>
      </c>
      <c r="HT8" s="36" t="s">
        <v>44</v>
      </c>
      <c r="HU8" s="36" t="s">
        <v>35</v>
      </c>
      <c r="HV8" s="36" t="s">
        <v>44</v>
      </c>
      <c r="HW8" s="36" t="s">
        <v>35</v>
      </c>
      <c r="HX8" s="36" t="s">
        <v>25</v>
      </c>
      <c r="HY8" s="36" t="s">
        <v>18</v>
      </c>
      <c r="HZ8" s="36" t="s">
        <v>44</v>
      </c>
      <c r="IA8" s="36" t="s">
        <v>44</v>
      </c>
      <c r="IB8" s="36" t="s">
        <v>35</v>
      </c>
      <c r="IC8" s="36" t="s">
        <v>25</v>
      </c>
      <c r="ID8" s="36" t="s">
        <v>25</v>
      </c>
      <c r="IE8" s="36" t="s">
        <v>35</v>
      </c>
      <c r="IF8" s="36" t="s">
        <v>25</v>
      </c>
      <c r="IG8" s="36" t="s">
        <v>42</v>
      </c>
      <c r="IH8" s="36" t="s">
        <v>18</v>
      </c>
      <c r="II8" s="36" t="s">
        <v>44</v>
      </c>
      <c r="IJ8" s="36" t="s">
        <v>18</v>
      </c>
      <c r="IK8" s="36" t="s">
        <v>44</v>
      </c>
      <c r="IL8" s="36" t="s">
        <v>42</v>
      </c>
      <c r="IM8" s="36" t="s">
        <v>25</v>
      </c>
      <c r="IN8" s="36" t="s">
        <v>35</v>
      </c>
      <c r="IO8" s="36" t="s">
        <v>42</v>
      </c>
      <c r="IP8" s="36" t="s">
        <v>18</v>
      </c>
      <c r="IQ8" s="36" t="s">
        <v>35</v>
      </c>
      <c r="IR8" s="36" t="s">
        <v>25</v>
      </c>
      <c r="IS8" s="36" t="s">
        <v>42</v>
      </c>
      <c r="IT8" s="36" t="s">
        <v>35</v>
      </c>
      <c r="IU8" s="36" t="s">
        <v>42</v>
      </c>
      <c r="IV8" s="36" t="s">
        <v>42</v>
      </c>
      <c r="IW8" s="36" t="s">
        <v>25</v>
      </c>
      <c r="IX8" s="36" t="s">
        <v>44</v>
      </c>
      <c r="IY8" s="36" t="s">
        <v>35</v>
      </c>
      <c r="IZ8" s="36" t="s">
        <v>25</v>
      </c>
      <c r="JA8" s="36" t="s">
        <v>42</v>
      </c>
      <c r="JB8" s="36" t="s">
        <v>25</v>
      </c>
      <c r="JC8" s="36" t="s">
        <v>44</v>
      </c>
      <c r="JD8" s="36" t="s">
        <v>35</v>
      </c>
      <c r="JE8" s="36" t="s">
        <v>44</v>
      </c>
      <c r="JF8" s="36" t="s">
        <v>18</v>
      </c>
      <c r="JG8" s="36" t="s">
        <v>35</v>
      </c>
      <c r="JH8" s="36" t="s">
        <v>44</v>
      </c>
      <c r="JI8" s="36" t="s">
        <v>42</v>
      </c>
      <c r="JJ8" s="36" t="s">
        <v>35</v>
      </c>
      <c r="JK8" s="36" t="s">
        <v>35</v>
      </c>
      <c r="JL8" s="36" t="s">
        <v>25</v>
      </c>
      <c r="JM8" s="36" t="s">
        <v>42</v>
      </c>
      <c r="JN8" s="36" t="s">
        <v>18</v>
      </c>
      <c r="JO8" s="36" t="s">
        <v>44</v>
      </c>
      <c r="JP8" s="36" t="s">
        <v>25</v>
      </c>
      <c r="JQ8" s="36" t="s">
        <v>44</v>
      </c>
      <c r="JR8" s="36" t="s">
        <v>18</v>
      </c>
      <c r="JS8" s="36" t="s">
        <v>18</v>
      </c>
      <c r="JT8" s="36" t="s">
        <v>35</v>
      </c>
      <c r="JU8" s="36" t="s">
        <v>18</v>
      </c>
      <c r="JV8" s="36" t="s">
        <v>44</v>
      </c>
      <c r="JW8" s="36" t="s">
        <v>42</v>
      </c>
      <c r="JX8" s="36" t="s">
        <v>42</v>
      </c>
      <c r="JY8" s="36" t="s">
        <v>35</v>
      </c>
      <c r="JZ8" s="36" t="s">
        <v>44</v>
      </c>
      <c r="KA8" s="36" t="s">
        <v>44</v>
      </c>
      <c r="KB8" s="36" t="s">
        <v>18</v>
      </c>
      <c r="KC8" s="36" t="s">
        <v>44</v>
      </c>
      <c r="KD8" s="36" t="s">
        <v>25</v>
      </c>
      <c r="KE8" s="36" t="s">
        <v>18</v>
      </c>
      <c r="KF8" s="36" t="s">
        <v>25</v>
      </c>
      <c r="KG8" s="36" t="s">
        <v>35</v>
      </c>
      <c r="KH8" s="36" t="s">
        <v>42</v>
      </c>
      <c r="KI8" s="36" t="s">
        <v>35</v>
      </c>
      <c r="KJ8" s="36" t="s">
        <v>42</v>
      </c>
      <c r="KK8" s="36" t="s">
        <v>35</v>
      </c>
      <c r="KL8" s="36" t="s">
        <v>44</v>
      </c>
      <c r="KM8" s="36" t="s">
        <v>25</v>
      </c>
      <c r="KN8" s="36" t="s">
        <v>42</v>
      </c>
      <c r="KO8" s="36" t="s">
        <v>18</v>
      </c>
      <c r="KP8" s="36" t="s">
        <v>25</v>
      </c>
      <c r="KQ8" s="36" t="s">
        <v>18</v>
      </c>
      <c r="KR8" s="36" t="s">
        <v>25</v>
      </c>
      <c r="KS8" s="36" t="s">
        <v>25</v>
      </c>
      <c r="KT8" s="36" t="s">
        <v>35</v>
      </c>
      <c r="KU8" s="36" t="s">
        <v>42</v>
      </c>
      <c r="KV8" s="36" t="s">
        <v>42</v>
      </c>
      <c r="KW8" s="36" t="s">
        <v>25</v>
      </c>
      <c r="KX8" s="36" t="s">
        <v>44</v>
      </c>
      <c r="KY8" s="36" t="s">
        <v>44</v>
      </c>
      <c r="KZ8" s="36" t="s">
        <v>18</v>
      </c>
      <c r="LA8" s="36" t="s">
        <v>18</v>
      </c>
      <c r="LB8" s="36" t="s">
        <v>35</v>
      </c>
      <c r="LC8" s="36" t="s">
        <v>25</v>
      </c>
      <c r="LD8" s="36" t="s">
        <v>18</v>
      </c>
      <c r="LE8" s="36" t="s">
        <v>18</v>
      </c>
      <c r="LF8" s="36" t="s">
        <v>25</v>
      </c>
      <c r="LG8" s="36" t="s">
        <v>35</v>
      </c>
      <c r="LH8" s="36" t="s">
        <v>18</v>
      </c>
      <c r="LI8" s="36" t="s">
        <v>35</v>
      </c>
      <c r="LJ8" s="36" t="s">
        <v>42</v>
      </c>
      <c r="LK8" s="36" t="s">
        <v>35</v>
      </c>
      <c r="LL8" s="36" t="s">
        <v>44</v>
      </c>
      <c r="LM8" s="36" t="s">
        <v>44</v>
      </c>
      <c r="LN8" s="36" t="s">
        <v>35</v>
      </c>
      <c r="LO8" s="36" t="s">
        <v>44</v>
      </c>
      <c r="LP8" s="36" t="s">
        <v>42</v>
      </c>
      <c r="LQ8" s="36" t="s">
        <v>25</v>
      </c>
      <c r="LR8" s="36" t="s">
        <v>44</v>
      </c>
      <c r="LS8" s="36" t="s">
        <v>44</v>
      </c>
      <c r="LT8" s="36" t="s">
        <v>35</v>
      </c>
      <c r="LU8" s="36" t="s">
        <v>42</v>
      </c>
      <c r="LV8" s="36" t="s">
        <v>25</v>
      </c>
      <c r="LW8" s="36" t="s">
        <v>35</v>
      </c>
      <c r="LX8" s="36" t="s">
        <v>35</v>
      </c>
      <c r="LY8" s="36" t="s">
        <v>42</v>
      </c>
      <c r="LZ8" s="36" t="s">
        <v>25</v>
      </c>
      <c r="MA8" s="36" t="s">
        <v>42</v>
      </c>
      <c r="MB8" s="36" t="s">
        <v>25</v>
      </c>
      <c r="MC8" s="36" t="s">
        <v>42</v>
      </c>
      <c r="MD8" s="36" t="s">
        <v>35</v>
      </c>
      <c r="ME8" s="36" t="s">
        <v>35</v>
      </c>
      <c r="MF8" s="36" t="s">
        <v>18</v>
      </c>
      <c r="MG8" s="36" t="s">
        <v>44</v>
      </c>
      <c r="MH8" s="36" t="s">
        <v>42</v>
      </c>
      <c r="MI8" s="36" t="s">
        <v>18</v>
      </c>
      <c r="MJ8" s="36" t="s">
        <v>44</v>
      </c>
      <c r="MK8" s="36" t="s">
        <v>42</v>
      </c>
      <c r="ML8" s="36" t="s">
        <v>25</v>
      </c>
      <c r="MM8" s="36" t="s">
        <v>44</v>
      </c>
      <c r="MN8" s="36" t="s">
        <v>35</v>
      </c>
      <c r="MO8" s="36" t="s">
        <v>18</v>
      </c>
      <c r="MP8" s="36" t="s">
        <v>44</v>
      </c>
      <c r="MQ8" s="36" t="s">
        <v>44</v>
      </c>
      <c r="MR8" s="36" t="s">
        <v>35</v>
      </c>
      <c r="MS8" s="36" t="s">
        <v>42</v>
      </c>
      <c r="MT8" s="36" t="s">
        <v>25</v>
      </c>
      <c r="MU8" s="36" t="s">
        <v>35</v>
      </c>
      <c r="MV8" s="36" t="s">
        <v>25</v>
      </c>
      <c r="MW8" s="36" t="s">
        <v>42</v>
      </c>
      <c r="MX8" s="36" t="s">
        <v>44</v>
      </c>
      <c r="MY8" s="36" t="s">
        <v>25</v>
      </c>
      <c r="MZ8" s="36" t="s">
        <v>18</v>
      </c>
      <c r="NA8" s="36" t="s">
        <v>18</v>
      </c>
      <c r="NB8" s="36" t="s">
        <v>35</v>
      </c>
      <c r="NC8" s="36" t="s">
        <v>42</v>
      </c>
      <c r="ND8" s="36" t="s">
        <v>35</v>
      </c>
      <c r="NE8" s="36" t="s">
        <v>35</v>
      </c>
      <c r="NF8" s="36" t="s">
        <v>35</v>
      </c>
      <c r="NG8" s="36" t="s">
        <v>18</v>
      </c>
      <c r="NH8" s="36" t="s">
        <v>18</v>
      </c>
      <c r="NI8" s="36" t="s">
        <v>35</v>
      </c>
      <c r="NJ8" s="36" t="s">
        <v>18</v>
      </c>
      <c r="NK8" s="36" t="s">
        <v>42</v>
      </c>
      <c r="NL8" s="36" t="s">
        <v>35</v>
      </c>
      <c r="NM8" s="36" t="s">
        <v>18</v>
      </c>
      <c r="NN8" s="36" t="s">
        <v>25</v>
      </c>
      <c r="NO8" s="36" t="s">
        <v>35</v>
      </c>
      <c r="NP8" s="36" t="s">
        <v>35</v>
      </c>
      <c r="NQ8" s="36" t="s">
        <v>42</v>
      </c>
      <c r="NR8" s="36" t="s">
        <v>44</v>
      </c>
      <c r="NS8" s="36" t="s">
        <v>44</v>
      </c>
      <c r="NT8" s="36" t="s">
        <v>42</v>
      </c>
      <c r="NU8" s="36" t="s">
        <v>42</v>
      </c>
      <c r="NV8" s="36" t="s">
        <v>42</v>
      </c>
      <c r="NW8" s="36" t="s">
        <v>44</v>
      </c>
      <c r="NX8" s="36" t="s">
        <v>42</v>
      </c>
      <c r="NY8" s="36" t="s">
        <v>18</v>
      </c>
      <c r="NZ8" s="36" t="s">
        <v>35</v>
      </c>
      <c r="OA8" s="36" t="s">
        <v>35</v>
      </c>
      <c r="OB8" s="36" t="s">
        <v>25</v>
      </c>
      <c r="OC8" s="36" t="s">
        <v>25</v>
      </c>
      <c r="OD8" s="36" t="s">
        <v>35</v>
      </c>
      <c r="OE8" s="36" t="s">
        <v>18</v>
      </c>
      <c r="OF8" s="36" t="s">
        <v>44</v>
      </c>
      <c r="OG8" s="36" t="s">
        <v>44</v>
      </c>
      <c r="OH8" s="36" t="s">
        <v>18</v>
      </c>
      <c r="OI8" s="36" t="s">
        <v>44</v>
      </c>
      <c r="OJ8" s="36" t="s">
        <v>42</v>
      </c>
      <c r="OK8" s="36" t="s">
        <v>35</v>
      </c>
      <c r="OL8" s="36" t="s">
        <v>35</v>
      </c>
      <c r="OM8" s="36" t="s">
        <v>18</v>
      </c>
      <c r="ON8" s="36" t="s">
        <v>44</v>
      </c>
      <c r="OO8" s="36" t="s">
        <v>25</v>
      </c>
      <c r="OP8" s="36" t="s">
        <v>25</v>
      </c>
      <c r="OQ8" s="36" t="s">
        <v>44</v>
      </c>
      <c r="OR8" s="36" t="s">
        <v>25</v>
      </c>
      <c r="OS8" s="36" t="s">
        <v>18</v>
      </c>
      <c r="OT8" s="36" t="s">
        <v>18</v>
      </c>
      <c r="OU8" s="36" t="s">
        <v>44</v>
      </c>
      <c r="OV8" s="36" t="s">
        <v>25</v>
      </c>
      <c r="OW8" s="36" t="s">
        <v>18</v>
      </c>
      <c r="OX8" s="36" t="s">
        <v>18</v>
      </c>
      <c r="OY8" s="36" t="s">
        <v>42</v>
      </c>
      <c r="OZ8" s="36" t="s">
        <v>42</v>
      </c>
      <c r="PA8" s="36" t="s">
        <v>18</v>
      </c>
      <c r="PB8" s="36" t="s">
        <v>44</v>
      </c>
      <c r="PC8" s="36" t="s">
        <v>35</v>
      </c>
      <c r="PD8" s="36" t="s">
        <v>35</v>
      </c>
      <c r="PE8" s="36" t="s">
        <v>18</v>
      </c>
      <c r="PF8" s="36" t="s">
        <v>18</v>
      </c>
      <c r="PG8" s="36" t="s">
        <v>18</v>
      </c>
      <c r="PH8" s="36" t="s">
        <v>44</v>
      </c>
      <c r="PI8" s="36" t="s">
        <v>42</v>
      </c>
      <c r="PJ8" s="36" t="s">
        <v>18</v>
      </c>
      <c r="PK8" s="36" t="s">
        <v>18</v>
      </c>
      <c r="PL8" s="36" t="s">
        <v>25</v>
      </c>
      <c r="PM8" s="36" t="s">
        <v>44</v>
      </c>
      <c r="PN8" s="36" t="s">
        <v>18</v>
      </c>
      <c r="PO8" s="36" t="s">
        <v>25</v>
      </c>
      <c r="PP8" s="36" t="s">
        <v>35</v>
      </c>
      <c r="PQ8" s="36" t="s">
        <v>18</v>
      </c>
      <c r="PR8" s="36" t="s">
        <v>18</v>
      </c>
      <c r="PS8" s="36" t="s">
        <v>25</v>
      </c>
      <c r="PT8" s="36" t="s">
        <v>44</v>
      </c>
      <c r="PU8" s="36" t="s">
        <v>18</v>
      </c>
      <c r="PV8" s="36" t="s">
        <v>35</v>
      </c>
      <c r="PW8" s="36" t="s">
        <v>18</v>
      </c>
      <c r="PX8" s="36" t="s">
        <v>35</v>
      </c>
      <c r="PY8" s="36" t="s">
        <v>42</v>
      </c>
      <c r="PZ8" s="36" t="s">
        <v>42</v>
      </c>
      <c r="QA8" s="36" t="s">
        <v>35</v>
      </c>
      <c r="QB8" s="36" t="s">
        <v>44</v>
      </c>
      <c r="QC8" s="36" t="s">
        <v>18</v>
      </c>
      <c r="QD8" s="36" t="s">
        <v>18</v>
      </c>
      <c r="QE8" s="36" t="s">
        <v>42</v>
      </c>
      <c r="QF8" s="36" t="s">
        <v>35</v>
      </c>
      <c r="QG8" s="36" t="s">
        <v>18</v>
      </c>
      <c r="QH8" s="36" t="s">
        <v>18</v>
      </c>
      <c r="QI8" s="36" t="s">
        <v>44</v>
      </c>
      <c r="QJ8" s="36" t="s">
        <v>25</v>
      </c>
      <c r="QK8" s="36" t="s">
        <v>42</v>
      </c>
      <c r="QL8" s="36" t="s">
        <v>42</v>
      </c>
      <c r="QM8" s="36" t="s">
        <v>25</v>
      </c>
      <c r="QN8" s="36" t="s">
        <v>18</v>
      </c>
      <c r="QO8" s="36" t="s">
        <v>44</v>
      </c>
      <c r="QP8" s="36" t="s">
        <v>44</v>
      </c>
      <c r="QQ8" s="36" t="s">
        <v>42</v>
      </c>
      <c r="QR8" s="36" t="s">
        <v>44</v>
      </c>
      <c r="QS8" s="36" t="s">
        <v>25</v>
      </c>
      <c r="QT8" s="36" t="s">
        <v>18</v>
      </c>
      <c r="QU8" s="36" t="s">
        <v>25</v>
      </c>
      <c r="QV8" s="36" t="s">
        <v>35</v>
      </c>
      <c r="QW8" s="36" t="s">
        <v>42</v>
      </c>
      <c r="QX8" s="36" t="s">
        <v>44</v>
      </c>
      <c r="QY8" s="36" t="s">
        <v>35</v>
      </c>
      <c r="QZ8" s="36" t="s">
        <v>44</v>
      </c>
      <c r="RA8" s="36" t="s">
        <v>18</v>
      </c>
      <c r="RB8" s="36" t="s">
        <v>18</v>
      </c>
      <c r="RC8" s="36" t="s">
        <v>18</v>
      </c>
      <c r="RD8" s="36" t="s">
        <v>44</v>
      </c>
      <c r="RE8" s="36" t="s">
        <v>35</v>
      </c>
      <c r="RF8" s="36" t="s">
        <v>18</v>
      </c>
      <c r="RG8" s="36" t="s">
        <v>35</v>
      </c>
      <c r="RH8" s="36" t="s">
        <v>44</v>
      </c>
      <c r="RI8" s="36" t="s">
        <v>35</v>
      </c>
      <c r="RJ8" s="36" t="s">
        <v>44</v>
      </c>
      <c r="RK8" s="36" t="s">
        <v>44</v>
      </c>
      <c r="RL8" s="36" t="s">
        <v>42</v>
      </c>
      <c r="RM8" s="36" t="s">
        <v>44</v>
      </c>
      <c r="RN8" s="36" t="s">
        <v>44</v>
      </c>
      <c r="RO8" s="36" t="s">
        <v>25</v>
      </c>
      <c r="RP8" s="36" t="s">
        <v>18</v>
      </c>
      <c r="RQ8" s="36" t="s">
        <v>42</v>
      </c>
      <c r="RR8" s="36" t="s">
        <v>42</v>
      </c>
      <c r="RS8" s="36" t="s">
        <v>42</v>
      </c>
      <c r="RT8" s="36" t="s">
        <v>25</v>
      </c>
      <c r="RU8" s="36" t="s">
        <v>44</v>
      </c>
      <c r="RV8" s="36" t="s">
        <v>18</v>
      </c>
      <c r="RW8" s="36" t="s">
        <v>35</v>
      </c>
      <c r="RX8" s="36" t="s">
        <v>44</v>
      </c>
      <c r="RY8" s="36" t="s">
        <v>25</v>
      </c>
      <c r="RZ8" s="36" t="s">
        <v>44</v>
      </c>
      <c r="SA8" s="36" t="s">
        <v>44</v>
      </c>
      <c r="SB8" s="36" t="s">
        <v>25</v>
      </c>
      <c r="SC8" s="36" t="s">
        <v>42</v>
      </c>
      <c r="SD8" s="36" t="s">
        <v>42</v>
      </c>
      <c r="SE8" s="36" t="s">
        <v>18</v>
      </c>
      <c r="SF8" s="36" t="s">
        <v>18</v>
      </c>
      <c r="SG8" s="36" t="s">
        <v>42</v>
      </c>
    </row>
    <row r="9" spans="1:501" x14ac:dyDescent="0.3">
      <c r="A9" s="38" t="s">
        <v>8</v>
      </c>
      <c r="B9" s="36" t="s">
        <v>19</v>
      </c>
      <c r="C9" s="36" t="s">
        <v>26</v>
      </c>
      <c r="D9" s="36" t="s">
        <v>31</v>
      </c>
      <c r="E9" s="36" t="s">
        <v>26</v>
      </c>
      <c r="F9" s="36" t="s">
        <v>31</v>
      </c>
      <c r="G9" s="36" t="s">
        <v>19</v>
      </c>
      <c r="H9" s="36" t="s">
        <v>31</v>
      </c>
      <c r="I9" s="36" t="s">
        <v>31</v>
      </c>
      <c r="J9" s="36" t="s">
        <v>31</v>
      </c>
      <c r="K9" s="36" t="s">
        <v>49</v>
      </c>
      <c r="L9" s="36" t="s">
        <v>49</v>
      </c>
      <c r="M9" s="36" t="s">
        <v>49</v>
      </c>
      <c r="N9" s="36" t="s">
        <v>19</v>
      </c>
      <c r="O9" s="36" t="s">
        <v>26</v>
      </c>
      <c r="P9" s="36" t="s">
        <v>52</v>
      </c>
      <c r="Q9" s="36" t="s">
        <v>31</v>
      </c>
      <c r="R9" s="36" t="s">
        <v>31</v>
      </c>
      <c r="S9" s="36" t="s">
        <v>19</v>
      </c>
      <c r="T9" s="36" t="s">
        <v>31</v>
      </c>
      <c r="U9" s="36" t="s">
        <v>49</v>
      </c>
      <c r="V9" s="36" t="s">
        <v>52</v>
      </c>
      <c r="W9" s="36" t="s">
        <v>57</v>
      </c>
      <c r="X9" s="36" t="s">
        <v>31</v>
      </c>
      <c r="Y9" s="36" t="s">
        <v>49</v>
      </c>
      <c r="Z9" s="36" t="s">
        <v>57</v>
      </c>
      <c r="AA9" s="36" t="s">
        <v>52</v>
      </c>
      <c r="AB9" s="36" t="s">
        <v>57</v>
      </c>
      <c r="AC9" s="36" t="s">
        <v>49</v>
      </c>
      <c r="AD9" s="36" t="s">
        <v>26</v>
      </c>
      <c r="AE9" s="36" t="s">
        <v>26</v>
      </c>
      <c r="AF9" s="36" t="s">
        <v>57</v>
      </c>
      <c r="AG9" s="36" t="s">
        <v>19</v>
      </c>
      <c r="AH9" s="36" t="s">
        <v>57</v>
      </c>
      <c r="AI9" s="36" t="s">
        <v>31</v>
      </c>
      <c r="AJ9" s="36" t="s">
        <v>31</v>
      </c>
      <c r="AK9" s="36" t="s">
        <v>26</v>
      </c>
      <c r="AL9" s="36" t="s">
        <v>19</v>
      </c>
      <c r="AM9" s="36" t="s">
        <v>49</v>
      </c>
      <c r="AN9" s="36" t="s">
        <v>31</v>
      </c>
      <c r="AO9" s="36" t="s">
        <v>26</v>
      </c>
      <c r="AP9" s="36" t="s">
        <v>52</v>
      </c>
      <c r="AQ9" s="36" t="s">
        <v>26</v>
      </c>
      <c r="AR9" s="36" t="s">
        <v>31</v>
      </c>
      <c r="AS9" s="36" t="s">
        <v>31</v>
      </c>
      <c r="AT9" s="36" t="s">
        <v>26</v>
      </c>
      <c r="AU9" s="36" t="s">
        <v>49</v>
      </c>
      <c r="AV9" s="36" t="s">
        <v>57</v>
      </c>
      <c r="AW9" s="36" t="s">
        <v>31</v>
      </c>
      <c r="AX9" s="36" t="s">
        <v>26</v>
      </c>
      <c r="AY9" s="36" t="s">
        <v>26</v>
      </c>
      <c r="AZ9" s="36" t="s">
        <v>19</v>
      </c>
      <c r="BA9" s="36" t="s">
        <v>57</v>
      </c>
      <c r="BB9" s="36" t="s">
        <v>52</v>
      </c>
      <c r="BC9" s="36" t="s">
        <v>49</v>
      </c>
      <c r="BD9" s="36" t="s">
        <v>52</v>
      </c>
      <c r="BE9" s="36" t="s">
        <v>57</v>
      </c>
      <c r="BF9" s="36" t="s">
        <v>57</v>
      </c>
      <c r="BG9" s="36" t="s">
        <v>57</v>
      </c>
      <c r="BH9" s="36" t="s">
        <v>52</v>
      </c>
      <c r="BI9" s="36" t="s">
        <v>57</v>
      </c>
      <c r="BJ9" s="36" t="s">
        <v>26</v>
      </c>
      <c r="BK9" s="36" t="s">
        <v>52</v>
      </c>
      <c r="BL9" s="36" t="s">
        <v>57</v>
      </c>
      <c r="BM9" s="36" t="s">
        <v>26</v>
      </c>
      <c r="BN9" s="36" t="s">
        <v>19</v>
      </c>
      <c r="BO9" s="36" t="s">
        <v>57</v>
      </c>
      <c r="BP9" s="36" t="s">
        <v>52</v>
      </c>
      <c r="BQ9" s="36" t="s">
        <v>31</v>
      </c>
      <c r="BR9" s="36" t="s">
        <v>57</v>
      </c>
      <c r="BS9" s="36" t="s">
        <v>31</v>
      </c>
      <c r="BT9" s="36" t="s">
        <v>26</v>
      </c>
      <c r="BU9" s="36" t="s">
        <v>19</v>
      </c>
      <c r="BV9" s="36" t="s">
        <v>49</v>
      </c>
      <c r="BW9" s="36" t="s">
        <v>19</v>
      </c>
      <c r="BX9" s="36" t="s">
        <v>57</v>
      </c>
      <c r="BY9" s="36" t="s">
        <v>31</v>
      </c>
      <c r="BZ9" s="36" t="s">
        <v>31</v>
      </c>
      <c r="CA9" s="36" t="s">
        <v>52</v>
      </c>
      <c r="CB9" s="36" t="s">
        <v>31</v>
      </c>
      <c r="CC9" s="36" t="s">
        <v>52</v>
      </c>
      <c r="CD9" s="36" t="s">
        <v>26</v>
      </c>
      <c r="CE9" s="36" t="s">
        <v>49</v>
      </c>
      <c r="CF9" s="36" t="s">
        <v>57</v>
      </c>
      <c r="CG9" s="36" t="s">
        <v>52</v>
      </c>
      <c r="CH9" s="36" t="s">
        <v>49</v>
      </c>
      <c r="CI9" s="36" t="s">
        <v>31</v>
      </c>
      <c r="CJ9" s="36" t="s">
        <v>31</v>
      </c>
      <c r="CK9" s="36" t="s">
        <v>49</v>
      </c>
      <c r="CL9" s="36" t="s">
        <v>31</v>
      </c>
      <c r="CM9" s="36" t="s">
        <v>26</v>
      </c>
      <c r="CN9" s="36" t="s">
        <v>26</v>
      </c>
      <c r="CO9" s="36" t="s">
        <v>49</v>
      </c>
      <c r="CP9" s="36" t="s">
        <v>52</v>
      </c>
      <c r="CQ9" s="36" t="s">
        <v>52</v>
      </c>
      <c r="CR9" s="36" t="s">
        <v>49</v>
      </c>
      <c r="CS9" s="36" t="s">
        <v>52</v>
      </c>
      <c r="CT9" s="36" t="s">
        <v>52</v>
      </c>
      <c r="CU9" s="36" t="s">
        <v>26</v>
      </c>
      <c r="CV9" s="36" t="s">
        <v>52</v>
      </c>
      <c r="CW9" s="36" t="s">
        <v>19</v>
      </c>
      <c r="CX9" s="36" t="s">
        <v>57</v>
      </c>
      <c r="CY9" s="36" t="s">
        <v>31</v>
      </c>
      <c r="CZ9" s="36" t="s">
        <v>19</v>
      </c>
      <c r="DA9" s="36" t="s">
        <v>52</v>
      </c>
      <c r="DB9" s="36" t="s">
        <v>26</v>
      </c>
      <c r="DC9" s="36" t="s">
        <v>49</v>
      </c>
      <c r="DD9" s="36" t="s">
        <v>52</v>
      </c>
      <c r="DE9" s="36" t="s">
        <v>26</v>
      </c>
      <c r="DF9" s="36" t="s">
        <v>57</v>
      </c>
      <c r="DG9" s="36" t="s">
        <v>52</v>
      </c>
      <c r="DH9" s="36" t="s">
        <v>49</v>
      </c>
      <c r="DI9" s="36" t="s">
        <v>26</v>
      </c>
      <c r="DJ9" s="36" t="s">
        <v>26</v>
      </c>
      <c r="DK9" s="36" t="s">
        <v>26</v>
      </c>
      <c r="DL9" s="36" t="s">
        <v>57</v>
      </c>
      <c r="DM9" s="36" t="s">
        <v>52</v>
      </c>
      <c r="DN9" s="36" t="s">
        <v>57</v>
      </c>
      <c r="DO9" s="36" t="s">
        <v>31</v>
      </c>
      <c r="DP9" s="36" t="s">
        <v>31</v>
      </c>
      <c r="DQ9" s="36" t="s">
        <v>52</v>
      </c>
      <c r="DR9" s="36" t="s">
        <v>57</v>
      </c>
      <c r="DS9" s="36" t="s">
        <v>49</v>
      </c>
      <c r="DT9" s="36" t="s">
        <v>26</v>
      </c>
      <c r="DU9" s="36" t="s">
        <v>26</v>
      </c>
      <c r="DV9" s="36" t="s">
        <v>52</v>
      </c>
      <c r="DW9" s="36" t="s">
        <v>31</v>
      </c>
      <c r="DX9" s="36" t="s">
        <v>31</v>
      </c>
      <c r="DY9" s="36" t="s">
        <v>26</v>
      </c>
      <c r="DZ9" s="36" t="s">
        <v>52</v>
      </c>
      <c r="EA9" s="36" t="s">
        <v>57</v>
      </c>
      <c r="EB9" s="36" t="s">
        <v>31</v>
      </c>
      <c r="EC9" s="36" t="s">
        <v>57</v>
      </c>
      <c r="ED9" s="36" t="s">
        <v>31</v>
      </c>
      <c r="EE9" s="36" t="s">
        <v>31</v>
      </c>
      <c r="EF9" s="36" t="s">
        <v>19</v>
      </c>
      <c r="EG9" s="36" t="s">
        <v>31</v>
      </c>
      <c r="EH9" s="36" t="s">
        <v>49</v>
      </c>
      <c r="EI9" s="36" t="s">
        <v>52</v>
      </c>
      <c r="EJ9" s="36" t="s">
        <v>52</v>
      </c>
      <c r="EK9" s="36" t="s">
        <v>57</v>
      </c>
      <c r="EL9" s="36" t="s">
        <v>31</v>
      </c>
      <c r="EM9" s="36" t="s">
        <v>49</v>
      </c>
      <c r="EN9" s="36" t="s">
        <v>57</v>
      </c>
      <c r="EO9" s="36" t="s">
        <v>19</v>
      </c>
      <c r="EP9" s="36" t="s">
        <v>57</v>
      </c>
      <c r="EQ9" s="36" t="s">
        <v>57</v>
      </c>
      <c r="ER9" s="36" t="s">
        <v>31</v>
      </c>
      <c r="ES9" s="36" t="s">
        <v>19</v>
      </c>
      <c r="ET9" s="36" t="s">
        <v>57</v>
      </c>
      <c r="EU9" s="36" t="s">
        <v>49</v>
      </c>
      <c r="EV9" s="36" t="s">
        <v>49</v>
      </c>
      <c r="EW9" s="36" t="s">
        <v>52</v>
      </c>
      <c r="EX9" s="36" t="s">
        <v>19</v>
      </c>
      <c r="EY9" s="36" t="s">
        <v>19</v>
      </c>
      <c r="EZ9" s="36" t="s">
        <v>52</v>
      </c>
      <c r="FA9" s="36" t="s">
        <v>57</v>
      </c>
      <c r="FB9" s="36" t="s">
        <v>19</v>
      </c>
      <c r="FC9" s="36" t="s">
        <v>49</v>
      </c>
      <c r="FD9" s="36" t="s">
        <v>49</v>
      </c>
      <c r="FE9" s="36" t="s">
        <v>31</v>
      </c>
      <c r="FF9" s="36" t="s">
        <v>19</v>
      </c>
      <c r="FG9" s="36" t="s">
        <v>57</v>
      </c>
      <c r="FH9" s="36" t="s">
        <v>52</v>
      </c>
      <c r="FI9" s="36" t="s">
        <v>52</v>
      </c>
      <c r="FJ9" s="36" t="s">
        <v>57</v>
      </c>
      <c r="FK9" s="36" t="s">
        <v>26</v>
      </c>
      <c r="FL9" s="36" t="s">
        <v>31</v>
      </c>
      <c r="FM9" s="36" t="s">
        <v>52</v>
      </c>
      <c r="FN9" s="36" t="s">
        <v>19</v>
      </c>
      <c r="FO9" s="36" t="s">
        <v>31</v>
      </c>
      <c r="FP9" s="36" t="s">
        <v>19</v>
      </c>
      <c r="FQ9" s="36" t="s">
        <v>49</v>
      </c>
      <c r="FR9" s="36" t="s">
        <v>31</v>
      </c>
      <c r="FS9" s="36" t="s">
        <v>52</v>
      </c>
      <c r="FT9" s="36" t="s">
        <v>31</v>
      </c>
      <c r="FU9" s="36" t="s">
        <v>31</v>
      </c>
      <c r="FV9" s="36" t="s">
        <v>31</v>
      </c>
      <c r="FW9" s="36" t="s">
        <v>26</v>
      </c>
      <c r="FX9" s="36" t="s">
        <v>31</v>
      </c>
      <c r="FY9" s="36" t="s">
        <v>19</v>
      </c>
      <c r="FZ9" s="36" t="s">
        <v>49</v>
      </c>
      <c r="GA9" s="36" t="s">
        <v>57</v>
      </c>
      <c r="GB9" s="36" t="s">
        <v>31</v>
      </c>
      <c r="GC9" s="36" t="s">
        <v>52</v>
      </c>
      <c r="GD9" s="36" t="s">
        <v>31</v>
      </c>
      <c r="GE9" s="36" t="s">
        <v>52</v>
      </c>
      <c r="GF9" s="36" t="s">
        <v>19</v>
      </c>
      <c r="GG9" s="36" t="s">
        <v>52</v>
      </c>
      <c r="GH9" s="36" t="s">
        <v>57</v>
      </c>
      <c r="GI9" s="36" t="s">
        <v>49</v>
      </c>
      <c r="GJ9" s="36" t="s">
        <v>52</v>
      </c>
      <c r="GK9" s="36" t="s">
        <v>52</v>
      </c>
      <c r="GL9" s="36" t="s">
        <v>49</v>
      </c>
      <c r="GM9" s="36" t="s">
        <v>57</v>
      </c>
      <c r="GN9" s="36" t="s">
        <v>31</v>
      </c>
      <c r="GO9" s="36" t="s">
        <v>52</v>
      </c>
      <c r="GP9" s="36" t="s">
        <v>49</v>
      </c>
      <c r="GQ9" s="36" t="s">
        <v>19</v>
      </c>
      <c r="GR9" s="36" t="s">
        <v>49</v>
      </c>
      <c r="GS9" s="36" t="s">
        <v>19</v>
      </c>
      <c r="GT9" s="36" t="s">
        <v>57</v>
      </c>
      <c r="GU9" s="36" t="s">
        <v>31</v>
      </c>
      <c r="GV9" s="36" t="s">
        <v>49</v>
      </c>
      <c r="GW9" s="36" t="s">
        <v>26</v>
      </c>
      <c r="GX9" s="36" t="s">
        <v>52</v>
      </c>
      <c r="GY9" s="36" t="s">
        <v>57</v>
      </c>
      <c r="GZ9" s="36" t="s">
        <v>49</v>
      </c>
      <c r="HA9" s="36" t="s">
        <v>52</v>
      </c>
      <c r="HB9" s="36" t="s">
        <v>49</v>
      </c>
      <c r="HC9" s="36" t="s">
        <v>19</v>
      </c>
      <c r="HD9" s="36" t="s">
        <v>49</v>
      </c>
      <c r="HE9" s="36" t="s">
        <v>26</v>
      </c>
      <c r="HF9" s="36" t="s">
        <v>49</v>
      </c>
      <c r="HG9" s="36" t="s">
        <v>49</v>
      </c>
      <c r="HH9" s="36" t="s">
        <v>26</v>
      </c>
      <c r="HI9" s="36" t="s">
        <v>57</v>
      </c>
      <c r="HJ9" s="36" t="s">
        <v>49</v>
      </c>
      <c r="HK9" s="36" t="s">
        <v>26</v>
      </c>
      <c r="HL9" s="36" t="s">
        <v>52</v>
      </c>
      <c r="HM9" s="36" t="s">
        <v>19</v>
      </c>
      <c r="HN9" s="36" t="s">
        <v>19</v>
      </c>
      <c r="HO9" s="36" t="s">
        <v>49</v>
      </c>
      <c r="HP9" s="36" t="s">
        <v>57</v>
      </c>
      <c r="HQ9" s="36" t="s">
        <v>57</v>
      </c>
      <c r="HR9" s="36" t="s">
        <v>52</v>
      </c>
      <c r="HS9" s="36" t="s">
        <v>49</v>
      </c>
      <c r="HT9" s="36" t="s">
        <v>19</v>
      </c>
      <c r="HU9" s="36" t="s">
        <v>57</v>
      </c>
      <c r="HV9" s="36" t="s">
        <v>49</v>
      </c>
      <c r="HW9" s="36" t="s">
        <v>57</v>
      </c>
      <c r="HX9" s="36" t="s">
        <v>26</v>
      </c>
      <c r="HY9" s="36" t="s">
        <v>57</v>
      </c>
      <c r="HZ9" s="36" t="s">
        <v>19</v>
      </c>
      <c r="IA9" s="36" t="s">
        <v>31</v>
      </c>
      <c r="IB9" s="36" t="s">
        <v>52</v>
      </c>
      <c r="IC9" s="36" t="s">
        <v>52</v>
      </c>
      <c r="ID9" s="36" t="s">
        <v>19</v>
      </c>
      <c r="IE9" s="36" t="s">
        <v>57</v>
      </c>
      <c r="IF9" s="36" t="s">
        <v>49</v>
      </c>
      <c r="IG9" s="36" t="s">
        <v>57</v>
      </c>
      <c r="IH9" s="36" t="s">
        <v>19</v>
      </c>
      <c r="II9" s="36" t="s">
        <v>52</v>
      </c>
      <c r="IJ9" s="36" t="s">
        <v>57</v>
      </c>
      <c r="IK9" s="36" t="s">
        <v>52</v>
      </c>
      <c r="IL9" s="36" t="s">
        <v>49</v>
      </c>
      <c r="IM9" s="36" t="s">
        <v>52</v>
      </c>
      <c r="IN9" s="36" t="s">
        <v>52</v>
      </c>
      <c r="IO9" s="36" t="s">
        <v>31</v>
      </c>
      <c r="IP9" s="36" t="s">
        <v>31</v>
      </c>
      <c r="IQ9" s="36" t="s">
        <v>26</v>
      </c>
      <c r="IR9" s="36" t="s">
        <v>31</v>
      </c>
      <c r="IS9" s="36" t="s">
        <v>52</v>
      </c>
      <c r="IT9" s="36" t="s">
        <v>19</v>
      </c>
      <c r="IU9" s="36" t="s">
        <v>52</v>
      </c>
      <c r="IV9" s="36" t="s">
        <v>19</v>
      </c>
      <c r="IW9" s="36" t="s">
        <v>19</v>
      </c>
      <c r="IX9" s="36" t="s">
        <v>31</v>
      </c>
      <c r="IY9" s="36" t="s">
        <v>57</v>
      </c>
      <c r="IZ9" s="36" t="s">
        <v>49</v>
      </c>
      <c r="JA9" s="36" t="s">
        <v>31</v>
      </c>
      <c r="JB9" s="36" t="s">
        <v>31</v>
      </c>
      <c r="JC9" s="36" t="s">
        <v>57</v>
      </c>
      <c r="JD9" s="36" t="s">
        <v>49</v>
      </c>
      <c r="JE9" s="36" t="s">
        <v>52</v>
      </c>
      <c r="JF9" s="36" t="s">
        <v>26</v>
      </c>
      <c r="JG9" s="36" t="s">
        <v>26</v>
      </c>
      <c r="JH9" s="36" t="s">
        <v>52</v>
      </c>
      <c r="JI9" s="36" t="s">
        <v>31</v>
      </c>
      <c r="JJ9" s="36" t="s">
        <v>49</v>
      </c>
      <c r="JK9" s="36" t="s">
        <v>31</v>
      </c>
      <c r="JL9" s="36" t="s">
        <v>19</v>
      </c>
      <c r="JM9" s="36" t="s">
        <v>31</v>
      </c>
      <c r="JN9" s="36" t="s">
        <v>31</v>
      </c>
      <c r="JO9" s="36" t="s">
        <v>52</v>
      </c>
      <c r="JP9" s="36" t="s">
        <v>52</v>
      </c>
      <c r="JQ9" s="36" t="s">
        <v>52</v>
      </c>
      <c r="JR9" s="36" t="s">
        <v>26</v>
      </c>
      <c r="JS9" s="36" t="s">
        <v>19</v>
      </c>
      <c r="JT9" s="36" t="s">
        <v>52</v>
      </c>
      <c r="JU9" s="36" t="s">
        <v>49</v>
      </c>
      <c r="JV9" s="36" t="s">
        <v>26</v>
      </c>
      <c r="JW9" s="36" t="s">
        <v>57</v>
      </c>
      <c r="JX9" s="36" t="s">
        <v>49</v>
      </c>
      <c r="JY9" s="36" t="s">
        <v>49</v>
      </c>
      <c r="JZ9" s="36" t="s">
        <v>52</v>
      </c>
      <c r="KA9" s="36" t="s">
        <v>57</v>
      </c>
      <c r="KB9" s="36" t="s">
        <v>57</v>
      </c>
      <c r="KC9" s="36" t="s">
        <v>26</v>
      </c>
      <c r="KD9" s="36" t="s">
        <v>57</v>
      </c>
      <c r="KE9" s="36" t="s">
        <v>19</v>
      </c>
      <c r="KF9" s="36" t="s">
        <v>52</v>
      </c>
      <c r="KG9" s="36" t="s">
        <v>57</v>
      </c>
      <c r="KH9" s="36" t="s">
        <v>26</v>
      </c>
      <c r="KI9" s="36" t="s">
        <v>19</v>
      </c>
      <c r="KJ9" s="36" t="s">
        <v>31</v>
      </c>
      <c r="KK9" s="36" t="s">
        <v>31</v>
      </c>
      <c r="KL9" s="36" t="s">
        <v>19</v>
      </c>
      <c r="KM9" s="36" t="s">
        <v>26</v>
      </c>
      <c r="KN9" s="36" t="s">
        <v>19</v>
      </c>
      <c r="KO9" s="36" t="s">
        <v>52</v>
      </c>
      <c r="KP9" s="36" t="s">
        <v>52</v>
      </c>
      <c r="KQ9" s="36" t="s">
        <v>31</v>
      </c>
      <c r="KR9" s="36" t="s">
        <v>57</v>
      </c>
      <c r="KS9" s="36" t="s">
        <v>26</v>
      </c>
      <c r="KT9" s="36" t="s">
        <v>31</v>
      </c>
      <c r="KU9" s="36" t="s">
        <v>57</v>
      </c>
      <c r="KV9" s="36" t="s">
        <v>57</v>
      </c>
      <c r="KW9" s="36" t="s">
        <v>52</v>
      </c>
      <c r="KX9" s="36" t="s">
        <v>49</v>
      </c>
      <c r="KY9" s="36" t="s">
        <v>49</v>
      </c>
      <c r="KZ9" s="36" t="s">
        <v>19</v>
      </c>
      <c r="LA9" s="36" t="s">
        <v>52</v>
      </c>
      <c r="LB9" s="36" t="s">
        <v>57</v>
      </c>
      <c r="LC9" s="36" t="s">
        <v>26</v>
      </c>
      <c r="LD9" s="36" t="s">
        <v>49</v>
      </c>
      <c r="LE9" s="36" t="s">
        <v>57</v>
      </c>
      <c r="LF9" s="36" t="s">
        <v>49</v>
      </c>
      <c r="LG9" s="36" t="s">
        <v>49</v>
      </c>
      <c r="LH9" s="36" t="s">
        <v>49</v>
      </c>
      <c r="LI9" s="36" t="s">
        <v>26</v>
      </c>
      <c r="LJ9" s="36" t="s">
        <v>52</v>
      </c>
      <c r="LK9" s="36" t="s">
        <v>26</v>
      </c>
      <c r="LL9" s="36" t="s">
        <v>31</v>
      </c>
      <c r="LM9" s="36" t="s">
        <v>57</v>
      </c>
      <c r="LN9" s="36" t="s">
        <v>52</v>
      </c>
      <c r="LO9" s="36" t="s">
        <v>52</v>
      </c>
      <c r="LP9" s="36" t="s">
        <v>52</v>
      </c>
      <c r="LQ9" s="36" t="s">
        <v>52</v>
      </c>
      <c r="LR9" s="36" t="s">
        <v>26</v>
      </c>
      <c r="LS9" s="36" t="s">
        <v>52</v>
      </c>
      <c r="LT9" s="36" t="s">
        <v>19</v>
      </c>
      <c r="LU9" s="36" t="s">
        <v>57</v>
      </c>
      <c r="LV9" s="36" t="s">
        <v>52</v>
      </c>
      <c r="LW9" s="36" t="s">
        <v>57</v>
      </c>
      <c r="LX9" s="36" t="s">
        <v>19</v>
      </c>
      <c r="LY9" s="36" t="s">
        <v>19</v>
      </c>
      <c r="LZ9" s="36" t="s">
        <v>57</v>
      </c>
      <c r="MA9" s="36" t="s">
        <v>49</v>
      </c>
      <c r="MB9" s="36" t="s">
        <v>31</v>
      </c>
      <c r="MC9" s="36" t="s">
        <v>49</v>
      </c>
      <c r="MD9" s="36" t="s">
        <v>49</v>
      </c>
      <c r="ME9" s="36" t="s">
        <v>26</v>
      </c>
      <c r="MF9" s="36" t="s">
        <v>49</v>
      </c>
      <c r="MG9" s="36" t="s">
        <v>52</v>
      </c>
      <c r="MH9" s="36" t="s">
        <v>26</v>
      </c>
      <c r="MI9" s="36" t="s">
        <v>26</v>
      </c>
      <c r="MJ9" s="36" t="s">
        <v>19</v>
      </c>
      <c r="MK9" s="36" t="s">
        <v>49</v>
      </c>
      <c r="ML9" s="36" t="s">
        <v>19</v>
      </c>
      <c r="MM9" s="36" t="s">
        <v>57</v>
      </c>
      <c r="MN9" s="36" t="s">
        <v>31</v>
      </c>
      <c r="MO9" s="36" t="s">
        <v>26</v>
      </c>
      <c r="MP9" s="36" t="s">
        <v>57</v>
      </c>
      <c r="MQ9" s="36" t="s">
        <v>57</v>
      </c>
      <c r="MR9" s="36" t="s">
        <v>52</v>
      </c>
      <c r="MS9" s="36" t="s">
        <v>31</v>
      </c>
      <c r="MT9" s="36" t="s">
        <v>57</v>
      </c>
      <c r="MU9" s="36" t="s">
        <v>57</v>
      </c>
      <c r="MV9" s="36" t="s">
        <v>31</v>
      </c>
      <c r="MW9" s="36" t="s">
        <v>31</v>
      </c>
      <c r="MX9" s="36" t="s">
        <v>57</v>
      </c>
      <c r="MY9" s="36" t="s">
        <v>31</v>
      </c>
      <c r="MZ9" s="36" t="s">
        <v>57</v>
      </c>
      <c r="NA9" s="36" t="s">
        <v>57</v>
      </c>
      <c r="NB9" s="36" t="s">
        <v>52</v>
      </c>
      <c r="NC9" s="36" t="s">
        <v>49</v>
      </c>
      <c r="ND9" s="36" t="s">
        <v>57</v>
      </c>
      <c r="NE9" s="36" t="s">
        <v>19</v>
      </c>
      <c r="NF9" s="36" t="s">
        <v>26</v>
      </c>
      <c r="NG9" s="36" t="s">
        <v>49</v>
      </c>
      <c r="NH9" s="36" t="s">
        <v>49</v>
      </c>
      <c r="NI9" s="36" t="s">
        <v>49</v>
      </c>
      <c r="NJ9" s="36" t="s">
        <v>52</v>
      </c>
      <c r="NK9" s="36" t="s">
        <v>57</v>
      </c>
      <c r="NL9" s="36" t="s">
        <v>52</v>
      </c>
      <c r="NM9" s="36" t="s">
        <v>57</v>
      </c>
      <c r="NN9" s="36" t="s">
        <v>52</v>
      </c>
      <c r="NO9" s="36" t="s">
        <v>52</v>
      </c>
      <c r="NP9" s="36" t="s">
        <v>26</v>
      </c>
      <c r="NQ9" s="36" t="s">
        <v>19</v>
      </c>
      <c r="NR9" s="36" t="s">
        <v>52</v>
      </c>
      <c r="NS9" s="36" t="s">
        <v>26</v>
      </c>
      <c r="NT9" s="36" t="s">
        <v>31</v>
      </c>
      <c r="NU9" s="36" t="s">
        <v>19</v>
      </c>
      <c r="NV9" s="36" t="s">
        <v>52</v>
      </c>
      <c r="NW9" s="36" t="s">
        <v>49</v>
      </c>
      <c r="NX9" s="36" t="s">
        <v>31</v>
      </c>
      <c r="NY9" s="36" t="s">
        <v>31</v>
      </c>
      <c r="NZ9" s="36" t="s">
        <v>26</v>
      </c>
      <c r="OA9" s="36" t="s">
        <v>31</v>
      </c>
      <c r="OB9" s="36" t="s">
        <v>19</v>
      </c>
      <c r="OC9" s="36" t="s">
        <v>52</v>
      </c>
      <c r="OD9" s="36" t="s">
        <v>52</v>
      </c>
      <c r="OE9" s="36" t="s">
        <v>49</v>
      </c>
      <c r="OF9" s="36" t="s">
        <v>26</v>
      </c>
      <c r="OG9" s="36" t="s">
        <v>49</v>
      </c>
      <c r="OH9" s="36" t="s">
        <v>31</v>
      </c>
      <c r="OI9" s="36" t="s">
        <v>49</v>
      </c>
      <c r="OJ9" s="36" t="s">
        <v>19</v>
      </c>
      <c r="OK9" s="36" t="s">
        <v>52</v>
      </c>
      <c r="OL9" s="36" t="s">
        <v>31</v>
      </c>
      <c r="OM9" s="36" t="s">
        <v>49</v>
      </c>
      <c r="ON9" s="36" t="s">
        <v>26</v>
      </c>
      <c r="OO9" s="36" t="s">
        <v>19</v>
      </c>
      <c r="OP9" s="36" t="s">
        <v>19</v>
      </c>
      <c r="OQ9" s="36" t="s">
        <v>49</v>
      </c>
      <c r="OR9" s="36" t="s">
        <v>52</v>
      </c>
      <c r="OS9" s="36" t="s">
        <v>49</v>
      </c>
      <c r="OT9" s="36" t="s">
        <v>31</v>
      </c>
      <c r="OU9" s="36" t="s">
        <v>49</v>
      </c>
      <c r="OV9" s="36" t="s">
        <v>19</v>
      </c>
      <c r="OW9" s="36" t="s">
        <v>49</v>
      </c>
      <c r="OX9" s="36" t="s">
        <v>52</v>
      </c>
      <c r="OY9" s="36" t="s">
        <v>26</v>
      </c>
      <c r="OZ9" s="36" t="s">
        <v>57</v>
      </c>
      <c r="PA9" s="36" t="s">
        <v>49</v>
      </c>
      <c r="PB9" s="36" t="s">
        <v>52</v>
      </c>
      <c r="PC9" s="36" t="s">
        <v>52</v>
      </c>
      <c r="PD9" s="36" t="s">
        <v>26</v>
      </c>
      <c r="PE9" s="36" t="s">
        <v>19</v>
      </c>
      <c r="PF9" s="36" t="s">
        <v>52</v>
      </c>
      <c r="PG9" s="36" t="s">
        <v>52</v>
      </c>
      <c r="PH9" s="36" t="s">
        <v>52</v>
      </c>
      <c r="PI9" s="36" t="s">
        <v>52</v>
      </c>
      <c r="PJ9" s="36" t="s">
        <v>31</v>
      </c>
      <c r="PK9" s="36" t="s">
        <v>31</v>
      </c>
      <c r="PL9" s="36" t="s">
        <v>19</v>
      </c>
      <c r="PM9" s="36" t="s">
        <v>49</v>
      </c>
      <c r="PN9" s="36" t="s">
        <v>52</v>
      </c>
      <c r="PO9" s="36" t="s">
        <v>26</v>
      </c>
      <c r="PP9" s="36" t="s">
        <v>49</v>
      </c>
      <c r="PQ9" s="36" t="s">
        <v>26</v>
      </c>
      <c r="PR9" s="36" t="s">
        <v>49</v>
      </c>
      <c r="PS9" s="36" t="s">
        <v>19</v>
      </c>
      <c r="PT9" s="36" t="s">
        <v>52</v>
      </c>
      <c r="PU9" s="36" t="s">
        <v>52</v>
      </c>
      <c r="PV9" s="36" t="s">
        <v>57</v>
      </c>
      <c r="PW9" s="36" t="s">
        <v>26</v>
      </c>
      <c r="PX9" s="36" t="s">
        <v>49</v>
      </c>
      <c r="PY9" s="36" t="s">
        <v>49</v>
      </c>
      <c r="PZ9" s="36" t="s">
        <v>31</v>
      </c>
      <c r="QA9" s="36" t="s">
        <v>57</v>
      </c>
      <c r="QB9" s="36" t="s">
        <v>31</v>
      </c>
      <c r="QC9" s="36" t="s">
        <v>31</v>
      </c>
      <c r="QD9" s="36" t="s">
        <v>31</v>
      </c>
      <c r="QE9" s="36" t="s">
        <v>26</v>
      </c>
      <c r="QF9" s="36" t="s">
        <v>26</v>
      </c>
      <c r="QG9" s="36" t="s">
        <v>19</v>
      </c>
      <c r="QH9" s="36" t="s">
        <v>19</v>
      </c>
      <c r="QI9" s="36" t="s">
        <v>31</v>
      </c>
      <c r="QJ9" s="36" t="s">
        <v>57</v>
      </c>
      <c r="QK9" s="36" t="s">
        <v>49</v>
      </c>
      <c r="QL9" s="36" t="s">
        <v>26</v>
      </c>
      <c r="QM9" s="36" t="s">
        <v>57</v>
      </c>
      <c r="QN9" s="36" t="s">
        <v>52</v>
      </c>
      <c r="QO9" s="36" t="s">
        <v>26</v>
      </c>
      <c r="QP9" s="36" t="s">
        <v>26</v>
      </c>
      <c r="QQ9" s="36" t="s">
        <v>19</v>
      </c>
      <c r="QR9" s="36" t="s">
        <v>49</v>
      </c>
      <c r="QS9" s="36" t="s">
        <v>49</v>
      </c>
      <c r="QT9" s="36" t="s">
        <v>52</v>
      </c>
      <c r="QU9" s="36" t="s">
        <v>52</v>
      </c>
      <c r="QV9" s="36" t="s">
        <v>26</v>
      </c>
      <c r="QW9" s="36" t="s">
        <v>31</v>
      </c>
      <c r="QX9" s="36" t="s">
        <v>19</v>
      </c>
      <c r="QY9" s="36" t="s">
        <v>19</v>
      </c>
      <c r="QZ9" s="36" t="s">
        <v>26</v>
      </c>
      <c r="RA9" s="36" t="s">
        <v>57</v>
      </c>
      <c r="RB9" s="36" t="s">
        <v>31</v>
      </c>
      <c r="RC9" s="36" t="s">
        <v>26</v>
      </c>
      <c r="RD9" s="36" t="s">
        <v>31</v>
      </c>
      <c r="RE9" s="36" t="s">
        <v>31</v>
      </c>
      <c r="RF9" s="36" t="s">
        <v>31</v>
      </c>
      <c r="RG9" s="36" t="s">
        <v>26</v>
      </c>
      <c r="RH9" s="36" t="s">
        <v>19</v>
      </c>
      <c r="RI9" s="36" t="s">
        <v>19</v>
      </c>
      <c r="RJ9" s="36" t="s">
        <v>31</v>
      </c>
      <c r="RK9" s="36" t="s">
        <v>57</v>
      </c>
      <c r="RL9" s="36" t="s">
        <v>49</v>
      </c>
      <c r="RM9" s="36" t="s">
        <v>26</v>
      </c>
      <c r="RN9" s="36" t="s">
        <v>49</v>
      </c>
      <c r="RO9" s="36" t="s">
        <v>57</v>
      </c>
      <c r="RP9" s="36" t="s">
        <v>26</v>
      </c>
      <c r="RQ9" s="36" t="s">
        <v>31</v>
      </c>
      <c r="RR9" s="36" t="s">
        <v>19</v>
      </c>
      <c r="RS9" s="36" t="s">
        <v>49</v>
      </c>
      <c r="RT9" s="36" t="s">
        <v>52</v>
      </c>
      <c r="RU9" s="36" t="s">
        <v>52</v>
      </c>
      <c r="RV9" s="36" t="s">
        <v>57</v>
      </c>
      <c r="RW9" s="36" t="s">
        <v>31</v>
      </c>
      <c r="RX9" s="36" t="s">
        <v>49</v>
      </c>
      <c r="RY9" s="36" t="s">
        <v>31</v>
      </c>
      <c r="RZ9" s="36" t="s">
        <v>49</v>
      </c>
      <c r="SA9" s="36" t="s">
        <v>57</v>
      </c>
      <c r="SB9" s="36" t="s">
        <v>57</v>
      </c>
      <c r="SC9" s="36" t="s">
        <v>52</v>
      </c>
      <c r="SD9" s="36" t="s">
        <v>31</v>
      </c>
      <c r="SE9" s="36" t="s">
        <v>26</v>
      </c>
      <c r="SF9" s="36" t="s">
        <v>52</v>
      </c>
      <c r="SG9" s="36" t="s">
        <v>31</v>
      </c>
    </row>
    <row r="10" spans="1:501" x14ac:dyDescent="0.3">
      <c r="A10" s="38" t="s">
        <v>9</v>
      </c>
      <c r="B10" s="36" t="s">
        <v>20</v>
      </c>
      <c r="C10" s="36" t="s">
        <v>27</v>
      </c>
      <c r="D10" s="36" t="s">
        <v>32</v>
      </c>
      <c r="E10" s="36" t="s">
        <v>36</v>
      </c>
      <c r="F10" s="36" t="s">
        <v>39</v>
      </c>
      <c r="G10" s="36" t="s">
        <v>43</v>
      </c>
      <c r="H10" s="36" t="s">
        <v>32</v>
      </c>
      <c r="I10" s="36" t="s">
        <v>32</v>
      </c>
      <c r="J10" s="36" t="s">
        <v>48</v>
      </c>
      <c r="K10" s="36" t="s">
        <v>50</v>
      </c>
      <c r="L10" s="36" t="s">
        <v>50</v>
      </c>
      <c r="M10" s="36" t="s">
        <v>51</v>
      </c>
      <c r="N10" s="36" t="s">
        <v>43</v>
      </c>
      <c r="O10" s="36" t="s">
        <v>36</v>
      </c>
      <c r="P10" s="36" t="s">
        <v>53</v>
      </c>
      <c r="Q10" s="36" t="s">
        <v>39</v>
      </c>
      <c r="R10" s="36" t="s">
        <v>39</v>
      </c>
      <c r="S10" s="36" t="s">
        <v>55</v>
      </c>
      <c r="T10" s="36" t="s">
        <v>39</v>
      </c>
      <c r="U10" s="36" t="s">
        <v>51</v>
      </c>
      <c r="V10" s="36" t="s">
        <v>56</v>
      </c>
      <c r="W10" s="36" t="s">
        <v>58</v>
      </c>
      <c r="X10" s="36" t="s">
        <v>32</v>
      </c>
      <c r="Y10" s="36" t="s">
        <v>51</v>
      </c>
      <c r="Z10" s="36" t="s">
        <v>59</v>
      </c>
      <c r="AA10" s="36" t="s">
        <v>60</v>
      </c>
      <c r="AB10" s="36" t="s">
        <v>58</v>
      </c>
      <c r="AC10" s="36" t="s">
        <v>51</v>
      </c>
      <c r="AD10" s="36" t="s">
        <v>27</v>
      </c>
      <c r="AE10" s="36" t="s">
        <v>61</v>
      </c>
      <c r="AF10" s="36" t="s">
        <v>62</v>
      </c>
      <c r="AG10" s="36" t="s">
        <v>43</v>
      </c>
      <c r="AH10" s="36" t="s">
        <v>59</v>
      </c>
      <c r="AI10" s="36" t="s">
        <v>48</v>
      </c>
      <c r="AJ10" s="36" t="s">
        <v>48</v>
      </c>
      <c r="AK10" s="36" t="s">
        <v>27</v>
      </c>
      <c r="AL10" s="36" t="s">
        <v>55</v>
      </c>
      <c r="AM10" s="36" t="s">
        <v>63</v>
      </c>
      <c r="AN10" s="36" t="s">
        <v>48</v>
      </c>
      <c r="AO10" s="36" t="s">
        <v>27</v>
      </c>
      <c r="AP10" s="36" t="s">
        <v>64</v>
      </c>
      <c r="AQ10" s="36" t="s">
        <v>27</v>
      </c>
      <c r="AR10" s="36" t="s">
        <v>48</v>
      </c>
      <c r="AS10" s="36" t="s">
        <v>48</v>
      </c>
      <c r="AT10" s="36" t="s">
        <v>61</v>
      </c>
      <c r="AU10" s="36" t="s">
        <v>51</v>
      </c>
      <c r="AV10" s="36" t="s">
        <v>62</v>
      </c>
      <c r="AW10" s="36" t="s">
        <v>65</v>
      </c>
      <c r="AX10" s="36" t="s">
        <v>27</v>
      </c>
      <c r="AY10" s="36" t="s">
        <v>61</v>
      </c>
      <c r="AZ10" s="36" t="s">
        <v>66</v>
      </c>
      <c r="BA10" s="36" t="s">
        <v>62</v>
      </c>
      <c r="BB10" s="36" t="s">
        <v>64</v>
      </c>
      <c r="BC10" s="36" t="s">
        <v>50</v>
      </c>
      <c r="BD10" s="36" t="s">
        <v>64</v>
      </c>
      <c r="BE10" s="36" t="s">
        <v>62</v>
      </c>
      <c r="BF10" s="36" t="s">
        <v>58</v>
      </c>
      <c r="BG10" s="36" t="s">
        <v>59</v>
      </c>
      <c r="BH10" s="36" t="s">
        <v>64</v>
      </c>
      <c r="BI10" s="36" t="s">
        <v>62</v>
      </c>
      <c r="BJ10" s="36" t="s">
        <v>36</v>
      </c>
      <c r="BK10" s="36" t="s">
        <v>56</v>
      </c>
      <c r="BL10" s="36" t="s">
        <v>62</v>
      </c>
      <c r="BM10" s="36" t="s">
        <v>36</v>
      </c>
      <c r="BN10" s="36" t="s">
        <v>43</v>
      </c>
      <c r="BO10" s="36" t="s">
        <v>67</v>
      </c>
      <c r="BP10" s="36" t="s">
        <v>64</v>
      </c>
      <c r="BQ10" s="36" t="s">
        <v>48</v>
      </c>
      <c r="BR10" s="36" t="s">
        <v>62</v>
      </c>
      <c r="BS10" s="36" t="s">
        <v>39</v>
      </c>
      <c r="BT10" s="36" t="s">
        <v>61</v>
      </c>
      <c r="BU10" s="36" t="s">
        <v>55</v>
      </c>
      <c r="BV10" s="36" t="s">
        <v>68</v>
      </c>
      <c r="BW10" s="36" t="s">
        <v>43</v>
      </c>
      <c r="BX10" s="36" t="s">
        <v>58</v>
      </c>
      <c r="BY10" s="36" t="s">
        <v>39</v>
      </c>
      <c r="BZ10" s="36" t="s">
        <v>32</v>
      </c>
      <c r="CA10" s="36" t="s">
        <v>60</v>
      </c>
      <c r="CB10" s="36" t="s">
        <v>32</v>
      </c>
      <c r="CC10" s="36" t="s">
        <v>56</v>
      </c>
      <c r="CD10" s="36" t="s">
        <v>27</v>
      </c>
      <c r="CE10" s="36" t="s">
        <v>63</v>
      </c>
      <c r="CF10" s="36" t="s">
        <v>62</v>
      </c>
      <c r="CG10" s="36" t="s">
        <v>56</v>
      </c>
      <c r="CH10" s="36" t="s">
        <v>50</v>
      </c>
      <c r="CI10" s="36" t="s">
        <v>65</v>
      </c>
      <c r="CJ10" s="36" t="s">
        <v>39</v>
      </c>
      <c r="CK10" s="36" t="s">
        <v>63</v>
      </c>
      <c r="CL10" s="36" t="s">
        <v>48</v>
      </c>
      <c r="CM10" s="36" t="s">
        <v>27</v>
      </c>
      <c r="CN10" s="36" t="s">
        <v>27</v>
      </c>
      <c r="CO10" s="36" t="s">
        <v>50</v>
      </c>
      <c r="CP10" s="36" t="s">
        <v>56</v>
      </c>
      <c r="CQ10" s="36" t="s">
        <v>60</v>
      </c>
      <c r="CR10" s="36" t="s">
        <v>50</v>
      </c>
      <c r="CS10" s="36" t="s">
        <v>60</v>
      </c>
      <c r="CT10" s="36" t="s">
        <v>60</v>
      </c>
      <c r="CU10" s="36" t="s">
        <v>36</v>
      </c>
      <c r="CV10" s="36" t="s">
        <v>53</v>
      </c>
      <c r="CW10" s="36" t="s">
        <v>43</v>
      </c>
      <c r="CX10" s="36" t="s">
        <v>59</v>
      </c>
      <c r="CY10" s="36" t="s">
        <v>39</v>
      </c>
      <c r="CZ10" s="36" t="s">
        <v>20</v>
      </c>
      <c r="DA10" s="36" t="s">
        <v>53</v>
      </c>
      <c r="DB10" s="36" t="s">
        <v>27</v>
      </c>
      <c r="DC10" s="36" t="s">
        <v>63</v>
      </c>
      <c r="DD10" s="36" t="s">
        <v>60</v>
      </c>
      <c r="DE10" s="36" t="s">
        <v>36</v>
      </c>
      <c r="DF10" s="36" t="s">
        <v>59</v>
      </c>
      <c r="DG10" s="36" t="s">
        <v>56</v>
      </c>
      <c r="DH10" s="36" t="s">
        <v>68</v>
      </c>
      <c r="DI10" s="36" t="s">
        <v>36</v>
      </c>
      <c r="DJ10" s="36" t="s">
        <v>61</v>
      </c>
      <c r="DK10" s="36" t="s">
        <v>69</v>
      </c>
      <c r="DL10" s="36" t="s">
        <v>62</v>
      </c>
      <c r="DM10" s="36" t="s">
        <v>60</v>
      </c>
      <c r="DN10" s="36" t="s">
        <v>58</v>
      </c>
      <c r="DO10" s="36" t="s">
        <v>48</v>
      </c>
      <c r="DP10" s="36" t="s">
        <v>32</v>
      </c>
      <c r="DQ10" s="36" t="s">
        <v>53</v>
      </c>
      <c r="DR10" s="36" t="s">
        <v>62</v>
      </c>
      <c r="DS10" s="36" t="s">
        <v>63</v>
      </c>
      <c r="DT10" s="36" t="s">
        <v>69</v>
      </c>
      <c r="DU10" s="36" t="s">
        <v>61</v>
      </c>
      <c r="DV10" s="36" t="s">
        <v>64</v>
      </c>
      <c r="DW10" s="36" t="s">
        <v>48</v>
      </c>
      <c r="DX10" s="36" t="s">
        <v>39</v>
      </c>
      <c r="DY10" s="36" t="s">
        <v>61</v>
      </c>
      <c r="DZ10" s="36" t="s">
        <v>56</v>
      </c>
      <c r="EA10" s="36" t="s">
        <v>62</v>
      </c>
      <c r="EB10" s="36" t="s">
        <v>32</v>
      </c>
      <c r="EC10" s="36" t="s">
        <v>58</v>
      </c>
      <c r="ED10" s="36" t="s">
        <v>48</v>
      </c>
      <c r="EE10" s="36" t="s">
        <v>65</v>
      </c>
      <c r="EF10" s="36" t="s">
        <v>43</v>
      </c>
      <c r="EG10" s="36" t="s">
        <v>39</v>
      </c>
      <c r="EH10" s="36" t="s">
        <v>50</v>
      </c>
      <c r="EI10" s="36" t="s">
        <v>53</v>
      </c>
      <c r="EJ10" s="36" t="s">
        <v>53</v>
      </c>
      <c r="EK10" s="36" t="s">
        <v>59</v>
      </c>
      <c r="EL10" s="36" t="s">
        <v>39</v>
      </c>
      <c r="EM10" s="36" t="s">
        <v>51</v>
      </c>
      <c r="EN10" s="36" t="s">
        <v>58</v>
      </c>
      <c r="EO10" s="36" t="s">
        <v>55</v>
      </c>
      <c r="EP10" s="36" t="s">
        <v>59</v>
      </c>
      <c r="EQ10" s="36" t="s">
        <v>62</v>
      </c>
      <c r="ER10" s="36" t="s">
        <v>48</v>
      </c>
      <c r="ES10" s="36" t="s">
        <v>20</v>
      </c>
      <c r="ET10" s="36" t="s">
        <v>62</v>
      </c>
      <c r="EU10" s="36" t="s">
        <v>51</v>
      </c>
      <c r="EV10" s="36" t="s">
        <v>63</v>
      </c>
      <c r="EW10" s="36" t="s">
        <v>56</v>
      </c>
      <c r="EX10" s="36" t="s">
        <v>66</v>
      </c>
      <c r="EY10" s="36" t="s">
        <v>43</v>
      </c>
      <c r="EZ10" s="36" t="s">
        <v>56</v>
      </c>
      <c r="FA10" s="36" t="s">
        <v>59</v>
      </c>
      <c r="FB10" s="36" t="s">
        <v>20</v>
      </c>
      <c r="FC10" s="36" t="s">
        <v>63</v>
      </c>
      <c r="FD10" s="36" t="s">
        <v>68</v>
      </c>
      <c r="FE10" s="36" t="s">
        <v>48</v>
      </c>
      <c r="FF10" s="36" t="s">
        <v>20</v>
      </c>
      <c r="FG10" s="36" t="s">
        <v>58</v>
      </c>
      <c r="FH10" s="36" t="s">
        <v>53</v>
      </c>
      <c r="FI10" s="36" t="s">
        <v>64</v>
      </c>
      <c r="FJ10" s="36" t="s">
        <v>62</v>
      </c>
      <c r="FK10" s="36" t="s">
        <v>27</v>
      </c>
      <c r="FL10" s="36" t="s">
        <v>32</v>
      </c>
      <c r="FM10" s="36" t="s">
        <v>56</v>
      </c>
      <c r="FN10" s="36" t="s">
        <v>55</v>
      </c>
      <c r="FO10" s="36" t="s">
        <v>65</v>
      </c>
      <c r="FP10" s="36" t="s">
        <v>43</v>
      </c>
      <c r="FQ10" s="36" t="s">
        <v>63</v>
      </c>
      <c r="FR10" s="36" t="s">
        <v>65</v>
      </c>
      <c r="FS10" s="36" t="s">
        <v>53</v>
      </c>
      <c r="FT10" s="36" t="s">
        <v>32</v>
      </c>
      <c r="FU10" s="36" t="s">
        <v>39</v>
      </c>
      <c r="FV10" s="36" t="s">
        <v>32</v>
      </c>
      <c r="FW10" s="36" t="s">
        <v>61</v>
      </c>
      <c r="FX10" s="36" t="s">
        <v>32</v>
      </c>
      <c r="FY10" s="36" t="s">
        <v>43</v>
      </c>
      <c r="FZ10" s="36" t="s">
        <v>50</v>
      </c>
      <c r="GA10" s="36" t="s">
        <v>59</v>
      </c>
      <c r="GB10" s="36" t="s">
        <v>39</v>
      </c>
      <c r="GC10" s="36" t="s">
        <v>64</v>
      </c>
      <c r="GD10" s="36" t="s">
        <v>39</v>
      </c>
      <c r="GE10" s="36" t="s">
        <v>56</v>
      </c>
      <c r="GF10" s="36" t="s">
        <v>43</v>
      </c>
      <c r="GG10" s="36" t="s">
        <v>53</v>
      </c>
      <c r="GH10" s="36" t="s">
        <v>62</v>
      </c>
      <c r="GI10" s="36" t="s">
        <v>51</v>
      </c>
      <c r="GJ10" s="36" t="s">
        <v>56</v>
      </c>
      <c r="GK10" s="36" t="s">
        <v>60</v>
      </c>
      <c r="GL10" s="36" t="s">
        <v>51</v>
      </c>
      <c r="GM10" s="36" t="s">
        <v>59</v>
      </c>
      <c r="GN10" s="36" t="s">
        <v>65</v>
      </c>
      <c r="GO10" s="36" t="s">
        <v>53</v>
      </c>
      <c r="GP10" s="36" t="s">
        <v>68</v>
      </c>
      <c r="GQ10" s="36" t="s">
        <v>66</v>
      </c>
      <c r="GR10" s="36" t="s">
        <v>51</v>
      </c>
      <c r="GS10" s="36" t="s">
        <v>66</v>
      </c>
      <c r="GT10" s="36" t="s">
        <v>59</v>
      </c>
      <c r="GU10" s="36" t="s">
        <v>65</v>
      </c>
      <c r="GV10" s="36" t="s">
        <v>68</v>
      </c>
      <c r="GW10" s="36" t="s">
        <v>27</v>
      </c>
      <c r="GX10" s="36" t="s">
        <v>60</v>
      </c>
      <c r="GY10" s="36" t="s">
        <v>59</v>
      </c>
      <c r="GZ10" s="36" t="s">
        <v>51</v>
      </c>
      <c r="HA10" s="36" t="s">
        <v>53</v>
      </c>
      <c r="HB10" s="36" t="s">
        <v>50</v>
      </c>
      <c r="HC10" s="36" t="s">
        <v>20</v>
      </c>
      <c r="HD10" s="36" t="s">
        <v>51</v>
      </c>
      <c r="HE10" s="36" t="s">
        <v>61</v>
      </c>
      <c r="HF10" s="36" t="s">
        <v>63</v>
      </c>
      <c r="HG10" s="36" t="s">
        <v>63</v>
      </c>
      <c r="HH10" s="36" t="s">
        <v>27</v>
      </c>
      <c r="HI10" s="36" t="s">
        <v>67</v>
      </c>
      <c r="HJ10" s="36" t="s">
        <v>50</v>
      </c>
      <c r="HK10" s="36" t="s">
        <v>69</v>
      </c>
      <c r="HL10" s="36" t="s">
        <v>64</v>
      </c>
      <c r="HM10" s="36" t="s">
        <v>55</v>
      </c>
      <c r="HN10" s="36" t="s">
        <v>20</v>
      </c>
      <c r="HO10" s="36" t="s">
        <v>51</v>
      </c>
      <c r="HP10" s="36" t="s">
        <v>59</v>
      </c>
      <c r="HQ10" s="36" t="s">
        <v>58</v>
      </c>
      <c r="HR10" s="36" t="s">
        <v>53</v>
      </c>
      <c r="HS10" s="36" t="s">
        <v>63</v>
      </c>
      <c r="HT10" s="36" t="s">
        <v>55</v>
      </c>
      <c r="HU10" s="36" t="s">
        <v>62</v>
      </c>
      <c r="HV10" s="36" t="s">
        <v>68</v>
      </c>
      <c r="HW10" s="36" t="s">
        <v>62</v>
      </c>
      <c r="HX10" s="36" t="s">
        <v>36</v>
      </c>
      <c r="HY10" s="36" t="s">
        <v>59</v>
      </c>
      <c r="HZ10" s="36" t="s">
        <v>55</v>
      </c>
      <c r="IA10" s="36" t="s">
        <v>48</v>
      </c>
      <c r="IB10" s="36" t="s">
        <v>60</v>
      </c>
      <c r="IC10" s="36" t="s">
        <v>60</v>
      </c>
      <c r="ID10" s="36" t="s">
        <v>20</v>
      </c>
      <c r="IE10" s="36" t="s">
        <v>62</v>
      </c>
      <c r="IF10" s="36" t="s">
        <v>63</v>
      </c>
      <c r="IG10" s="36" t="s">
        <v>67</v>
      </c>
      <c r="IH10" s="36" t="s">
        <v>66</v>
      </c>
      <c r="II10" s="36" t="s">
        <v>64</v>
      </c>
      <c r="IJ10" s="36" t="s">
        <v>59</v>
      </c>
      <c r="IK10" s="36" t="s">
        <v>53</v>
      </c>
      <c r="IL10" s="36" t="s">
        <v>51</v>
      </c>
      <c r="IM10" s="36" t="s">
        <v>53</v>
      </c>
      <c r="IN10" s="36" t="s">
        <v>64</v>
      </c>
      <c r="IO10" s="36" t="s">
        <v>39</v>
      </c>
      <c r="IP10" s="36" t="s">
        <v>65</v>
      </c>
      <c r="IQ10" s="36" t="s">
        <v>69</v>
      </c>
      <c r="IR10" s="36" t="s">
        <v>48</v>
      </c>
      <c r="IS10" s="36" t="s">
        <v>60</v>
      </c>
      <c r="IT10" s="36" t="s">
        <v>20</v>
      </c>
      <c r="IU10" s="36" t="s">
        <v>64</v>
      </c>
      <c r="IV10" s="36" t="s">
        <v>20</v>
      </c>
      <c r="IW10" s="36" t="s">
        <v>20</v>
      </c>
      <c r="IX10" s="36" t="s">
        <v>32</v>
      </c>
      <c r="IY10" s="36" t="s">
        <v>59</v>
      </c>
      <c r="IZ10" s="36" t="s">
        <v>51</v>
      </c>
      <c r="JA10" s="36" t="s">
        <v>65</v>
      </c>
      <c r="JB10" s="36" t="s">
        <v>32</v>
      </c>
      <c r="JC10" s="36" t="s">
        <v>59</v>
      </c>
      <c r="JD10" s="36" t="s">
        <v>63</v>
      </c>
      <c r="JE10" s="36" t="s">
        <v>60</v>
      </c>
      <c r="JF10" s="36" t="s">
        <v>61</v>
      </c>
      <c r="JG10" s="36" t="s">
        <v>61</v>
      </c>
      <c r="JH10" s="36" t="s">
        <v>53</v>
      </c>
      <c r="JI10" s="36" t="s">
        <v>39</v>
      </c>
      <c r="JJ10" s="36" t="s">
        <v>51</v>
      </c>
      <c r="JK10" s="36" t="s">
        <v>65</v>
      </c>
      <c r="JL10" s="36" t="s">
        <v>66</v>
      </c>
      <c r="JM10" s="36" t="s">
        <v>48</v>
      </c>
      <c r="JN10" s="36" t="s">
        <v>39</v>
      </c>
      <c r="JO10" s="36" t="s">
        <v>60</v>
      </c>
      <c r="JP10" s="36" t="s">
        <v>64</v>
      </c>
      <c r="JQ10" s="36" t="s">
        <v>53</v>
      </c>
      <c r="JR10" s="36" t="s">
        <v>69</v>
      </c>
      <c r="JS10" s="36" t="s">
        <v>43</v>
      </c>
      <c r="JT10" s="36" t="s">
        <v>60</v>
      </c>
      <c r="JU10" s="36" t="s">
        <v>68</v>
      </c>
      <c r="JV10" s="36" t="s">
        <v>69</v>
      </c>
      <c r="JW10" s="36" t="s">
        <v>67</v>
      </c>
      <c r="JX10" s="36" t="s">
        <v>63</v>
      </c>
      <c r="JY10" s="36" t="s">
        <v>51</v>
      </c>
      <c r="JZ10" s="36" t="s">
        <v>56</v>
      </c>
      <c r="KA10" s="36" t="s">
        <v>58</v>
      </c>
      <c r="KB10" s="36" t="s">
        <v>67</v>
      </c>
      <c r="KC10" s="36" t="s">
        <v>36</v>
      </c>
      <c r="KD10" s="36" t="s">
        <v>58</v>
      </c>
      <c r="KE10" s="36" t="s">
        <v>20</v>
      </c>
      <c r="KF10" s="36" t="s">
        <v>53</v>
      </c>
      <c r="KG10" s="36" t="s">
        <v>67</v>
      </c>
      <c r="KH10" s="36" t="s">
        <v>27</v>
      </c>
      <c r="KI10" s="36" t="s">
        <v>43</v>
      </c>
      <c r="KJ10" s="36" t="s">
        <v>48</v>
      </c>
      <c r="KK10" s="36" t="s">
        <v>48</v>
      </c>
      <c r="KL10" s="36" t="s">
        <v>20</v>
      </c>
      <c r="KM10" s="36" t="s">
        <v>36</v>
      </c>
      <c r="KN10" s="36" t="s">
        <v>43</v>
      </c>
      <c r="KO10" s="36" t="s">
        <v>53</v>
      </c>
      <c r="KP10" s="36" t="s">
        <v>53</v>
      </c>
      <c r="KQ10" s="36" t="s">
        <v>65</v>
      </c>
      <c r="KR10" s="36" t="s">
        <v>67</v>
      </c>
      <c r="KS10" s="36" t="s">
        <v>61</v>
      </c>
      <c r="KT10" s="36" t="s">
        <v>48</v>
      </c>
      <c r="KU10" s="36" t="s">
        <v>62</v>
      </c>
      <c r="KV10" s="36" t="s">
        <v>58</v>
      </c>
      <c r="KW10" s="36" t="s">
        <v>53</v>
      </c>
      <c r="KX10" s="36" t="s">
        <v>51</v>
      </c>
      <c r="KY10" s="36" t="s">
        <v>51</v>
      </c>
      <c r="KZ10" s="36" t="s">
        <v>43</v>
      </c>
      <c r="LA10" s="36" t="s">
        <v>56</v>
      </c>
      <c r="LB10" s="36" t="s">
        <v>62</v>
      </c>
      <c r="LC10" s="36" t="s">
        <v>69</v>
      </c>
      <c r="LD10" s="36" t="s">
        <v>50</v>
      </c>
      <c r="LE10" s="36" t="s">
        <v>58</v>
      </c>
      <c r="LF10" s="36" t="s">
        <v>63</v>
      </c>
      <c r="LG10" s="36" t="s">
        <v>68</v>
      </c>
      <c r="LH10" s="36" t="s">
        <v>50</v>
      </c>
      <c r="LI10" s="36" t="s">
        <v>36</v>
      </c>
      <c r="LJ10" s="36" t="s">
        <v>60</v>
      </c>
      <c r="LK10" s="36" t="s">
        <v>61</v>
      </c>
      <c r="LL10" s="36" t="s">
        <v>48</v>
      </c>
      <c r="LM10" s="36" t="s">
        <v>58</v>
      </c>
      <c r="LN10" s="36" t="s">
        <v>64</v>
      </c>
      <c r="LO10" s="36" t="s">
        <v>60</v>
      </c>
      <c r="LP10" s="36" t="s">
        <v>60</v>
      </c>
      <c r="LQ10" s="36" t="s">
        <v>53</v>
      </c>
      <c r="LR10" s="36" t="s">
        <v>27</v>
      </c>
      <c r="LS10" s="36" t="s">
        <v>64</v>
      </c>
      <c r="LT10" s="36" t="s">
        <v>55</v>
      </c>
      <c r="LU10" s="36" t="s">
        <v>67</v>
      </c>
      <c r="LV10" s="36" t="s">
        <v>60</v>
      </c>
      <c r="LW10" s="36" t="s">
        <v>59</v>
      </c>
      <c r="LX10" s="36" t="s">
        <v>43</v>
      </c>
      <c r="LY10" s="36" t="s">
        <v>66</v>
      </c>
      <c r="LZ10" s="36" t="s">
        <v>62</v>
      </c>
      <c r="MA10" s="36" t="s">
        <v>50</v>
      </c>
      <c r="MB10" s="36" t="s">
        <v>32</v>
      </c>
      <c r="MC10" s="36" t="s">
        <v>50</v>
      </c>
      <c r="MD10" s="36" t="s">
        <v>51</v>
      </c>
      <c r="ME10" s="36" t="s">
        <v>27</v>
      </c>
      <c r="MF10" s="36" t="s">
        <v>51</v>
      </c>
      <c r="MG10" s="36" t="s">
        <v>56</v>
      </c>
      <c r="MH10" s="36" t="s">
        <v>36</v>
      </c>
      <c r="MI10" s="36" t="s">
        <v>36</v>
      </c>
      <c r="MJ10" s="36" t="s">
        <v>20</v>
      </c>
      <c r="MK10" s="36" t="s">
        <v>68</v>
      </c>
      <c r="ML10" s="36" t="s">
        <v>55</v>
      </c>
      <c r="MM10" s="36" t="s">
        <v>62</v>
      </c>
      <c r="MN10" s="36" t="s">
        <v>32</v>
      </c>
      <c r="MO10" s="36" t="s">
        <v>36</v>
      </c>
      <c r="MP10" s="36" t="s">
        <v>67</v>
      </c>
      <c r="MQ10" s="36" t="s">
        <v>58</v>
      </c>
      <c r="MR10" s="36" t="s">
        <v>53</v>
      </c>
      <c r="MS10" s="36" t="s">
        <v>48</v>
      </c>
      <c r="MT10" s="36" t="s">
        <v>58</v>
      </c>
      <c r="MU10" s="36" t="s">
        <v>58</v>
      </c>
      <c r="MV10" s="36" t="s">
        <v>48</v>
      </c>
      <c r="MW10" s="36" t="s">
        <v>32</v>
      </c>
      <c r="MX10" s="36" t="s">
        <v>59</v>
      </c>
      <c r="MY10" s="36" t="s">
        <v>48</v>
      </c>
      <c r="MZ10" s="36" t="s">
        <v>62</v>
      </c>
      <c r="NA10" s="36" t="s">
        <v>67</v>
      </c>
      <c r="NB10" s="36" t="s">
        <v>53</v>
      </c>
      <c r="NC10" s="36" t="s">
        <v>63</v>
      </c>
      <c r="ND10" s="36" t="s">
        <v>62</v>
      </c>
      <c r="NE10" s="36" t="s">
        <v>20</v>
      </c>
      <c r="NF10" s="36" t="s">
        <v>36</v>
      </c>
      <c r="NG10" s="36" t="s">
        <v>63</v>
      </c>
      <c r="NH10" s="36" t="s">
        <v>68</v>
      </c>
      <c r="NI10" s="36" t="s">
        <v>63</v>
      </c>
      <c r="NJ10" s="36" t="s">
        <v>53</v>
      </c>
      <c r="NK10" s="36" t="s">
        <v>58</v>
      </c>
      <c r="NL10" s="36" t="s">
        <v>60</v>
      </c>
      <c r="NM10" s="36" t="s">
        <v>59</v>
      </c>
      <c r="NN10" s="36" t="s">
        <v>56</v>
      </c>
      <c r="NO10" s="36" t="s">
        <v>64</v>
      </c>
      <c r="NP10" s="36" t="s">
        <v>69</v>
      </c>
      <c r="NQ10" s="36" t="s">
        <v>55</v>
      </c>
      <c r="NR10" s="36" t="s">
        <v>56</v>
      </c>
      <c r="NS10" s="36" t="s">
        <v>36</v>
      </c>
      <c r="NT10" s="36" t="s">
        <v>48</v>
      </c>
      <c r="NU10" s="36" t="s">
        <v>55</v>
      </c>
      <c r="NV10" s="36" t="s">
        <v>64</v>
      </c>
      <c r="NW10" s="36" t="s">
        <v>68</v>
      </c>
      <c r="NX10" s="36" t="s">
        <v>32</v>
      </c>
      <c r="NY10" s="36" t="s">
        <v>39</v>
      </c>
      <c r="NZ10" s="36" t="s">
        <v>69</v>
      </c>
      <c r="OA10" s="36" t="s">
        <v>48</v>
      </c>
      <c r="OB10" s="36" t="s">
        <v>66</v>
      </c>
      <c r="OC10" s="36" t="s">
        <v>60</v>
      </c>
      <c r="OD10" s="36" t="s">
        <v>60</v>
      </c>
      <c r="OE10" s="36" t="s">
        <v>50</v>
      </c>
      <c r="OF10" s="36" t="s">
        <v>36</v>
      </c>
      <c r="OG10" s="36" t="s">
        <v>51</v>
      </c>
      <c r="OH10" s="36" t="s">
        <v>39</v>
      </c>
      <c r="OI10" s="36" t="s">
        <v>63</v>
      </c>
      <c r="OJ10" s="36" t="s">
        <v>43</v>
      </c>
      <c r="OK10" s="36" t="s">
        <v>60</v>
      </c>
      <c r="OL10" s="36" t="s">
        <v>48</v>
      </c>
      <c r="OM10" s="36" t="s">
        <v>51</v>
      </c>
      <c r="ON10" s="36" t="s">
        <v>36</v>
      </c>
      <c r="OO10" s="36" t="s">
        <v>66</v>
      </c>
      <c r="OP10" s="36" t="s">
        <v>66</v>
      </c>
      <c r="OQ10" s="36" t="s">
        <v>51</v>
      </c>
      <c r="OR10" s="36" t="s">
        <v>53</v>
      </c>
      <c r="OS10" s="36" t="s">
        <v>63</v>
      </c>
      <c r="OT10" s="36" t="s">
        <v>39</v>
      </c>
      <c r="OU10" s="36" t="s">
        <v>50</v>
      </c>
      <c r="OV10" s="36" t="s">
        <v>43</v>
      </c>
      <c r="OW10" s="36" t="s">
        <v>63</v>
      </c>
      <c r="OX10" s="36" t="s">
        <v>53</v>
      </c>
      <c r="OY10" s="36" t="s">
        <v>36</v>
      </c>
      <c r="OZ10" s="36" t="s">
        <v>67</v>
      </c>
      <c r="PA10" s="36" t="s">
        <v>63</v>
      </c>
      <c r="PB10" s="36" t="s">
        <v>64</v>
      </c>
      <c r="PC10" s="36" t="s">
        <v>56</v>
      </c>
      <c r="PD10" s="36" t="s">
        <v>27</v>
      </c>
      <c r="PE10" s="36" t="s">
        <v>66</v>
      </c>
      <c r="PF10" s="36" t="s">
        <v>64</v>
      </c>
      <c r="PG10" s="36" t="s">
        <v>64</v>
      </c>
      <c r="PH10" s="36" t="s">
        <v>60</v>
      </c>
      <c r="PI10" s="36" t="s">
        <v>56</v>
      </c>
      <c r="PJ10" s="36" t="s">
        <v>39</v>
      </c>
      <c r="PK10" s="36" t="s">
        <v>32</v>
      </c>
      <c r="PL10" s="36" t="s">
        <v>55</v>
      </c>
      <c r="PM10" s="36" t="s">
        <v>51</v>
      </c>
      <c r="PN10" s="36" t="s">
        <v>56</v>
      </c>
      <c r="PO10" s="36" t="s">
        <v>69</v>
      </c>
      <c r="PP10" s="36" t="s">
        <v>51</v>
      </c>
      <c r="PQ10" s="36" t="s">
        <v>61</v>
      </c>
      <c r="PR10" s="36" t="s">
        <v>51</v>
      </c>
      <c r="PS10" s="36" t="s">
        <v>20</v>
      </c>
      <c r="PT10" s="36" t="s">
        <v>56</v>
      </c>
      <c r="PU10" s="36" t="s">
        <v>60</v>
      </c>
      <c r="PV10" s="36" t="s">
        <v>62</v>
      </c>
      <c r="PW10" s="36" t="s">
        <v>61</v>
      </c>
      <c r="PX10" s="36" t="s">
        <v>51</v>
      </c>
      <c r="PY10" s="36" t="s">
        <v>50</v>
      </c>
      <c r="PZ10" s="36" t="s">
        <v>65</v>
      </c>
      <c r="QA10" s="36" t="s">
        <v>58</v>
      </c>
      <c r="QB10" s="36" t="s">
        <v>65</v>
      </c>
      <c r="QC10" s="36" t="s">
        <v>32</v>
      </c>
      <c r="QD10" s="36" t="s">
        <v>48</v>
      </c>
      <c r="QE10" s="36" t="s">
        <v>27</v>
      </c>
      <c r="QF10" s="36" t="s">
        <v>69</v>
      </c>
      <c r="QG10" s="36" t="s">
        <v>20</v>
      </c>
      <c r="QH10" s="36" t="s">
        <v>66</v>
      </c>
      <c r="QI10" s="36" t="s">
        <v>32</v>
      </c>
      <c r="QJ10" s="36" t="s">
        <v>59</v>
      </c>
      <c r="QK10" s="36" t="s">
        <v>68</v>
      </c>
      <c r="QL10" s="36" t="s">
        <v>27</v>
      </c>
      <c r="QM10" s="36" t="s">
        <v>58</v>
      </c>
      <c r="QN10" s="36" t="s">
        <v>64</v>
      </c>
      <c r="QO10" s="36" t="s">
        <v>27</v>
      </c>
      <c r="QP10" s="36" t="s">
        <v>27</v>
      </c>
      <c r="QQ10" s="36" t="s">
        <v>55</v>
      </c>
      <c r="QR10" s="36" t="s">
        <v>63</v>
      </c>
      <c r="QS10" s="36" t="s">
        <v>50</v>
      </c>
      <c r="QT10" s="36" t="s">
        <v>64</v>
      </c>
      <c r="QU10" s="36" t="s">
        <v>64</v>
      </c>
      <c r="QV10" s="36" t="s">
        <v>36</v>
      </c>
      <c r="QW10" s="36" t="s">
        <v>65</v>
      </c>
      <c r="QX10" s="36" t="s">
        <v>43</v>
      </c>
      <c r="QY10" s="36" t="s">
        <v>43</v>
      </c>
      <c r="QZ10" s="36" t="s">
        <v>69</v>
      </c>
      <c r="RA10" s="36" t="s">
        <v>59</v>
      </c>
      <c r="RB10" s="36" t="s">
        <v>48</v>
      </c>
      <c r="RC10" s="36" t="s">
        <v>36</v>
      </c>
      <c r="RD10" s="36" t="s">
        <v>48</v>
      </c>
      <c r="RE10" s="36" t="s">
        <v>48</v>
      </c>
      <c r="RF10" s="36" t="s">
        <v>48</v>
      </c>
      <c r="RG10" s="36" t="s">
        <v>27</v>
      </c>
      <c r="RH10" s="36" t="s">
        <v>55</v>
      </c>
      <c r="RI10" s="36" t="s">
        <v>20</v>
      </c>
      <c r="RJ10" s="36" t="s">
        <v>48</v>
      </c>
      <c r="RK10" s="36" t="s">
        <v>62</v>
      </c>
      <c r="RL10" s="36" t="s">
        <v>68</v>
      </c>
      <c r="RM10" s="36" t="s">
        <v>36</v>
      </c>
      <c r="RN10" s="36" t="s">
        <v>50</v>
      </c>
      <c r="RO10" s="36" t="s">
        <v>67</v>
      </c>
      <c r="RP10" s="36" t="s">
        <v>61</v>
      </c>
      <c r="RQ10" s="36" t="s">
        <v>65</v>
      </c>
      <c r="RR10" s="36" t="s">
        <v>43</v>
      </c>
      <c r="RS10" s="36" t="s">
        <v>63</v>
      </c>
      <c r="RT10" s="36" t="s">
        <v>53</v>
      </c>
      <c r="RU10" s="36" t="s">
        <v>60</v>
      </c>
      <c r="RV10" s="36" t="s">
        <v>62</v>
      </c>
      <c r="RW10" s="36" t="s">
        <v>32</v>
      </c>
      <c r="RX10" s="36" t="s">
        <v>63</v>
      </c>
      <c r="RY10" s="36" t="s">
        <v>32</v>
      </c>
      <c r="RZ10" s="36" t="s">
        <v>68</v>
      </c>
      <c r="SA10" s="36" t="s">
        <v>67</v>
      </c>
      <c r="SB10" s="36" t="s">
        <v>59</v>
      </c>
      <c r="SC10" s="36" t="s">
        <v>60</v>
      </c>
      <c r="SD10" s="36" t="s">
        <v>39</v>
      </c>
      <c r="SE10" s="36" t="s">
        <v>36</v>
      </c>
      <c r="SF10" s="36" t="s">
        <v>60</v>
      </c>
      <c r="SG10" s="36" t="s">
        <v>65</v>
      </c>
    </row>
    <row r="11" spans="1:501" x14ac:dyDescent="0.3">
      <c r="A11" s="38" t="s">
        <v>10</v>
      </c>
      <c r="B11" s="36" t="s">
        <v>21</v>
      </c>
      <c r="C11" s="36" t="s">
        <v>28</v>
      </c>
      <c r="D11" s="36" t="s">
        <v>33</v>
      </c>
      <c r="E11" s="36" t="s">
        <v>21</v>
      </c>
      <c r="F11" s="36" t="s">
        <v>21</v>
      </c>
      <c r="G11" s="36" t="s">
        <v>33</v>
      </c>
      <c r="H11" s="36" t="s">
        <v>45</v>
      </c>
      <c r="I11" s="36" t="s">
        <v>47</v>
      </c>
      <c r="J11" s="36" t="s">
        <v>28</v>
      </c>
      <c r="K11" s="36" t="s">
        <v>47</v>
      </c>
      <c r="L11" s="36" t="s">
        <v>33</v>
      </c>
      <c r="M11" s="36" t="s">
        <v>21</v>
      </c>
      <c r="N11" s="36" t="s">
        <v>21</v>
      </c>
      <c r="O11" s="36" t="s">
        <v>28</v>
      </c>
      <c r="P11" s="36" t="s">
        <v>21</v>
      </c>
      <c r="Q11" s="36" t="s">
        <v>21</v>
      </c>
      <c r="R11" s="36" t="s">
        <v>28</v>
      </c>
      <c r="S11" s="36" t="s">
        <v>28</v>
      </c>
      <c r="T11" s="36" t="s">
        <v>33</v>
      </c>
      <c r="U11" s="36" t="s">
        <v>21</v>
      </c>
      <c r="V11" s="36" t="s">
        <v>21</v>
      </c>
      <c r="W11" s="36" t="s">
        <v>33</v>
      </c>
      <c r="X11" s="36" t="s">
        <v>45</v>
      </c>
      <c r="Y11" s="36" t="s">
        <v>45</v>
      </c>
      <c r="Z11" s="36" t="s">
        <v>45</v>
      </c>
      <c r="AA11" s="36" t="s">
        <v>33</v>
      </c>
      <c r="AB11" s="36" t="s">
        <v>21</v>
      </c>
      <c r="AC11" s="36" t="s">
        <v>33</v>
      </c>
      <c r="AD11" s="36" t="s">
        <v>33</v>
      </c>
      <c r="AE11" s="36" t="s">
        <v>45</v>
      </c>
      <c r="AF11" s="36" t="s">
        <v>47</v>
      </c>
      <c r="AG11" s="36" t="s">
        <v>21</v>
      </c>
      <c r="AH11" s="36" t="s">
        <v>45</v>
      </c>
      <c r="AI11" s="36" t="s">
        <v>47</v>
      </c>
      <c r="AJ11" s="36" t="s">
        <v>47</v>
      </c>
      <c r="AK11" s="36" t="s">
        <v>28</v>
      </c>
      <c r="AL11" s="36" t="s">
        <v>21</v>
      </c>
      <c r="AM11" s="36" t="s">
        <v>47</v>
      </c>
      <c r="AN11" s="36" t="s">
        <v>45</v>
      </c>
      <c r="AO11" s="36" t="s">
        <v>28</v>
      </c>
      <c r="AP11" s="36" t="s">
        <v>21</v>
      </c>
      <c r="AQ11" s="36" t="s">
        <v>33</v>
      </c>
      <c r="AR11" s="36" t="s">
        <v>45</v>
      </c>
      <c r="AS11" s="36" t="s">
        <v>47</v>
      </c>
      <c r="AT11" s="36" t="s">
        <v>47</v>
      </c>
      <c r="AU11" s="36" t="s">
        <v>45</v>
      </c>
      <c r="AV11" s="36" t="s">
        <v>47</v>
      </c>
      <c r="AW11" s="36" t="s">
        <v>28</v>
      </c>
      <c r="AX11" s="36" t="s">
        <v>21</v>
      </c>
      <c r="AY11" s="36" t="s">
        <v>28</v>
      </c>
      <c r="AZ11" s="36" t="s">
        <v>47</v>
      </c>
      <c r="BA11" s="36" t="s">
        <v>33</v>
      </c>
      <c r="BB11" s="36" t="s">
        <v>21</v>
      </c>
      <c r="BC11" s="36" t="s">
        <v>21</v>
      </c>
      <c r="BD11" s="36" t="s">
        <v>45</v>
      </c>
      <c r="BE11" s="36" t="s">
        <v>45</v>
      </c>
      <c r="BF11" s="36" t="s">
        <v>33</v>
      </c>
      <c r="BG11" s="36" t="s">
        <v>21</v>
      </c>
      <c r="BH11" s="36" t="s">
        <v>33</v>
      </c>
      <c r="BI11" s="36" t="s">
        <v>45</v>
      </c>
      <c r="BJ11" s="36" t="s">
        <v>45</v>
      </c>
      <c r="BK11" s="36" t="s">
        <v>21</v>
      </c>
      <c r="BL11" s="36" t="s">
        <v>28</v>
      </c>
      <c r="BM11" s="36" t="s">
        <v>47</v>
      </c>
      <c r="BN11" s="36" t="s">
        <v>45</v>
      </c>
      <c r="BO11" s="36" t="s">
        <v>45</v>
      </c>
      <c r="BP11" s="36" t="s">
        <v>28</v>
      </c>
      <c r="BQ11" s="36" t="s">
        <v>28</v>
      </c>
      <c r="BR11" s="36" t="s">
        <v>33</v>
      </c>
      <c r="BS11" s="36" t="s">
        <v>33</v>
      </c>
      <c r="BT11" s="36" t="s">
        <v>47</v>
      </c>
      <c r="BU11" s="36" t="s">
        <v>47</v>
      </c>
      <c r="BV11" s="36" t="s">
        <v>21</v>
      </c>
      <c r="BW11" s="36" t="s">
        <v>33</v>
      </c>
      <c r="BX11" s="36" t="s">
        <v>45</v>
      </c>
      <c r="BY11" s="36" t="s">
        <v>33</v>
      </c>
      <c r="BZ11" s="36" t="s">
        <v>45</v>
      </c>
      <c r="CA11" s="36" t="s">
        <v>28</v>
      </c>
      <c r="CB11" s="36" t="s">
        <v>33</v>
      </c>
      <c r="CC11" s="36" t="s">
        <v>28</v>
      </c>
      <c r="CD11" s="36" t="s">
        <v>47</v>
      </c>
      <c r="CE11" s="36" t="s">
        <v>47</v>
      </c>
      <c r="CF11" s="36" t="s">
        <v>21</v>
      </c>
      <c r="CG11" s="36" t="s">
        <v>33</v>
      </c>
      <c r="CH11" s="36" t="s">
        <v>28</v>
      </c>
      <c r="CI11" s="36" t="s">
        <v>45</v>
      </c>
      <c r="CJ11" s="36" t="s">
        <v>47</v>
      </c>
      <c r="CK11" s="36" t="s">
        <v>47</v>
      </c>
      <c r="CL11" s="36" t="s">
        <v>45</v>
      </c>
      <c r="CM11" s="36" t="s">
        <v>28</v>
      </c>
      <c r="CN11" s="36" t="s">
        <v>28</v>
      </c>
      <c r="CO11" s="36" t="s">
        <v>33</v>
      </c>
      <c r="CP11" s="36" t="s">
        <v>33</v>
      </c>
      <c r="CQ11" s="36" t="s">
        <v>21</v>
      </c>
      <c r="CR11" s="36" t="s">
        <v>47</v>
      </c>
      <c r="CS11" s="36" t="s">
        <v>33</v>
      </c>
      <c r="CT11" s="36" t="s">
        <v>28</v>
      </c>
      <c r="CU11" s="36" t="s">
        <v>45</v>
      </c>
      <c r="CV11" s="36" t="s">
        <v>28</v>
      </c>
      <c r="CW11" s="36" t="s">
        <v>47</v>
      </c>
      <c r="CX11" s="36" t="s">
        <v>28</v>
      </c>
      <c r="CY11" s="36" t="s">
        <v>21</v>
      </c>
      <c r="CZ11" s="36" t="s">
        <v>47</v>
      </c>
      <c r="DA11" s="36" t="s">
        <v>45</v>
      </c>
      <c r="DB11" s="36" t="s">
        <v>21</v>
      </c>
      <c r="DC11" s="36" t="s">
        <v>47</v>
      </c>
      <c r="DD11" s="36" t="s">
        <v>45</v>
      </c>
      <c r="DE11" s="36" t="s">
        <v>21</v>
      </c>
      <c r="DF11" s="36" t="s">
        <v>21</v>
      </c>
      <c r="DG11" s="36" t="s">
        <v>47</v>
      </c>
      <c r="DH11" s="36" t="s">
        <v>33</v>
      </c>
      <c r="DI11" s="36" t="s">
        <v>21</v>
      </c>
      <c r="DJ11" s="36" t="s">
        <v>21</v>
      </c>
      <c r="DK11" s="36" t="s">
        <v>45</v>
      </c>
      <c r="DL11" s="36" t="s">
        <v>28</v>
      </c>
      <c r="DM11" s="36" t="s">
        <v>47</v>
      </c>
      <c r="DN11" s="36" t="s">
        <v>47</v>
      </c>
      <c r="DO11" s="36" t="s">
        <v>33</v>
      </c>
      <c r="DP11" s="36" t="s">
        <v>33</v>
      </c>
      <c r="DQ11" s="36" t="s">
        <v>47</v>
      </c>
      <c r="DR11" s="36" t="s">
        <v>33</v>
      </c>
      <c r="DS11" s="36" t="s">
        <v>45</v>
      </c>
      <c r="DT11" s="36" t="s">
        <v>47</v>
      </c>
      <c r="DU11" s="36" t="s">
        <v>33</v>
      </c>
      <c r="DV11" s="36" t="s">
        <v>47</v>
      </c>
      <c r="DW11" s="36" t="s">
        <v>28</v>
      </c>
      <c r="DX11" s="36" t="s">
        <v>21</v>
      </c>
      <c r="DY11" s="36" t="s">
        <v>47</v>
      </c>
      <c r="DZ11" s="36" t="s">
        <v>21</v>
      </c>
      <c r="EA11" s="36" t="s">
        <v>33</v>
      </c>
      <c r="EB11" s="36" t="s">
        <v>21</v>
      </c>
      <c r="EC11" s="36" t="s">
        <v>47</v>
      </c>
      <c r="ED11" s="36" t="s">
        <v>28</v>
      </c>
      <c r="EE11" s="36" t="s">
        <v>33</v>
      </c>
      <c r="EF11" s="36" t="s">
        <v>47</v>
      </c>
      <c r="EG11" s="36" t="s">
        <v>33</v>
      </c>
      <c r="EH11" s="36" t="s">
        <v>45</v>
      </c>
      <c r="EI11" s="36" t="s">
        <v>21</v>
      </c>
      <c r="EJ11" s="36" t="s">
        <v>45</v>
      </c>
      <c r="EK11" s="36" t="s">
        <v>47</v>
      </c>
      <c r="EL11" s="36" t="s">
        <v>28</v>
      </c>
      <c r="EM11" s="36" t="s">
        <v>33</v>
      </c>
      <c r="EN11" s="36" t="s">
        <v>21</v>
      </c>
      <c r="EO11" s="36" t="s">
        <v>33</v>
      </c>
      <c r="EP11" s="36" t="s">
        <v>47</v>
      </c>
      <c r="EQ11" s="36" t="s">
        <v>33</v>
      </c>
      <c r="ER11" s="36" t="s">
        <v>21</v>
      </c>
      <c r="ES11" s="36" t="s">
        <v>47</v>
      </c>
      <c r="ET11" s="36" t="s">
        <v>33</v>
      </c>
      <c r="EU11" s="36" t="s">
        <v>28</v>
      </c>
      <c r="EV11" s="36" t="s">
        <v>47</v>
      </c>
      <c r="EW11" s="36" t="s">
        <v>47</v>
      </c>
      <c r="EX11" s="36" t="s">
        <v>28</v>
      </c>
      <c r="EY11" s="36" t="s">
        <v>45</v>
      </c>
      <c r="EZ11" s="36" t="s">
        <v>21</v>
      </c>
      <c r="FA11" s="36" t="s">
        <v>45</v>
      </c>
      <c r="FB11" s="36" t="s">
        <v>33</v>
      </c>
      <c r="FC11" s="36" t="s">
        <v>28</v>
      </c>
      <c r="FD11" s="36" t="s">
        <v>45</v>
      </c>
      <c r="FE11" s="36" t="s">
        <v>47</v>
      </c>
      <c r="FF11" s="36" t="s">
        <v>33</v>
      </c>
      <c r="FG11" s="36" t="s">
        <v>33</v>
      </c>
      <c r="FH11" s="36" t="s">
        <v>45</v>
      </c>
      <c r="FI11" s="36" t="s">
        <v>45</v>
      </c>
      <c r="FJ11" s="36" t="s">
        <v>28</v>
      </c>
      <c r="FK11" s="36" t="s">
        <v>21</v>
      </c>
      <c r="FL11" s="36" t="s">
        <v>45</v>
      </c>
      <c r="FM11" s="36" t="s">
        <v>45</v>
      </c>
      <c r="FN11" s="36" t="s">
        <v>47</v>
      </c>
      <c r="FO11" s="36" t="s">
        <v>33</v>
      </c>
      <c r="FP11" s="36" t="s">
        <v>21</v>
      </c>
      <c r="FQ11" s="36" t="s">
        <v>47</v>
      </c>
      <c r="FR11" s="36" t="s">
        <v>28</v>
      </c>
      <c r="FS11" s="36" t="s">
        <v>28</v>
      </c>
      <c r="FT11" s="36" t="s">
        <v>45</v>
      </c>
      <c r="FU11" s="36" t="s">
        <v>45</v>
      </c>
      <c r="FV11" s="36" t="s">
        <v>28</v>
      </c>
      <c r="FW11" s="36" t="s">
        <v>45</v>
      </c>
      <c r="FX11" s="36" t="s">
        <v>21</v>
      </c>
      <c r="FY11" s="36" t="s">
        <v>45</v>
      </c>
      <c r="FZ11" s="36" t="s">
        <v>33</v>
      </c>
      <c r="GA11" s="36" t="s">
        <v>45</v>
      </c>
      <c r="GB11" s="36" t="s">
        <v>47</v>
      </c>
      <c r="GC11" s="36" t="s">
        <v>21</v>
      </c>
      <c r="GD11" s="36" t="s">
        <v>47</v>
      </c>
      <c r="GE11" s="36" t="s">
        <v>47</v>
      </c>
      <c r="GF11" s="36" t="s">
        <v>33</v>
      </c>
      <c r="GG11" s="36" t="s">
        <v>21</v>
      </c>
      <c r="GH11" s="36" t="s">
        <v>21</v>
      </c>
      <c r="GI11" s="36" t="s">
        <v>21</v>
      </c>
      <c r="GJ11" s="36" t="s">
        <v>21</v>
      </c>
      <c r="GK11" s="36" t="s">
        <v>21</v>
      </c>
      <c r="GL11" s="36" t="s">
        <v>33</v>
      </c>
      <c r="GM11" s="36" t="s">
        <v>45</v>
      </c>
      <c r="GN11" s="36" t="s">
        <v>47</v>
      </c>
      <c r="GO11" s="36" t="s">
        <v>21</v>
      </c>
      <c r="GP11" s="36" t="s">
        <v>45</v>
      </c>
      <c r="GQ11" s="36" t="s">
        <v>45</v>
      </c>
      <c r="GR11" s="36" t="s">
        <v>47</v>
      </c>
      <c r="GS11" s="36" t="s">
        <v>33</v>
      </c>
      <c r="GT11" s="36" t="s">
        <v>28</v>
      </c>
      <c r="GU11" s="36" t="s">
        <v>28</v>
      </c>
      <c r="GV11" s="36" t="s">
        <v>45</v>
      </c>
      <c r="GW11" s="36" t="s">
        <v>47</v>
      </c>
      <c r="GX11" s="36" t="s">
        <v>28</v>
      </c>
      <c r="GY11" s="36" t="s">
        <v>45</v>
      </c>
      <c r="GZ11" s="36" t="s">
        <v>33</v>
      </c>
      <c r="HA11" s="36" t="s">
        <v>28</v>
      </c>
      <c r="HB11" s="36" t="s">
        <v>45</v>
      </c>
      <c r="HC11" s="36" t="s">
        <v>45</v>
      </c>
      <c r="HD11" s="36" t="s">
        <v>21</v>
      </c>
      <c r="HE11" s="36" t="s">
        <v>33</v>
      </c>
      <c r="HF11" s="36" t="s">
        <v>21</v>
      </c>
      <c r="HG11" s="36" t="s">
        <v>47</v>
      </c>
      <c r="HH11" s="36" t="s">
        <v>21</v>
      </c>
      <c r="HI11" s="36" t="s">
        <v>21</v>
      </c>
      <c r="HJ11" s="36" t="s">
        <v>28</v>
      </c>
      <c r="HK11" s="36" t="s">
        <v>45</v>
      </c>
      <c r="HL11" s="36" t="s">
        <v>33</v>
      </c>
      <c r="HM11" s="36" t="s">
        <v>21</v>
      </c>
      <c r="HN11" s="36" t="s">
        <v>33</v>
      </c>
      <c r="HO11" s="36" t="s">
        <v>21</v>
      </c>
      <c r="HP11" s="36" t="s">
        <v>47</v>
      </c>
      <c r="HQ11" s="36" t="s">
        <v>21</v>
      </c>
      <c r="HR11" s="36" t="s">
        <v>28</v>
      </c>
      <c r="HS11" s="36" t="s">
        <v>45</v>
      </c>
      <c r="HT11" s="36" t="s">
        <v>47</v>
      </c>
      <c r="HU11" s="36" t="s">
        <v>21</v>
      </c>
      <c r="HV11" s="36" t="s">
        <v>33</v>
      </c>
      <c r="HW11" s="36" t="s">
        <v>47</v>
      </c>
      <c r="HX11" s="36" t="s">
        <v>47</v>
      </c>
      <c r="HY11" s="36" t="s">
        <v>21</v>
      </c>
      <c r="HZ11" s="36" t="s">
        <v>47</v>
      </c>
      <c r="IA11" s="36" t="s">
        <v>33</v>
      </c>
      <c r="IB11" s="36" t="s">
        <v>47</v>
      </c>
      <c r="IC11" s="36" t="s">
        <v>33</v>
      </c>
      <c r="ID11" s="36" t="s">
        <v>21</v>
      </c>
      <c r="IE11" s="36" t="s">
        <v>45</v>
      </c>
      <c r="IF11" s="36" t="s">
        <v>47</v>
      </c>
      <c r="IG11" s="36" t="s">
        <v>45</v>
      </c>
      <c r="IH11" s="36" t="s">
        <v>33</v>
      </c>
      <c r="II11" s="36" t="s">
        <v>47</v>
      </c>
      <c r="IJ11" s="36" t="s">
        <v>28</v>
      </c>
      <c r="IK11" s="36" t="s">
        <v>45</v>
      </c>
      <c r="IL11" s="36" t="s">
        <v>47</v>
      </c>
      <c r="IM11" s="36" t="s">
        <v>45</v>
      </c>
      <c r="IN11" s="36" t="s">
        <v>47</v>
      </c>
      <c r="IO11" s="36" t="s">
        <v>21</v>
      </c>
      <c r="IP11" s="36" t="s">
        <v>45</v>
      </c>
      <c r="IQ11" s="36" t="s">
        <v>28</v>
      </c>
      <c r="IR11" s="36" t="s">
        <v>28</v>
      </c>
      <c r="IS11" s="36" t="s">
        <v>33</v>
      </c>
      <c r="IT11" s="36" t="s">
        <v>47</v>
      </c>
      <c r="IU11" s="36" t="s">
        <v>45</v>
      </c>
      <c r="IV11" s="36" t="s">
        <v>33</v>
      </c>
      <c r="IW11" s="36" t="s">
        <v>45</v>
      </c>
      <c r="IX11" s="36" t="s">
        <v>47</v>
      </c>
      <c r="IY11" s="36" t="s">
        <v>28</v>
      </c>
      <c r="IZ11" s="36" t="s">
        <v>21</v>
      </c>
      <c r="JA11" s="36" t="s">
        <v>28</v>
      </c>
      <c r="JB11" s="36" t="s">
        <v>33</v>
      </c>
      <c r="JC11" s="36" t="s">
        <v>21</v>
      </c>
      <c r="JD11" s="36" t="s">
        <v>33</v>
      </c>
      <c r="JE11" s="36" t="s">
        <v>47</v>
      </c>
      <c r="JF11" s="36" t="s">
        <v>21</v>
      </c>
      <c r="JG11" s="36" t="s">
        <v>33</v>
      </c>
      <c r="JH11" s="36" t="s">
        <v>47</v>
      </c>
      <c r="JI11" s="36" t="s">
        <v>28</v>
      </c>
      <c r="JJ11" s="36" t="s">
        <v>47</v>
      </c>
      <c r="JK11" s="36" t="s">
        <v>45</v>
      </c>
      <c r="JL11" s="36" t="s">
        <v>47</v>
      </c>
      <c r="JM11" s="36" t="s">
        <v>47</v>
      </c>
      <c r="JN11" s="36" t="s">
        <v>45</v>
      </c>
      <c r="JO11" s="36" t="s">
        <v>33</v>
      </c>
      <c r="JP11" s="36" t="s">
        <v>33</v>
      </c>
      <c r="JQ11" s="36" t="s">
        <v>47</v>
      </c>
      <c r="JR11" s="36" t="s">
        <v>45</v>
      </c>
      <c r="JS11" s="36" t="s">
        <v>45</v>
      </c>
      <c r="JT11" s="36" t="s">
        <v>28</v>
      </c>
      <c r="JU11" s="36" t="s">
        <v>33</v>
      </c>
      <c r="JV11" s="36" t="s">
        <v>21</v>
      </c>
      <c r="JW11" s="36" t="s">
        <v>33</v>
      </c>
      <c r="JX11" s="36" t="s">
        <v>33</v>
      </c>
      <c r="JY11" s="36" t="s">
        <v>28</v>
      </c>
      <c r="JZ11" s="36" t="s">
        <v>21</v>
      </c>
      <c r="KA11" s="36" t="s">
        <v>28</v>
      </c>
      <c r="KB11" s="36" t="s">
        <v>21</v>
      </c>
      <c r="KC11" s="36" t="s">
        <v>47</v>
      </c>
      <c r="KD11" s="36" t="s">
        <v>21</v>
      </c>
      <c r="KE11" s="36" t="s">
        <v>28</v>
      </c>
      <c r="KF11" s="36" t="s">
        <v>33</v>
      </c>
      <c r="KG11" s="36" t="s">
        <v>21</v>
      </c>
      <c r="KH11" s="36" t="s">
        <v>21</v>
      </c>
      <c r="KI11" s="36" t="s">
        <v>45</v>
      </c>
      <c r="KJ11" s="36" t="s">
        <v>33</v>
      </c>
      <c r="KK11" s="36" t="s">
        <v>47</v>
      </c>
      <c r="KL11" s="36" t="s">
        <v>28</v>
      </c>
      <c r="KM11" s="36" t="s">
        <v>47</v>
      </c>
      <c r="KN11" s="36" t="s">
        <v>33</v>
      </c>
      <c r="KO11" s="36" t="s">
        <v>21</v>
      </c>
      <c r="KP11" s="36" t="s">
        <v>21</v>
      </c>
      <c r="KQ11" s="36" t="s">
        <v>33</v>
      </c>
      <c r="KR11" s="36" t="s">
        <v>21</v>
      </c>
      <c r="KS11" s="36" t="s">
        <v>21</v>
      </c>
      <c r="KT11" s="36" t="s">
        <v>21</v>
      </c>
      <c r="KU11" s="36" t="s">
        <v>28</v>
      </c>
      <c r="KV11" s="36" t="s">
        <v>28</v>
      </c>
      <c r="KW11" s="36" t="s">
        <v>45</v>
      </c>
      <c r="KX11" s="36" t="s">
        <v>47</v>
      </c>
      <c r="KY11" s="36" t="s">
        <v>33</v>
      </c>
      <c r="KZ11" s="36" t="s">
        <v>33</v>
      </c>
      <c r="LA11" s="36" t="s">
        <v>33</v>
      </c>
      <c r="LB11" s="36" t="s">
        <v>45</v>
      </c>
      <c r="LC11" s="36" t="s">
        <v>28</v>
      </c>
      <c r="LD11" s="36" t="s">
        <v>45</v>
      </c>
      <c r="LE11" s="36" t="s">
        <v>33</v>
      </c>
      <c r="LF11" s="36" t="s">
        <v>47</v>
      </c>
      <c r="LG11" s="36" t="s">
        <v>21</v>
      </c>
      <c r="LH11" s="36" t="s">
        <v>28</v>
      </c>
      <c r="LI11" s="36" t="s">
        <v>28</v>
      </c>
      <c r="LJ11" s="36" t="s">
        <v>45</v>
      </c>
      <c r="LK11" s="36" t="s">
        <v>28</v>
      </c>
      <c r="LL11" s="36" t="s">
        <v>33</v>
      </c>
      <c r="LM11" s="36" t="s">
        <v>33</v>
      </c>
      <c r="LN11" s="36" t="s">
        <v>45</v>
      </c>
      <c r="LO11" s="36" t="s">
        <v>33</v>
      </c>
      <c r="LP11" s="36" t="s">
        <v>47</v>
      </c>
      <c r="LQ11" s="36" t="s">
        <v>45</v>
      </c>
      <c r="LR11" s="36" t="s">
        <v>47</v>
      </c>
      <c r="LS11" s="36" t="s">
        <v>21</v>
      </c>
      <c r="LT11" s="36" t="s">
        <v>47</v>
      </c>
      <c r="LU11" s="36" t="s">
        <v>21</v>
      </c>
      <c r="LV11" s="36" t="s">
        <v>21</v>
      </c>
      <c r="LW11" s="36" t="s">
        <v>47</v>
      </c>
      <c r="LX11" s="36" t="s">
        <v>45</v>
      </c>
      <c r="LY11" s="36" t="s">
        <v>33</v>
      </c>
      <c r="LZ11" s="36" t="s">
        <v>33</v>
      </c>
      <c r="MA11" s="36" t="s">
        <v>21</v>
      </c>
      <c r="MB11" s="36" t="s">
        <v>21</v>
      </c>
      <c r="MC11" s="36" t="s">
        <v>45</v>
      </c>
      <c r="MD11" s="36" t="s">
        <v>28</v>
      </c>
      <c r="ME11" s="36" t="s">
        <v>47</v>
      </c>
      <c r="MF11" s="36" t="s">
        <v>21</v>
      </c>
      <c r="MG11" s="36" t="s">
        <v>33</v>
      </c>
      <c r="MH11" s="36" t="s">
        <v>45</v>
      </c>
      <c r="MI11" s="36" t="s">
        <v>47</v>
      </c>
      <c r="MJ11" s="36" t="s">
        <v>45</v>
      </c>
      <c r="MK11" s="36" t="s">
        <v>47</v>
      </c>
      <c r="ML11" s="36" t="s">
        <v>47</v>
      </c>
      <c r="MM11" s="36" t="s">
        <v>21</v>
      </c>
      <c r="MN11" s="36" t="s">
        <v>45</v>
      </c>
      <c r="MO11" s="36" t="s">
        <v>45</v>
      </c>
      <c r="MP11" s="36" t="s">
        <v>33</v>
      </c>
      <c r="MQ11" s="36" t="s">
        <v>33</v>
      </c>
      <c r="MR11" s="36" t="s">
        <v>21</v>
      </c>
      <c r="MS11" s="36" t="s">
        <v>21</v>
      </c>
      <c r="MT11" s="36" t="s">
        <v>28</v>
      </c>
      <c r="MU11" s="36" t="s">
        <v>33</v>
      </c>
      <c r="MV11" s="36" t="s">
        <v>47</v>
      </c>
      <c r="MW11" s="36" t="s">
        <v>45</v>
      </c>
      <c r="MX11" s="36" t="s">
        <v>21</v>
      </c>
      <c r="MY11" s="36" t="s">
        <v>45</v>
      </c>
      <c r="MZ11" s="36" t="s">
        <v>45</v>
      </c>
      <c r="NA11" s="36" t="s">
        <v>28</v>
      </c>
      <c r="NB11" s="36" t="s">
        <v>33</v>
      </c>
      <c r="NC11" s="36" t="s">
        <v>21</v>
      </c>
      <c r="ND11" s="36" t="s">
        <v>45</v>
      </c>
      <c r="NE11" s="36" t="s">
        <v>21</v>
      </c>
      <c r="NF11" s="36" t="s">
        <v>47</v>
      </c>
      <c r="NG11" s="36" t="s">
        <v>28</v>
      </c>
      <c r="NH11" s="36" t="s">
        <v>47</v>
      </c>
      <c r="NI11" s="36" t="s">
        <v>21</v>
      </c>
      <c r="NJ11" s="36" t="s">
        <v>21</v>
      </c>
      <c r="NK11" s="36" t="s">
        <v>33</v>
      </c>
      <c r="NL11" s="36" t="s">
        <v>45</v>
      </c>
      <c r="NM11" s="36" t="s">
        <v>45</v>
      </c>
      <c r="NN11" s="36" t="s">
        <v>47</v>
      </c>
      <c r="NO11" s="36" t="s">
        <v>28</v>
      </c>
      <c r="NP11" s="36" t="s">
        <v>45</v>
      </c>
      <c r="NQ11" s="36" t="s">
        <v>33</v>
      </c>
      <c r="NR11" s="36" t="s">
        <v>47</v>
      </c>
      <c r="NS11" s="36" t="s">
        <v>47</v>
      </c>
      <c r="NT11" s="36" t="s">
        <v>33</v>
      </c>
      <c r="NU11" s="36" t="s">
        <v>28</v>
      </c>
      <c r="NV11" s="36" t="s">
        <v>33</v>
      </c>
      <c r="NW11" s="36" t="s">
        <v>28</v>
      </c>
      <c r="NX11" s="36" t="s">
        <v>33</v>
      </c>
      <c r="NY11" s="36" t="s">
        <v>33</v>
      </c>
      <c r="NZ11" s="36" t="s">
        <v>21</v>
      </c>
      <c r="OA11" s="36" t="s">
        <v>47</v>
      </c>
      <c r="OB11" s="36" t="s">
        <v>33</v>
      </c>
      <c r="OC11" s="36" t="s">
        <v>33</v>
      </c>
      <c r="OD11" s="36" t="s">
        <v>45</v>
      </c>
      <c r="OE11" s="36" t="s">
        <v>47</v>
      </c>
      <c r="OF11" s="36" t="s">
        <v>45</v>
      </c>
      <c r="OG11" s="36" t="s">
        <v>47</v>
      </c>
      <c r="OH11" s="36" t="s">
        <v>45</v>
      </c>
      <c r="OI11" s="36" t="s">
        <v>33</v>
      </c>
      <c r="OJ11" s="36" t="s">
        <v>33</v>
      </c>
      <c r="OK11" s="36" t="s">
        <v>21</v>
      </c>
      <c r="OL11" s="36" t="s">
        <v>45</v>
      </c>
      <c r="OM11" s="36" t="s">
        <v>28</v>
      </c>
      <c r="ON11" s="36" t="s">
        <v>21</v>
      </c>
      <c r="OO11" s="36" t="s">
        <v>45</v>
      </c>
      <c r="OP11" s="36" t="s">
        <v>45</v>
      </c>
      <c r="OQ11" s="36" t="s">
        <v>21</v>
      </c>
      <c r="OR11" s="36" t="s">
        <v>33</v>
      </c>
      <c r="OS11" s="36" t="s">
        <v>45</v>
      </c>
      <c r="OT11" s="36" t="s">
        <v>33</v>
      </c>
      <c r="OU11" s="36" t="s">
        <v>21</v>
      </c>
      <c r="OV11" s="36" t="s">
        <v>33</v>
      </c>
      <c r="OW11" s="36" t="s">
        <v>47</v>
      </c>
      <c r="OX11" s="36" t="s">
        <v>28</v>
      </c>
      <c r="OY11" s="36" t="s">
        <v>45</v>
      </c>
      <c r="OZ11" s="36" t="s">
        <v>28</v>
      </c>
      <c r="PA11" s="36" t="s">
        <v>33</v>
      </c>
      <c r="PB11" s="36" t="s">
        <v>45</v>
      </c>
      <c r="PC11" s="36" t="s">
        <v>33</v>
      </c>
      <c r="PD11" s="36" t="s">
        <v>47</v>
      </c>
      <c r="PE11" s="36" t="s">
        <v>21</v>
      </c>
      <c r="PF11" s="36" t="s">
        <v>45</v>
      </c>
      <c r="PG11" s="36" t="s">
        <v>47</v>
      </c>
      <c r="PH11" s="36" t="s">
        <v>47</v>
      </c>
      <c r="PI11" s="36" t="s">
        <v>45</v>
      </c>
      <c r="PJ11" s="36" t="s">
        <v>33</v>
      </c>
      <c r="PK11" s="36" t="s">
        <v>47</v>
      </c>
      <c r="PL11" s="36" t="s">
        <v>28</v>
      </c>
      <c r="PM11" s="36" t="s">
        <v>47</v>
      </c>
      <c r="PN11" s="36" t="s">
        <v>33</v>
      </c>
      <c r="PO11" s="36" t="s">
        <v>33</v>
      </c>
      <c r="PP11" s="36" t="s">
        <v>28</v>
      </c>
      <c r="PQ11" s="36" t="s">
        <v>47</v>
      </c>
      <c r="PR11" s="36" t="s">
        <v>33</v>
      </c>
      <c r="PS11" s="36" t="s">
        <v>45</v>
      </c>
      <c r="PT11" s="36" t="s">
        <v>21</v>
      </c>
      <c r="PU11" s="36" t="s">
        <v>21</v>
      </c>
      <c r="PV11" s="36" t="s">
        <v>21</v>
      </c>
      <c r="PW11" s="36" t="s">
        <v>47</v>
      </c>
      <c r="PX11" s="36" t="s">
        <v>28</v>
      </c>
      <c r="PY11" s="36" t="s">
        <v>33</v>
      </c>
      <c r="PZ11" s="36" t="s">
        <v>45</v>
      </c>
      <c r="QA11" s="36" t="s">
        <v>45</v>
      </c>
      <c r="QB11" s="36" t="s">
        <v>47</v>
      </c>
      <c r="QC11" s="36" t="s">
        <v>21</v>
      </c>
      <c r="QD11" s="36" t="s">
        <v>47</v>
      </c>
      <c r="QE11" s="36" t="s">
        <v>28</v>
      </c>
      <c r="QF11" s="36" t="s">
        <v>28</v>
      </c>
      <c r="QG11" s="36" t="s">
        <v>33</v>
      </c>
      <c r="QH11" s="36" t="s">
        <v>33</v>
      </c>
      <c r="QI11" s="36" t="s">
        <v>28</v>
      </c>
      <c r="QJ11" s="36" t="s">
        <v>28</v>
      </c>
      <c r="QK11" s="36" t="s">
        <v>28</v>
      </c>
      <c r="QL11" s="36" t="s">
        <v>47</v>
      </c>
      <c r="QM11" s="36" t="s">
        <v>28</v>
      </c>
      <c r="QN11" s="36" t="s">
        <v>45</v>
      </c>
      <c r="QO11" s="36" t="s">
        <v>21</v>
      </c>
      <c r="QP11" s="36" t="s">
        <v>28</v>
      </c>
      <c r="QQ11" s="36" t="s">
        <v>21</v>
      </c>
      <c r="QR11" s="36" t="s">
        <v>47</v>
      </c>
      <c r="QS11" s="36" t="s">
        <v>21</v>
      </c>
      <c r="QT11" s="36" t="s">
        <v>47</v>
      </c>
      <c r="QU11" s="36" t="s">
        <v>45</v>
      </c>
      <c r="QV11" s="36" t="s">
        <v>47</v>
      </c>
      <c r="QW11" s="36" t="s">
        <v>47</v>
      </c>
      <c r="QX11" s="36" t="s">
        <v>33</v>
      </c>
      <c r="QY11" s="36" t="s">
        <v>28</v>
      </c>
      <c r="QZ11" s="36" t="s">
        <v>28</v>
      </c>
      <c r="RA11" s="36" t="s">
        <v>45</v>
      </c>
      <c r="RB11" s="36" t="s">
        <v>45</v>
      </c>
      <c r="RC11" s="36" t="s">
        <v>28</v>
      </c>
      <c r="RD11" s="36" t="s">
        <v>33</v>
      </c>
      <c r="RE11" s="36" t="s">
        <v>28</v>
      </c>
      <c r="RF11" s="36" t="s">
        <v>33</v>
      </c>
      <c r="RG11" s="36" t="s">
        <v>45</v>
      </c>
      <c r="RH11" s="36" t="s">
        <v>21</v>
      </c>
      <c r="RI11" s="36" t="s">
        <v>45</v>
      </c>
      <c r="RJ11" s="36" t="s">
        <v>45</v>
      </c>
      <c r="RK11" s="36" t="s">
        <v>47</v>
      </c>
      <c r="RL11" s="36" t="s">
        <v>47</v>
      </c>
      <c r="RM11" s="36" t="s">
        <v>47</v>
      </c>
      <c r="RN11" s="36" t="s">
        <v>47</v>
      </c>
      <c r="RO11" s="36" t="s">
        <v>33</v>
      </c>
      <c r="RP11" s="36" t="s">
        <v>28</v>
      </c>
      <c r="RQ11" s="36" t="s">
        <v>21</v>
      </c>
      <c r="RR11" s="36" t="s">
        <v>45</v>
      </c>
      <c r="RS11" s="36" t="s">
        <v>33</v>
      </c>
      <c r="RT11" s="36" t="s">
        <v>21</v>
      </c>
      <c r="RU11" s="36" t="s">
        <v>33</v>
      </c>
      <c r="RV11" s="36" t="s">
        <v>33</v>
      </c>
      <c r="RW11" s="36" t="s">
        <v>45</v>
      </c>
      <c r="RX11" s="36" t="s">
        <v>28</v>
      </c>
      <c r="RY11" s="36" t="s">
        <v>47</v>
      </c>
      <c r="RZ11" s="36" t="s">
        <v>28</v>
      </c>
      <c r="SA11" s="36" t="s">
        <v>45</v>
      </c>
      <c r="SB11" s="36" t="s">
        <v>45</v>
      </c>
      <c r="SC11" s="36" t="s">
        <v>45</v>
      </c>
      <c r="SD11" s="36" t="s">
        <v>21</v>
      </c>
      <c r="SE11" s="36" t="s">
        <v>28</v>
      </c>
      <c r="SF11" s="36" t="s">
        <v>28</v>
      </c>
      <c r="SG11" s="36" t="s">
        <v>33</v>
      </c>
    </row>
    <row r="12" spans="1:501" x14ac:dyDescent="0.3">
      <c r="A12" s="38" t="s">
        <v>11</v>
      </c>
      <c r="B12" s="36">
        <v>7</v>
      </c>
      <c r="C12" s="36">
        <v>9</v>
      </c>
      <c r="D12" s="36">
        <v>6</v>
      </c>
      <c r="E12" s="36">
        <v>1</v>
      </c>
      <c r="F12" s="36">
        <v>7</v>
      </c>
      <c r="G12" s="36">
        <v>3</v>
      </c>
      <c r="H12" s="36">
        <v>5</v>
      </c>
      <c r="I12" s="36">
        <v>4</v>
      </c>
      <c r="J12" s="36">
        <v>5</v>
      </c>
      <c r="K12" s="36">
        <v>5</v>
      </c>
      <c r="L12" s="36">
        <v>6</v>
      </c>
      <c r="M12" s="36">
        <v>6</v>
      </c>
      <c r="N12" s="36">
        <v>8</v>
      </c>
      <c r="O12" s="36">
        <v>8</v>
      </c>
      <c r="P12" s="36">
        <v>9</v>
      </c>
      <c r="Q12" s="36">
        <v>8</v>
      </c>
      <c r="R12" s="36">
        <v>2</v>
      </c>
      <c r="S12" s="36">
        <v>1</v>
      </c>
      <c r="T12" s="36">
        <v>2</v>
      </c>
      <c r="U12" s="36">
        <v>2</v>
      </c>
      <c r="V12" s="36">
        <v>3</v>
      </c>
      <c r="W12" s="36">
        <v>7</v>
      </c>
      <c r="X12" s="36">
        <v>2</v>
      </c>
      <c r="Y12" s="36">
        <v>1</v>
      </c>
      <c r="Z12" s="36">
        <v>6</v>
      </c>
      <c r="AA12" s="36">
        <v>9</v>
      </c>
      <c r="AB12" s="36">
        <v>3</v>
      </c>
      <c r="AC12" s="36">
        <v>6</v>
      </c>
      <c r="AD12" s="36">
        <v>3</v>
      </c>
      <c r="AE12" s="36">
        <v>1</v>
      </c>
      <c r="AF12" s="36">
        <v>5</v>
      </c>
      <c r="AG12" s="36">
        <v>4</v>
      </c>
      <c r="AH12" s="36">
        <v>7</v>
      </c>
      <c r="AI12" s="36">
        <v>6</v>
      </c>
      <c r="AJ12" s="36">
        <v>7</v>
      </c>
      <c r="AK12" s="36">
        <v>5</v>
      </c>
      <c r="AL12" s="36">
        <v>4</v>
      </c>
      <c r="AM12" s="36">
        <v>7</v>
      </c>
      <c r="AN12" s="36">
        <v>7</v>
      </c>
      <c r="AO12" s="36">
        <v>6</v>
      </c>
      <c r="AP12" s="36">
        <v>8</v>
      </c>
      <c r="AQ12" s="36">
        <v>4</v>
      </c>
      <c r="AR12" s="36">
        <v>5</v>
      </c>
      <c r="AS12" s="36">
        <v>4</v>
      </c>
      <c r="AT12" s="36">
        <v>1</v>
      </c>
      <c r="AU12" s="36">
        <v>8</v>
      </c>
      <c r="AV12" s="36">
        <v>1</v>
      </c>
      <c r="AW12" s="36">
        <v>5</v>
      </c>
      <c r="AX12" s="36">
        <v>6</v>
      </c>
      <c r="AY12" s="36">
        <v>6</v>
      </c>
      <c r="AZ12" s="36">
        <v>5</v>
      </c>
      <c r="BA12" s="36">
        <v>3</v>
      </c>
      <c r="BB12" s="36">
        <v>5</v>
      </c>
      <c r="BC12" s="36">
        <v>8</v>
      </c>
      <c r="BD12" s="36">
        <v>2</v>
      </c>
      <c r="BE12" s="36">
        <v>6</v>
      </c>
      <c r="BF12" s="36">
        <v>9</v>
      </c>
      <c r="BG12" s="36">
        <v>8</v>
      </c>
      <c r="BH12" s="36">
        <v>8</v>
      </c>
      <c r="BI12" s="36">
        <v>8</v>
      </c>
      <c r="BJ12" s="36">
        <v>7</v>
      </c>
      <c r="BK12" s="36">
        <v>8</v>
      </c>
      <c r="BL12" s="36">
        <v>6</v>
      </c>
      <c r="BM12" s="36">
        <v>2</v>
      </c>
      <c r="BN12" s="36">
        <v>2</v>
      </c>
      <c r="BO12" s="36">
        <v>8</v>
      </c>
      <c r="BP12" s="36">
        <v>1</v>
      </c>
      <c r="BQ12" s="36">
        <v>6</v>
      </c>
      <c r="BR12" s="36">
        <v>6</v>
      </c>
      <c r="BS12" s="36">
        <v>4</v>
      </c>
      <c r="BT12" s="36">
        <v>3</v>
      </c>
      <c r="BU12" s="36">
        <v>3</v>
      </c>
      <c r="BV12" s="36">
        <v>1</v>
      </c>
      <c r="BW12" s="36">
        <v>3</v>
      </c>
      <c r="BX12" s="36">
        <v>4</v>
      </c>
      <c r="BY12" s="36">
        <v>5</v>
      </c>
      <c r="BZ12" s="36">
        <v>3</v>
      </c>
      <c r="CA12" s="36">
        <v>6</v>
      </c>
      <c r="CB12" s="36">
        <v>5</v>
      </c>
      <c r="CC12" s="36">
        <v>3</v>
      </c>
      <c r="CD12" s="36">
        <v>6</v>
      </c>
      <c r="CE12" s="36">
        <v>6</v>
      </c>
      <c r="CF12" s="36">
        <v>8</v>
      </c>
      <c r="CG12" s="36">
        <v>2</v>
      </c>
      <c r="CH12" s="36">
        <v>1</v>
      </c>
      <c r="CI12" s="36">
        <v>4</v>
      </c>
      <c r="CJ12" s="36">
        <v>7</v>
      </c>
      <c r="CK12" s="36">
        <v>3</v>
      </c>
      <c r="CL12" s="36">
        <v>3</v>
      </c>
      <c r="CM12" s="36">
        <v>5</v>
      </c>
      <c r="CN12" s="36">
        <v>5</v>
      </c>
      <c r="CO12" s="36">
        <v>3</v>
      </c>
      <c r="CP12" s="36">
        <v>9</v>
      </c>
      <c r="CQ12" s="36">
        <v>4</v>
      </c>
      <c r="CR12" s="36">
        <v>3</v>
      </c>
      <c r="CS12" s="36">
        <v>2</v>
      </c>
      <c r="CT12" s="36">
        <v>9</v>
      </c>
      <c r="CU12" s="36">
        <v>4</v>
      </c>
      <c r="CV12" s="36">
        <v>3</v>
      </c>
      <c r="CW12" s="36">
        <v>7</v>
      </c>
      <c r="CX12" s="36">
        <v>8</v>
      </c>
      <c r="CY12" s="36">
        <v>2</v>
      </c>
      <c r="CZ12" s="36">
        <v>7</v>
      </c>
      <c r="DA12" s="36">
        <v>5</v>
      </c>
      <c r="DB12" s="36">
        <v>5</v>
      </c>
      <c r="DC12" s="36">
        <v>3</v>
      </c>
      <c r="DD12" s="36">
        <v>5</v>
      </c>
      <c r="DE12" s="36">
        <v>2</v>
      </c>
      <c r="DF12" s="36">
        <v>4</v>
      </c>
      <c r="DG12" s="36">
        <v>6</v>
      </c>
      <c r="DH12" s="36">
        <v>1</v>
      </c>
      <c r="DI12" s="36">
        <v>4</v>
      </c>
      <c r="DJ12" s="36">
        <v>6</v>
      </c>
      <c r="DK12" s="36">
        <v>9</v>
      </c>
      <c r="DL12" s="36">
        <v>2</v>
      </c>
      <c r="DM12" s="36">
        <v>7</v>
      </c>
      <c r="DN12" s="36">
        <v>6</v>
      </c>
      <c r="DO12" s="36">
        <v>2</v>
      </c>
      <c r="DP12" s="36">
        <v>8</v>
      </c>
      <c r="DQ12" s="36">
        <v>7</v>
      </c>
      <c r="DR12" s="36">
        <v>5</v>
      </c>
      <c r="DS12" s="36">
        <v>5</v>
      </c>
      <c r="DT12" s="36">
        <v>7</v>
      </c>
      <c r="DU12" s="36">
        <v>9</v>
      </c>
      <c r="DV12" s="36">
        <v>9</v>
      </c>
      <c r="DW12" s="36">
        <v>9</v>
      </c>
      <c r="DX12" s="36">
        <v>6</v>
      </c>
      <c r="DY12" s="36">
        <v>6</v>
      </c>
      <c r="DZ12" s="36">
        <v>3</v>
      </c>
      <c r="EA12" s="36">
        <v>1</v>
      </c>
      <c r="EB12" s="36">
        <v>7</v>
      </c>
      <c r="EC12" s="36">
        <v>4</v>
      </c>
      <c r="ED12" s="36">
        <v>1</v>
      </c>
      <c r="EE12" s="36">
        <v>8</v>
      </c>
      <c r="EF12" s="36">
        <v>6</v>
      </c>
      <c r="EG12" s="36">
        <v>6</v>
      </c>
      <c r="EH12" s="36">
        <v>2</v>
      </c>
      <c r="EI12" s="36">
        <v>1</v>
      </c>
      <c r="EJ12" s="36">
        <v>2</v>
      </c>
      <c r="EK12" s="36">
        <v>4</v>
      </c>
      <c r="EL12" s="36">
        <v>2</v>
      </c>
      <c r="EM12" s="36">
        <v>1</v>
      </c>
      <c r="EN12" s="36">
        <v>7</v>
      </c>
      <c r="EO12" s="36">
        <v>8</v>
      </c>
      <c r="EP12" s="36">
        <v>6</v>
      </c>
      <c r="EQ12" s="36">
        <v>4</v>
      </c>
      <c r="ER12" s="36">
        <v>6</v>
      </c>
      <c r="ES12" s="36">
        <v>3</v>
      </c>
      <c r="ET12" s="36">
        <v>8</v>
      </c>
      <c r="EU12" s="36">
        <v>2</v>
      </c>
      <c r="EV12" s="36">
        <v>5</v>
      </c>
      <c r="EW12" s="36">
        <v>1</v>
      </c>
      <c r="EX12" s="36">
        <v>6</v>
      </c>
      <c r="EY12" s="36">
        <v>2</v>
      </c>
      <c r="EZ12" s="36">
        <v>4</v>
      </c>
      <c r="FA12" s="36">
        <v>6</v>
      </c>
      <c r="FB12" s="36">
        <v>8</v>
      </c>
      <c r="FC12" s="36">
        <v>8</v>
      </c>
      <c r="FD12" s="36">
        <v>6</v>
      </c>
      <c r="FE12" s="36">
        <v>4</v>
      </c>
      <c r="FF12" s="36">
        <v>8</v>
      </c>
      <c r="FG12" s="36">
        <v>8</v>
      </c>
      <c r="FH12" s="36">
        <v>1</v>
      </c>
      <c r="FI12" s="36">
        <v>4</v>
      </c>
      <c r="FJ12" s="36">
        <v>4</v>
      </c>
      <c r="FK12" s="36">
        <v>7</v>
      </c>
      <c r="FL12" s="36">
        <v>7</v>
      </c>
      <c r="FM12" s="36">
        <v>8</v>
      </c>
      <c r="FN12" s="36">
        <v>5</v>
      </c>
      <c r="FO12" s="36">
        <v>7</v>
      </c>
      <c r="FP12" s="36">
        <v>8</v>
      </c>
      <c r="FQ12" s="36">
        <v>9</v>
      </c>
      <c r="FR12" s="36">
        <v>3</v>
      </c>
      <c r="FS12" s="36">
        <v>3</v>
      </c>
      <c r="FT12" s="36">
        <v>4</v>
      </c>
      <c r="FU12" s="36">
        <v>5</v>
      </c>
      <c r="FV12" s="36">
        <v>1</v>
      </c>
      <c r="FW12" s="36">
        <v>7</v>
      </c>
      <c r="FX12" s="36">
        <v>9</v>
      </c>
      <c r="FY12" s="36">
        <v>8</v>
      </c>
      <c r="FZ12" s="36">
        <v>5</v>
      </c>
      <c r="GA12" s="36">
        <v>4</v>
      </c>
      <c r="GB12" s="36">
        <v>7</v>
      </c>
      <c r="GC12" s="36">
        <v>5</v>
      </c>
      <c r="GD12" s="36">
        <v>7</v>
      </c>
      <c r="GE12" s="36">
        <v>1</v>
      </c>
      <c r="GF12" s="36">
        <v>1</v>
      </c>
      <c r="GG12" s="36">
        <v>3</v>
      </c>
      <c r="GH12" s="36">
        <v>2</v>
      </c>
      <c r="GI12" s="36">
        <v>2</v>
      </c>
      <c r="GJ12" s="36">
        <v>7</v>
      </c>
      <c r="GK12" s="36">
        <v>2</v>
      </c>
      <c r="GL12" s="36">
        <v>4</v>
      </c>
      <c r="GM12" s="36">
        <v>2</v>
      </c>
      <c r="GN12" s="36">
        <v>6</v>
      </c>
      <c r="GO12" s="36">
        <v>8</v>
      </c>
      <c r="GP12" s="36">
        <v>4</v>
      </c>
      <c r="GQ12" s="36">
        <v>5</v>
      </c>
      <c r="GR12" s="36">
        <v>4</v>
      </c>
      <c r="GS12" s="36">
        <v>3</v>
      </c>
      <c r="GT12" s="36">
        <v>5</v>
      </c>
      <c r="GU12" s="36">
        <v>9</v>
      </c>
      <c r="GV12" s="36">
        <v>8</v>
      </c>
      <c r="GW12" s="36">
        <v>8</v>
      </c>
      <c r="GX12" s="36">
        <v>8</v>
      </c>
      <c r="GY12" s="36">
        <v>8</v>
      </c>
      <c r="GZ12" s="36">
        <v>7</v>
      </c>
      <c r="HA12" s="36">
        <v>8</v>
      </c>
      <c r="HB12" s="36">
        <v>8</v>
      </c>
      <c r="HC12" s="36">
        <v>8</v>
      </c>
      <c r="HD12" s="36">
        <v>7</v>
      </c>
      <c r="HE12" s="36">
        <v>1</v>
      </c>
      <c r="HF12" s="36">
        <v>4</v>
      </c>
      <c r="HG12" s="36">
        <v>4</v>
      </c>
      <c r="HH12" s="36">
        <v>5</v>
      </c>
      <c r="HI12" s="36">
        <v>6</v>
      </c>
      <c r="HJ12" s="36">
        <v>4</v>
      </c>
      <c r="HK12" s="36">
        <v>2</v>
      </c>
      <c r="HL12" s="36">
        <v>6</v>
      </c>
      <c r="HM12" s="36">
        <v>8</v>
      </c>
      <c r="HN12" s="36">
        <v>8</v>
      </c>
      <c r="HO12" s="36">
        <v>7</v>
      </c>
      <c r="HP12" s="36">
        <v>6</v>
      </c>
      <c r="HQ12" s="36">
        <v>2</v>
      </c>
      <c r="HR12" s="36">
        <v>7</v>
      </c>
      <c r="HS12" s="36">
        <v>5</v>
      </c>
      <c r="HT12" s="36">
        <v>6</v>
      </c>
      <c r="HU12" s="36">
        <v>8</v>
      </c>
      <c r="HV12" s="36">
        <v>8</v>
      </c>
      <c r="HW12" s="36">
        <v>3</v>
      </c>
      <c r="HX12" s="36">
        <v>7</v>
      </c>
      <c r="HY12" s="36">
        <v>1</v>
      </c>
      <c r="HZ12" s="36">
        <v>1</v>
      </c>
      <c r="IA12" s="36">
        <v>7</v>
      </c>
      <c r="IB12" s="36">
        <v>9</v>
      </c>
      <c r="IC12" s="36">
        <v>7</v>
      </c>
      <c r="ID12" s="36">
        <v>5</v>
      </c>
      <c r="IE12" s="36">
        <v>8</v>
      </c>
      <c r="IF12" s="36">
        <v>2</v>
      </c>
      <c r="IG12" s="36">
        <v>9</v>
      </c>
      <c r="IH12" s="36">
        <v>6</v>
      </c>
      <c r="II12" s="36">
        <v>9</v>
      </c>
      <c r="IJ12" s="36">
        <v>2</v>
      </c>
      <c r="IK12" s="36">
        <v>3</v>
      </c>
      <c r="IL12" s="36">
        <v>8</v>
      </c>
      <c r="IM12" s="36">
        <v>1</v>
      </c>
      <c r="IN12" s="36">
        <v>7</v>
      </c>
      <c r="IO12" s="36">
        <v>7</v>
      </c>
      <c r="IP12" s="36">
        <v>1</v>
      </c>
      <c r="IQ12" s="36">
        <v>9</v>
      </c>
      <c r="IR12" s="36">
        <v>8</v>
      </c>
      <c r="IS12" s="36">
        <v>4</v>
      </c>
      <c r="IT12" s="36">
        <v>5</v>
      </c>
      <c r="IU12" s="36">
        <v>2</v>
      </c>
      <c r="IV12" s="36">
        <v>9</v>
      </c>
      <c r="IW12" s="36">
        <v>6</v>
      </c>
      <c r="IX12" s="36">
        <v>3</v>
      </c>
      <c r="IY12" s="36">
        <v>7</v>
      </c>
      <c r="IZ12" s="36">
        <v>9</v>
      </c>
      <c r="JA12" s="36">
        <v>3</v>
      </c>
      <c r="JB12" s="36">
        <v>2</v>
      </c>
      <c r="JC12" s="36">
        <v>7</v>
      </c>
      <c r="JD12" s="36">
        <v>7</v>
      </c>
      <c r="JE12" s="36">
        <v>4</v>
      </c>
      <c r="JF12" s="36">
        <v>9</v>
      </c>
      <c r="JG12" s="36">
        <v>8</v>
      </c>
      <c r="JH12" s="36">
        <v>1</v>
      </c>
      <c r="JI12" s="36">
        <v>1</v>
      </c>
      <c r="JJ12" s="36">
        <v>5</v>
      </c>
      <c r="JK12" s="36">
        <v>6</v>
      </c>
      <c r="JL12" s="36">
        <v>3</v>
      </c>
      <c r="JM12" s="36">
        <v>9</v>
      </c>
      <c r="JN12" s="36">
        <v>6</v>
      </c>
      <c r="JO12" s="36">
        <v>4</v>
      </c>
      <c r="JP12" s="36">
        <v>7</v>
      </c>
      <c r="JQ12" s="36">
        <v>8</v>
      </c>
      <c r="JR12" s="36">
        <v>9</v>
      </c>
      <c r="JS12" s="36">
        <v>6</v>
      </c>
      <c r="JT12" s="36">
        <v>6</v>
      </c>
      <c r="JU12" s="36">
        <v>8</v>
      </c>
      <c r="JV12" s="36">
        <v>5</v>
      </c>
      <c r="JW12" s="36">
        <v>3</v>
      </c>
      <c r="JX12" s="36">
        <v>3</v>
      </c>
      <c r="JY12" s="36">
        <v>6</v>
      </c>
      <c r="JZ12" s="36">
        <v>2</v>
      </c>
      <c r="KA12" s="36">
        <v>6</v>
      </c>
      <c r="KB12" s="36">
        <v>6</v>
      </c>
      <c r="KC12" s="36">
        <v>8</v>
      </c>
      <c r="KD12" s="36">
        <v>7</v>
      </c>
      <c r="KE12" s="36">
        <v>8</v>
      </c>
      <c r="KF12" s="36">
        <v>9</v>
      </c>
      <c r="KG12" s="36">
        <v>6</v>
      </c>
      <c r="KH12" s="36">
        <v>3</v>
      </c>
      <c r="KI12" s="36">
        <v>3</v>
      </c>
      <c r="KJ12" s="36">
        <v>1</v>
      </c>
      <c r="KK12" s="36">
        <v>5</v>
      </c>
      <c r="KL12" s="36">
        <v>4</v>
      </c>
      <c r="KM12" s="36">
        <v>9</v>
      </c>
      <c r="KN12" s="36">
        <v>9</v>
      </c>
      <c r="KO12" s="36">
        <v>5</v>
      </c>
      <c r="KP12" s="36">
        <v>4</v>
      </c>
      <c r="KQ12" s="36">
        <v>7</v>
      </c>
      <c r="KR12" s="36">
        <v>6</v>
      </c>
      <c r="KS12" s="36">
        <v>4</v>
      </c>
      <c r="KT12" s="36">
        <v>2</v>
      </c>
      <c r="KU12" s="36">
        <v>1</v>
      </c>
      <c r="KV12" s="36">
        <v>4</v>
      </c>
      <c r="KW12" s="36">
        <v>4</v>
      </c>
      <c r="KX12" s="36">
        <v>1</v>
      </c>
      <c r="KY12" s="36">
        <v>6</v>
      </c>
      <c r="KZ12" s="36">
        <v>4</v>
      </c>
      <c r="LA12" s="36">
        <v>1</v>
      </c>
      <c r="LB12" s="36">
        <v>1</v>
      </c>
      <c r="LC12" s="36">
        <v>1</v>
      </c>
      <c r="LD12" s="36">
        <v>8</v>
      </c>
      <c r="LE12" s="36">
        <v>8</v>
      </c>
      <c r="LF12" s="36">
        <v>2</v>
      </c>
      <c r="LG12" s="36">
        <v>7</v>
      </c>
      <c r="LH12" s="36">
        <v>8</v>
      </c>
      <c r="LI12" s="36">
        <v>8</v>
      </c>
      <c r="LJ12" s="36">
        <v>7</v>
      </c>
      <c r="LK12" s="36">
        <v>5</v>
      </c>
      <c r="LL12" s="36">
        <v>1</v>
      </c>
      <c r="LM12" s="36">
        <v>9</v>
      </c>
      <c r="LN12" s="36">
        <v>7</v>
      </c>
      <c r="LO12" s="36">
        <v>2</v>
      </c>
      <c r="LP12" s="36">
        <v>6</v>
      </c>
      <c r="LQ12" s="36">
        <v>2</v>
      </c>
      <c r="LR12" s="36">
        <v>1</v>
      </c>
      <c r="LS12" s="36">
        <v>7</v>
      </c>
      <c r="LT12" s="36">
        <v>2</v>
      </c>
      <c r="LU12" s="36">
        <v>2</v>
      </c>
      <c r="LV12" s="36">
        <v>5</v>
      </c>
      <c r="LW12" s="36">
        <v>5</v>
      </c>
      <c r="LX12" s="36">
        <v>7</v>
      </c>
      <c r="LY12" s="36">
        <v>1</v>
      </c>
      <c r="LZ12" s="36">
        <v>8</v>
      </c>
      <c r="MA12" s="36">
        <v>3</v>
      </c>
      <c r="MB12" s="36">
        <v>4</v>
      </c>
      <c r="MC12" s="36">
        <v>9</v>
      </c>
      <c r="MD12" s="36">
        <v>4</v>
      </c>
      <c r="ME12" s="36">
        <v>5</v>
      </c>
      <c r="MF12" s="36">
        <v>7</v>
      </c>
      <c r="MG12" s="36">
        <v>4</v>
      </c>
      <c r="MH12" s="36">
        <v>1</v>
      </c>
      <c r="MI12" s="36">
        <v>9</v>
      </c>
      <c r="MJ12" s="36">
        <v>4</v>
      </c>
      <c r="MK12" s="36">
        <v>9</v>
      </c>
      <c r="ML12" s="36">
        <v>6</v>
      </c>
      <c r="MM12" s="36">
        <v>1</v>
      </c>
      <c r="MN12" s="36">
        <v>3</v>
      </c>
      <c r="MO12" s="36">
        <v>2</v>
      </c>
      <c r="MP12" s="36">
        <v>9</v>
      </c>
      <c r="MQ12" s="36">
        <v>1</v>
      </c>
      <c r="MR12" s="36">
        <v>9</v>
      </c>
      <c r="MS12" s="36">
        <v>9</v>
      </c>
      <c r="MT12" s="36">
        <v>8</v>
      </c>
      <c r="MU12" s="36">
        <v>8</v>
      </c>
      <c r="MV12" s="36">
        <v>1</v>
      </c>
      <c r="MW12" s="36">
        <v>8</v>
      </c>
      <c r="MX12" s="36">
        <v>3</v>
      </c>
      <c r="MY12" s="36">
        <v>7</v>
      </c>
      <c r="MZ12" s="36">
        <v>1</v>
      </c>
      <c r="NA12" s="36">
        <v>1</v>
      </c>
      <c r="NB12" s="36">
        <v>5</v>
      </c>
      <c r="NC12" s="36">
        <v>5</v>
      </c>
      <c r="ND12" s="36">
        <v>8</v>
      </c>
      <c r="NE12" s="36">
        <v>7</v>
      </c>
      <c r="NF12" s="36">
        <v>8</v>
      </c>
      <c r="NG12" s="36">
        <v>6</v>
      </c>
      <c r="NH12" s="36">
        <v>6</v>
      </c>
      <c r="NI12" s="36">
        <v>2</v>
      </c>
      <c r="NJ12" s="36">
        <v>6</v>
      </c>
      <c r="NK12" s="36">
        <v>5</v>
      </c>
      <c r="NL12" s="36">
        <v>3</v>
      </c>
      <c r="NM12" s="36">
        <v>6</v>
      </c>
      <c r="NN12" s="36">
        <v>8</v>
      </c>
      <c r="NO12" s="36">
        <v>9</v>
      </c>
      <c r="NP12" s="36">
        <v>1</v>
      </c>
      <c r="NQ12" s="36">
        <v>3</v>
      </c>
      <c r="NR12" s="36">
        <v>3</v>
      </c>
      <c r="NS12" s="36">
        <v>8</v>
      </c>
      <c r="NT12" s="36">
        <v>1</v>
      </c>
      <c r="NU12" s="36">
        <v>5</v>
      </c>
      <c r="NV12" s="36">
        <v>3</v>
      </c>
      <c r="NW12" s="36">
        <v>2</v>
      </c>
      <c r="NX12" s="36">
        <v>8</v>
      </c>
      <c r="NY12" s="36">
        <v>3</v>
      </c>
      <c r="NZ12" s="36">
        <v>7</v>
      </c>
      <c r="OA12" s="36">
        <v>1</v>
      </c>
      <c r="OB12" s="36">
        <v>6</v>
      </c>
      <c r="OC12" s="36">
        <v>3</v>
      </c>
      <c r="OD12" s="36">
        <v>8</v>
      </c>
      <c r="OE12" s="36">
        <v>6</v>
      </c>
      <c r="OF12" s="36">
        <v>2</v>
      </c>
      <c r="OG12" s="36">
        <v>6</v>
      </c>
      <c r="OH12" s="36">
        <v>7</v>
      </c>
      <c r="OI12" s="36">
        <v>5</v>
      </c>
      <c r="OJ12" s="36">
        <v>3</v>
      </c>
      <c r="OK12" s="36">
        <v>4</v>
      </c>
      <c r="OL12" s="36">
        <v>4</v>
      </c>
      <c r="OM12" s="36">
        <v>6</v>
      </c>
      <c r="ON12" s="36">
        <v>1</v>
      </c>
      <c r="OO12" s="36">
        <v>4</v>
      </c>
      <c r="OP12" s="36">
        <v>4</v>
      </c>
      <c r="OQ12" s="36">
        <v>1</v>
      </c>
      <c r="OR12" s="36">
        <v>9</v>
      </c>
      <c r="OS12" s="36">
        <v>4</v>
      </c>
      <c r="OT12" s="36">
        <v>7</v>
      </c>
      <c r="OU12" s="36">
        <v>3</v>
      </c>
      <c r="OV12" s="36">
        <v>3</v>
      </c>
      <c r="OW12" s="36">
        <v>8</v>
      </c>
      <c r="OX12" s="36">
        <v>8</v>
      </c>
      <c r="OY12" s="36">
        <v>1</v>
      </c>
      <c r="OZ12" s="36">
        <v>2</v>
      </c>
      <c r="PA12" s="36">
        <v>8</v>
      </c>
      <c r="PB12" s="36">
        <v>1</v>
      </c>
      <c r="PC12" s="36">
        <v>8</v>
      </c>
      <c r="PD12" s="36">
        <v>8</v>
      </c>
      <c r="PE12" s="36">
        <v>2</v>
      </c>
      <c r="PF12" s="36">
        <v>4</v>
      </c>
      <c r="PG12" s="36">
        <v>6</v>
      </c>
      <c r="PH12" s="36">
        <v>9</v>
      </c>
      <c r="PI12" s="36">
        <v>8</v>
      </c>
      <c r="PJ12" s="36">
        <v>8</v>
      </c>
      <c r="PK12" s="36">
        <v>7</v>
      </c>
      <c r="PL12" s="36">
        <v>9</v>
      </c>
      <c r="PM12" s="36">
        <v>2</v>
      </c>
      <c r="PN12" s="36">
        <v>3</v>
      </c>
      <c r="PO12" s="36">
        <v>8</v>
      </c>
      <c r="PP12" s="36">
        <v>6</v>
      </c>
      <c r="PQ12" s="36">
        <v>9</v>
      </c>
      <c r="PR12" s="36">
        <v>4</v>
      </c>
      <c r="PS12" s="36">
        <v>8</v>
      </c>
      <c r="PT12" s="36">
        <v>3</v>
      </c>
      <c r="PU12" s="36">
        <v>3</v>
      </c>
      <c r="PV12" s="36">
        <v>8</v>
      </c>
      <c r="PW12" s="36">
        <v>5</v>
      </c>
      <c r="PX12" s="36">
        <v>3</v>
      </c>
      <c r="PY12" s="36">
        <v>1</v>
      </c>
      <c r="PZ12" s="36">
        <v>3</v>
      </c>
      <c r="QA12" s="36">
        <v>9</v>
      </c>
      <c r="QB12" s="36">
        <v>5</v>
      </c>
      <c r="QC12" s="36">
        <v>2</v>
      </c>
      <c r="QD12" s="36">
        <v>7</v>
      </c>
      <c r="QE12" s="36">
        <v>2</v>
      </c>
      <c r="QF12" s="36">
        <v>4</v>
      </c>
      <c r="QG12" s="36">
        <v>7</v>
      </c>
      <c r="QH12" s="36">
        <v>4</v>
      </c>
      <c r="QI12" s="36">
        <v>7</v>
      </c>
      <c r="QJ12" s="36">
        <v>7</v>
      </c>
      <c r="QK12" s="36">
        <v>1</v>
      </c>
      <c r="QL12" s="36">
        <v>6</v>
      </c>
      <c r="QM12" s="36">
        <v>9</v>
      </c>
      <c r="QN12" s="36">
        <v>2</v>
      </c>
      <c r="QO12" s="36">
        <v>3</v>
      </c>
      <c r="QP12" s="36">
        <v>5</v>
      </c>
      <c r="QQ12" s="36">
        <v>9</v>
      </c>
      <c r="QR12" s="36">
        <v>4</v>
      </c>
      <c r="QS12" s="36">
        <v>1</v>
      </c>
      <c r="QT12" s="36">
        <v>4</v>
      </c>
      <c r="QU12" s="36">
        <v>6</v>
      </c>
      <c r="QV12" s="36">
        <v>5</v>
      </c>
      <c r="QW12" s="36">
        <v>1</v>
      </c>
      <c r="QX12" s="36">
        <v>4</v>
      </c>
      <c r="QY12" s="36">
        <v>6</v>
      </c>
      <c r="QZ12" s="36">
        <v>4</v>
      </c>
      <c r="RA12" s="36">
        <v>9</v>
      </c>
      <c r="RB12" s="36">
        <v>5</v>
      </c>
      <c r="RC12" s="36">
        <v>8</v>
      </c>
      <c r="RD12" s="36">
        <v>9</v>
      </c>
      <c r="RE12" s="36">
        <v>5</v>
      </c>
      <c r="RF12" s="36">
        <v>6</v>
      </c>
      <c r="RG12" s="36">
        <v>1</v>
      </c>
      <c r="RH12" s="36">
        <v>7</v>
      </c>
      <c r="RI12" s="36">
        <v>4</v>
      </c>
      <c r="RJ12" s="36">
        <v>2</v>
      </c>
      <c r="RK12" s="36">
        <v>5</v>
      </c>
      <c r="RL12" s="36">
        <v>3</v>
      </c>
      <c r="RM12" s="36">
        <v>6</v>
      </c>
      <c r="RN12" s="36">
        <v>8</v>
      </c>
      <c r="RO12" s="36">
        <v>7</v>
      </c>
      <c r="RP12" s="36">
        <v>3</v>
      </c>
      <c r="RQ12" s="36">
        <v>8</v>
      </c>
      <c r="RR12" s="36">
        <v>2</v>
      </c>
      <c r="RS12" s="36">
        <v>9</v>
      </c>
      <c r="RT12" s="36">
        <v>4</v>
      </c>
      <c r="RU12" s="36">
        <v>1</v>
      </c>
      <c r="RV12" s="36">
        <v>8</v>
      </c>
      <c r="RW12" s="36">
        <v>7</v>
      </c>
      <c r="RX12" s="36">
        <v>5</v>
      </c>
      <c r="RY12" s="36">
        <v>5</v>
      </c>
      <c r="RZ12" s="36">
        <v>7</v>
      </c>
      <c r="SA12" s="36">
        <v>5</v>
      </c>
      <c r="SB12" s="36">
        <v>8</v>
      </c>
      <c r="SC12" s="36">
        <v>6</v>
      </c>
      <c r="SD12" s="36">
        <v>5</v>
      </c>
      <c r="SE12" s="36">
        <v>9</v>
      </c>
      <c r="SF12" s="36">
        <v>2</v>
      </c>
      <c r="SG12" s="36">
        <v>1</v>
      </c>
    </row>
    <row r="13" spans="1:501" x14ac:dyDescent="0.3">
      <c r="A13" s="38" t="s">
        <v>12</v>
      </c>
      <c r="B13" s="36">
        <v>2843.87</v>
      </c>
      <c r="C13" s="36">
        <v>2525.23</v>
      </c>
      <c r="D13" s="36">
        <v>3474.34</v>
      </c>
      <c r="E13" s="36">
        <v>1008.79</v>
      </c>
      <c r="F13" s="36">
        <v>3511.47</v>
      </c>
      <c r="G13" s="36">
        <v>3189.55</v>
      </c>
      <c r="H13" s="36">
        <v>3030.42</v>
      </c>
      <c r="I13" s="36">
        <v>2310.83</v>
      </c>
      <c r="J13" s="36">
        <v>1098.04</v>
      </c>
      <c r="K13" s="36">
        <v>1780.66</v>
      </c>
      <c r="L13" s="36">
        <v>3205.25</v>
      </c>
      <c r="M13" s="36">
        <v>272.35000000000002</v>
      </c>
      <c r="N13" s="36">
        <v>3160.9</v>
      </c>
      <c r="O13" s="36">
        <v>1074.27</v>
      </c>
      <c r="P13" s="36">
        <v>705.59</v>
      </c>
      <c r="Q13" s="36">
        <v>595.45000000000005</v>
      </c>
      <c r="R13" s="36">
        <v>254.91</v>
      </c>
      <c r="S13" s="36">
        <v>2165.81</v>
      </c>
      <c r="T13" s="36">
        <v>990.3</v>
      </c>
      <c r="U13" s="36">
        <v>3959.31</v>
      </c>
      <c r="V13" s="36">
        <v>2361.58</v>
      </c>
      <c r="W13" s="36">
        <v>680.86</v>
      </c>
      <c r="X13" s="36">
        <v>2801.74</v>
      </c>
      <c r="Y13" s="36">
        <v>3606.31</v>
      </c>
      <c r="Z13" s="36">
        <v>3018.94</v>
      </c>
      <c r="AA13" s="36">
        <v>444.29</v>
      </c>
      <c r="AB13" s="36">
        <v>3599.15</v>
      </c>
      <c r="AC13" s="36">
        <v>3206.63</v>
      </c>
      <c r="AD13" s="36">
        <v>759.47</v>
      </c>
      <c r="AE13" s="36">
        <v>349.38</v>
      </c>
      <c r="AF13" s="36">
        <v>2295.65</v>
      </c>
      <c r="AG13" s="36">
        <v>750.74</v>
      </c>
      <c r="AH13" s="36">
        <v>3363.18</v>
      </c>
      <c r="AI13" s="36">
        <v>1529.59</v>
      </c>
      <c r="AJ13" s="36">
        <v>3664.64</v>
      </c>
      <c r="AK13" s="36">
        <v>2327.9</v>
      </c>
      <c r="AL13" s="36">
        <v>853.29</v>
      </c>
      <c r="AM13" s="36">
        <v>687.46</v>
      </c>
      <c r="AN13" s="36">
        <v>2369.42</v>
      </c>
      <c r="AO13" s="36">
        <v>3083.25</v>
      </c>
      <c r="AP13" s="36">
        <v>3158.8</v>
      </c>
      <c r="AQ13" s="36">
        <v>1211.67</v>
      </c>
      <c r="AR13" s="36">
        <v>936.35</v>
      </c>
      <c r="AS13" s="36">
        <v>214.51</v>
      </c>
      <c r="AT13" s="36">
        <v>2764.92</v>
      </c>
      <c r="AU13" s="36">
        <v>444.79</v>
      </c>
      <c r="AV13" s="36">
        <v>1769.93</v>
      </c>
      <c r="AW13" s="36">
        <v>2466.48</v>
      </c>
      <c r="AX13" s="36">
        <v>3757.87</v>
      </c>
      <c r="AY13" s="36">
        <v>1350.44</v>
      </c>
      <c r="AZ13" s="36">
        <v>1111.6199999999999</v>
      </c>
      <c r="BA13" s="36">
        <v>2668.52</v>
      </c>
      <c r="BB13" s="36">
        <v>2534.0700000000002</v>
      </c>
      <c r="BC13" s="36">
        <v>1428.62</v>
      </c>
      <c r="BD13" s="36">
        <v>3723.19</v>
      </c>
      <c r="BE13" s="36">
        <v>3402.72</v>
      </c>
      <c r="BF13" s="36">
        <v>1012.33</v>
      </c>
      <c r="BG13" s="36">
        <v>1070.7</v>
      </c>
      <c r="BH13" s="36">
        <v>2122.36</v>
      </c>
      <c r="BI13" s="36">
        <v>3128.25</v>
      </c>
      <c r="BJ13" s="36">
        <v>319.56</v>
      </c>
      <c r="BK13" s="36">
        <v>2819.34</v>
      </c>
      <c r="BL13" s="36">
        <v>2645.71</v>
      </c>
      <c r="BM13" s="36">
        <v>1041.2</v>
      </c>
      <c r="BN13" s="36">
        <v>2773.21</v>
      </c>
      <c r="BO13" s="36">
        <v>3769.71</v>
      </c>
      <c r="BP13" s="36">
        <v>330.13</v>
      </c>
      <c r="BQ13" s="36">
        <v>1380.66</v>
      </c>
      <c r="BR13" s="36">
        <v>1836.98</v>
      </c>
      <c r="BS13" s="36">
        <v>3612.15</v>
      </c>
      <c r="BT13" s="36">
        <v>3854.71</v>
      </c>
      <c r="BU13" s="36">
        <v>1859.84</v>
      </c>
      <c r="BV13" s="36">
        <v>3037.61</v>
      </c>
      <c r="BW13" s="36">
        <v>2196.89</v>
      </c>
      <c r="BX13" s="36">
        <v>2220.46</v>
      </c>
      <c r="BY13" s="36">
        <v>1220.68</v>
      </c>
      <c r="BZ13" s="36">
        <v>985.28</v>
      </c>
      <c r="CA13" s="36">
        <v>1258.82</v>
      </c>
      <c r="CB13" s="36">
        <v>2291.86</v>
      </c>
      <c r="CC13" s="36">
        <v>262.25</v>
      </c>
      <c r="CD13" s="36">
        <v>3642.91</v>
      </c>
      <c r="CE13" s="36">
        <v>751.69</v>
      </c>
      <c r="CF13" s="36">
        <v>997.34</v>
      </c>
      <c r="CG13" s="36">
        <v>2145.36</v>
      </c>
      <c r="CH13" s="36">
        <v>2883.94</v>
      </c>
      <c r="CI13" s="36">
        <v>518.55999999999995</v>
      </c>
      <c r="CJ13" s="36">
        <v>1373.12</v>
      </c>
      <c r="CK13" s="36">
        <v>3879.4</v>
      </c>
      <c r="CL13" s="36">
        <v>1160.02</v>
      </c>
      <c r="CM13" s="36">
        <v>1355.24</v>
      </c>
      <c r="CN13" s="36">
        <v>3370.52</v>
      </c>
      <c r="CO13" s="36">
        <v>343.33</v>
      </c>
      <c r="CP13" s="36">
        <v>1938.76</v>
      </c>
      <c r="CQ13" s="36">
        <v>1611.52</v>
      </c>
      <c r="CR13" s="36">
        <v>1368.86</v>
      </c>
      <c r="CS13" s="36">
        <v>1249.94</v>
      </c>
      <c r="CT13" s="36">
        <v>501.79</v>
      </c>
      <c r="CU13" s="36">
        <v>1362.08</v>
      </c>
      <c r="CV13" s="36">
        <v>315.75</v>
      </c>
      <c r="CW13" s="36">
        <v>3156.71</v>
      </c>
      <c r="CX13" s="36">
        <v>1683.18</v>
      </c>
      <c r="CY13" s="36">
        <v>1859.03</v>
      </c>
      <c r="CZ13" s="36">
        <v>3590.34</v>
      </c>
      <c r="DA13" s="36">
        <v>2683.51</v>
      </c>
      <c r="DB13" s="36">
        <v>181.03</v>
      </c>
      <c r="DC13" s="36">
        <v>3781.22</v>
      </c>
      <c r="DD13" s="36">
        <v>1063.01</v>
      </c>
      <c r="DE13" s="36">
        <v>564.30999999999995</v>
      </c>
      <c r="DF13" s="36">
        <v>3107.29</v>
      </c>
      <c r="DG13" s="36">
        <v>2076.84</v>
      </c>
      <c r="DH13" s="36">
        <v>1820.02</v>
      </c>
      <c r="DI13" s="36">
        <v>1110.5899999999999</v>
      </c>
      <c r="DJ13" s="36">
        <v>2257.77</v>
      </c>
      <c r="DK13" s="36">
        <v>1206.3800000000001</v>
      </c>
      <c r="DL13" s="36">
        <v>3621.09</v>
      </c>
      <c r="DM13" s="36">
        <v>978.54</v>
      </c>
      <c r="DN13" s="36">
        <v>3554.77</v>
      </c>
      <c r="DO13" s="36">
        <v>2303.71</v>
      </c>
      <c r="DP13" s="36">
        <v>3339.68</v>
      </c>
      <c r="DQ13" s="36">
        <v>2894.46</v>
      </c>
      <c r="DR13" s="36">
        <v>2832.28</v>
      </c>
      <c r="DS13" s="36">
        <v>1398.73</v>
      </c>
      <c r="DT13" s="36">
        <v>1050.5</v>
      </c>
      <c r="DU13" s="36">
        <v>961.91</v>
      </c>
      <c r="DV13" s="36">
        <v>3450.19</v>
      </c>
      <c r="DW13" s="36">
        <v>3308.64</v>
      </c>
      <c r="DX13" s="36">
        <v>1846.21</v>
      </c>
      <c r="DY13" s="36">
        <v>659.76</v>
      </c>
      <c r="DZ13" s="36">
        <v>1621.67</v>
      </c>
      <c r="EA13" s="36">
        <v>2534.4699999999998</v>
      </c>
      <c r="EB13" s="36">
        <v>1899.45</v>
      </c>
      <c r="EC13" s="36">
        <v>3153.73</v>
      </c>
      <c r="ED13" s="36">
        <v>3990.85</v>
      </c>
      <c r="EE13" s="36">
        <v>885.86</v>
      </c>
      <c r="EF13" s="36">
        <v>1919.66</v>
      </c>
      <c r="EG13" s="36">
        <v>1809.29</v>
      </c>
      <c r="EH13" s="36">
        <v>1322.3</v>
      </c>
      <c r="EI13" s="36">
        <v>912.67</v>
      </c>
      <c r="EJ13" s="36">
        <v>402.91</v>
      </c>
      <c r="EK13" s="36">
        <v>3565.41</v>
      </c>
      <c r="EL13" s="36">
        <v>1766.42</v>
      </c>
      <c r="EM13" s="36">
        <v>2063.0500000000002</v>
      </c>
      <c r="EN13" s="36">
        <v>3680.23</v>
      </c>
      <c r="EO13" s="36">
        <v>3138.72</v>
      </c>
      <c r="EP13" s="36">
        <v>652.42999999999995</v>
      </c>
      <c r="EQ13" s="36">
        <v>2326.87</v>
      </c>
      <c r="ER13" s="36">
        <v>1852.67</v>
      </c>
      <c r="ES13" s="36">
        <v>3219.26</v>
      </c>
      <c r="ET13" s="36">
        <v>2938.3</v>
      </c>
      <c r="EU13" s="36">
        <v>2808.06</v>
      </c>
      <c r="EV13" s="36">
        <v>1461.1</v>
      </c>
      <c r="EW13" s="36">
        <v>3249.11</v>
      </c>
      <c r="EX13" s="36">
        <v>351.71</v>
      </c>
      <c r="EY13" s="36">
        <v>764.56</v>
      </c>
      <c r="EZ13" s="36">
        <v>1442.15</v>
      </c>
      <c r="FA13" s="36">
        <v>445.71</v>
      </c>
      <c r="FB13" s="36">
        <v>1054.73</v>
      </c>
      <c r="FC13" s="36">
        <v>3346.08</v>
      </c>
      <c r="FD13" s="36">
        <v>3800.77</v>
      </c>
      <c r="FE13" s="36">
        <v>1322.72</v>
      </c>
      <c r="FF13" s="36">
        <v>1168.3900000000001</v>
      </c>
      <c r="FG13" s="36">
        <v>1227.5899999999999</v>
      </c>
      <c r="FH13" s="36">
        <v>1219.22</v>
      </c>
      <c r="FI13" s="36">
        <v>288.33</v>
      </c>
      <c r="FJ13" s="36">
        <v>3718.63</v>
      </c>
      <c r="FK13" s="36">
        <v>972.74</v>
      </c>
      <c r="FL13" s="36">
        <v>1767.02</v>
      </c>
      <c r="FM13" s="36">
        <v>187.29</v>
      </c>
      <c r="FN13" s="36">
        <v>3453.13</v>
      </c>
      <c r="FO13" s="36">
        <v>2964.96</v>
      </c>
      <c r="FP13" s="36">
        <v>3795.01</v>
      </c>
      <c r="FQ13" s="36">
        <v>3159.22</v>
      </c>
      <c r="FR13" s="36">
        <v>1357.77</v>
      </c>
      <c r="FS13" s="36">
        <v>1104.31</v>
      </c>
      <c r="FT13" s="36">
        <v>2836.21</v>
      </c>
      <c r="FU13" s="36">
        <v>1551.83</v>
      </c>
      <c r="FV13" s="36">
        <v>2329.9299999999998</v>
      </c>
      <c r="FW13" s="36">
        <v>174.09</v>
      </c>
      <c r="FX13" s="36">
        <v>388.26</v>
      </c>
      <c r="FY13" s="36">
        <v>2211.17</v>
      </c>
      <c r="FZ13" s="36">
        <v>2329.38</v>
      </c>
      <c r="GA13" s="36">
        <v>3043.09</v>
      </c>
      <c r="GB13" s="36">
        <v>658.07</v>
      </c>
      <c r="GC13" s="36">
        <v>2125.75</v>
      </c>
      <c r="GD13" s="36">
        <v>898.62</v>
      </c>
      <c r="GE13" s="36">
        <v>508.81</v>
      </c>
      <c r="GF13" s="36">
        <v>1730.41</v>
      </c>
      <c r="GG13" s="36">
        <v>778.85</v>
      </c>
      <c r="GH13" s="36">
        <v>1003.86</v>
      </c>
      <c r="GI13" s="36">
        <v>1372.59</v>
      </c>
      <c r="GJ13" s="36">
        <v>1148.6500000000001</v>
      </c>
      <c r="GK13" s="36">
        <v>487.23</v>
      </c>
      <c r="GL13" s="36">
        <v>496.18</v>
      </c>
      <c r="GM13" s="36">
        <v>894.01</v>
      </c>
      <c r="GN13" s="36">
        <v>344.65</v>
      </c>
      <c r="GO13" s="36">
        <v>2561.86</v>
      </c>
      <c r="GP13" s="36">
        <v>1256.21</v>
      </c>
      <c r="GQ13" s="36">
        <v>1227.02</v>
      </c>
      <c r="GR13" s="36">
        <v>1428.19</v>
      </c>
      <c r="GS13" s="36">
        <v>2701.77</v>
      </c>
      <c r="GT13" s="36">
        <v>3501.94</v>
      </c>
      <c r="GU13" s="36">
        <v>3072.48</v>
      </c>
      <c r="GV13" s="36">
        <v>2950.99</v>
      </c>
      <c r="GW13" s="36">
        <v>2014.91</v>
      </c>
      <c r="GX13" s="36">
        <v>2821.15</v>
      </c>
      <c r="GY13" s="36">
        <v>2278.14</v>
      </c>
      <c r="GZ13" s="36">
        <v>982.56</v>
      </c>
      <c r="HA13" s="36">
        <v>953.07</v>
      </c>
      <c r="HB13" s="36">
        <v>1291.1099999999999</v>
      </c>
      <c r="HC13" s="36">
        <v>3656.59</v>
      </c>
      <c r="HD13" s="36">
        <v>2257.5500000000002</v>
      </c>
      <c r="HE13" s="36">
        <v>2975.54</v>
      </c>
      <c r="HF13" s="36">
        <v>1484.25</v>
      </c>
      <c r="HG13" s="36">
        <v>1719.71</v>
      </c>
      <c r="HH13" s="36">
        <v>633.42999999999995</v>
      </c>
      <c r="HI13" s="36">
        <v>809.49</v>
      </c>
      <c r="HJ13" s="36">
        <v>3335.32</v>
      </c>
      <c r="HK13" s="36">
        <v>2401.63</v>
      </c>
      <c r="HL13" s="36">
        <v>1449.5</v>
      </c>
      <c r="HM13" s="36">
        <v>3240.98</v>
      </c>
      <c r="HN13" s="36">
        <v>1099.0999999999999</v>
      </c>
      <c r="HO13" s="36">
        <v>3907.73</v>
      </c>
      <c r="HP13" s="36">
        <v>1477.55</v>
      </c>
      <c r="HQ13" s="36">
        <v>1448.65</v>
      </c>
      <c r="HR13" s="36">
        <v>1350.86</v>
      </c>
      <c r="HS13" s="36">
        <v>620.13</v>
      </c>
      <c r="HT13" s="36">
        <v>577.88</v>
      </c>
      <c r="HU13" s="36">
        <v>2645.2</v>
      </c>
      <c r="HV13" s="36">
        <v>3519.2</v>
      </c>
      <c r="HW13" s="36">
        <v>3193.5</v>
      </c>
      <c r="HX13" s="36">
        <v>693.26</v>
      </c>
      <c r="HY13" s="36">
        <v>2250.4899999999998</v>
      </c>
      <c r="HZ13" s="36">
        <v>556.53</v>
      </c>
      <c r="IA13" s="36">
        <v>324.38</v>
      </c>
      <c r="IB13" s="36">
        <v>2677.09</v>
      </c>
      <c r="IC13" s="36">
        <v>2210.34</v>
      </c>
      <c r="ID13" s="36">
        <v>465.79</v>
      </c>
      <c r="IE13" s="36">
        <v>284.52</v>
      </c>
      <c r="IF13" s="36">
        <v>3960.56</v>
      </c>
      <c r="IG13" s="36">
        <v>265.58</v>
      </c>
      <c r="IH13" s="36">
        <v>1861.43</v>
      </c>
      <c r="II13" s="36">
        <v>2092.7800000000002</v>
      </c>
      <c r="IJ13" s="36">
        <v>601.53</v>
      </c>
      <c r="IK13" s="36">
        <v>800.89</v>
      </c>
      <c r="IL13" s="36">
        <v>1504.45</v>
      </c>
      <c r="IM13" s="36">
        <v>3082.45</v>
      </c>
      <c r="IN13" s="36">
        <v>2102.27</v>
      </c>
      <c r="IO13" s="36">
        <v>2605.92</v>
      </c>
      <c r="IP13" s="36">
        <v>3942.92</v>
      </c>
      <c r="IQ13" s="36">
        <v>3106.82</v>
      </c>
      <c r="IR13" s="36">
        <v>1822.29</v>
      </c>
      <c r="IS13" s="36">
        <v>1868.8</v>
      </c>
      <c r="IT13" s="36">
        <v>2532.27</v>
      </c>
      <c r="IU13" s="36">
        <v>2711.66</v>
      </c>
      <c r="IV13" s="36">
        <v>2077.7399999999998</v>
      </c>
      <c r="IW13" s="36">
        <v>2632.72</v>
      </c>
      <c r="IX13" s="36">
        <v>240.6</v>
      </c>
      <c r="IY13" s="36">
        <v>1804.05</v>
      </c>
      <c r="IZ13" s="36">
        <v>1223.9100000000001</v>
      </c>
      <c r="JA13" s="36">
        <v>647.32000000000005</v>
      </c>
      <c r="JB13" s="36">
        <v>533.25</v>
      </c>
      <c r="JC13" s="36">
        <v>2472.29</v>
      </c>
      <c r="JD13" s="36">
        <v>2165.86</v>
      </c>
      <c r="JE13" s="36">
        <v>1126.3</v>
      </c>
      <c r="JF13" s="36">
        <v>1963.16</v>
      </c>
      <c r="JG13" s="36">
        <v>2045.09</v>
      </c>
      <c r="JH13" s="36">
        <v>900.78</v>
      </c>
      <c r="JI13" s="36">
        <v>2660.56</v>
      </c>
      <c r="JJ13" s="36">
        <v>3156.54</v>
      </c>
      <c r="JK13" s="36">
        <v>3197.13</v>
      </c>
      <c r="JL13" s="36">
        <v>2469.5100000000002</v>
      </c>
      <c r="JM13" s="36">
        <v>2119.81</v>
      </c>
      <c r="JN13" s="36">
        <v>384.88</v>
      </c>
      <c r="JO13" s="36">
        <v>1258.1500000000001</v>
      </c>
      <c r="JP13" s="36">
        <v>509.1</v>
      </c>
      <c r="JQ13" s="36">
        <v>3860.72</v>
      </c>
      <c r="JR13" s="36">
        <v>670.06</v>
      </c>
      <c r="JS13" s="36">
        <v>734.34</v>
      </c>
      <c r="JT13" s="36">
        <v>3574.87</v>
      </c>
      <c r="JU13" s="36">
        <v>3784.12</v>
      </c>
      <c r="JV13" s="36">
        <v>3098.44</v>
      </c>
      <c r="JW13" s="36">
        <v>170.81</v>
      </c>
      <c r="JX13" s="36">
        <v>155.18</v>
      </c>
      <c r="JY13" s="36">
        <v>1605.69</v>
      </c>
      <c r="JZ13" s="36">
        <v>702.07</v>
      </c>
      <c r="KA13" s="36">
        <v>220.79</v>
      </c>
      <c r="KB13" s="36">
        <v>1936.66</v>
      </c>
      <c r="KC13" s="36">
        <v>3780.79</v>
      </c>
      <c r="KD13" s="36">
        <v>1396.71</v>
      </c>
      <c r="KE13" s="36">
        <v>2695.39</v>
      </c>
      <c r="KF13" s="36">
        <v>2661.11</v>
      </c>
      <c r="KG13" s="36">
        <v>1116.6600000000001</v>
      </c>
      <c r="KH13" s="36">
        <v>2654.14</v>
      </c>
      <c r="KI13" s="36">
        <v>967.49</v>
      </c>
      <c r="KJ13" s="36">
        <v>619.73</v>
      </c>
      <c r="KK13" s="36">
        <v>2850.33</v>
      </c>
      <c r="KL13" s="36">
        <v>586.75</v>
      </c>
      <c r="KM13" s="36">
        <v>3988.1</v>
      </c>
      <c r="KN13" s="36">
        <v>856.29</v>
      </c>
      <c r="KO13" s="36">
        <v>2437.4499999999998</v>
      </c>
      <c r="KP13" s="36">
        <v>1733.79</v>
      </c>
      <c r="KQ13" s="36">
        <v>636.59</v>
      </c>
      <c r="KR13" s="36">
        <v>257.2</v>
      </c>
      <c r="KS13" s="36">
        <v>2547.52</v>
      </c>
      <c r="KT13" s="36">
        <v>3256.02</v>
      </c>
      <c r="KU13" s="36">
        <v>3391.76</v>
      </c>
      <c r="KV13" s="36">
        <v>2008.45</v>
      </c>
      <c r="KW13" s="36">
        <v>3143.2</v>
      </c>
      <c r="KX13" s="36">
        <v>2740.46</v>
      </c>
      <c r="KY13" s="36">
        <v>2938.38</v>
      </c>
      <c r="KZ13" s="36">
        <v>2046.51</v>
      </c>
      <c r="LA13" s="36">
        <v>2588.64</v>
      </c>
      <c r="LB13" s="36">
        <v>3251.27</v>
      </c>
      <c r="LC13" s="36">
        <v>1681.85</v>
      </c>
      <c r="LD13" s="36">
        <v>3253.02</v>
      </c>
      <c r="LE13" s="36">
        <v>2429.2600000000002</v>
      </c>
      <c r="LF13" s="36">
        <v>788.72</v>
      </c>
      <c r="LG13" s="36">
        <v>245.03</v>
      </c>
      <c r="LH13" s="36">
        <v>1546.6</v>
      </c>
      <c r="LI13" s="36">
        <v>2254.7800000000002</v>
      </c>
      <c r="LJ13" s="36">
        <v>3383.31</v>
      </c>
      <c r="LK13" s="36">
        <v>640.82000000000005</v>
      </c>
      <c r="LL13" s="36">
        <v>3230.79</v>
      </c>
      <c r="LM13" s="36">
        <v>3472.58</v>
      </c>
      <c r="LN13" s="36">
        <v>730.15</v>
      </c>
      <c r="LO13" s="36">
        <v>3428.64</v>
      </c>
      <c r="LP13" s="36">
        <v>3967.1</v>
      </c>
      <c r="LQ13" s="36">
        <v>2948.33</v>
      </c>
      <c r="LR13" s="36">
        <v>3171.36</v>
      </c>
      <c r="LS13" s="36">
        <v>3978.5</v>
      </c>
      <c r="LT13" s="36">
        <v>2481.1</v>
      </c>
      <c r="LU13" s="36">
        <v>1335.36</v>
      </c>
      <c r="LV13" s="36">
        <v>3374.49</v>
      </c>
      <c r="LW13" s="36">
        <v>2515.77</v>
      </c>
      <c r="LX13" s="36">
        <v>2387.6</v>
      </c>
      <c r="LY13" s="36">
        <v>1126.5</v>
      </c>
      <c r="LZ13" s="36">
        <v>3061.89</v>
      </c>
      <c r="MA13" s="36">
        <v>464.42</v>
      </c>
      <c r="MB13" s="36">
        <v>3708.51</v>
      </c>
      <c r="MC13" s="36">
        <v>1404.42</v>
      </c>
      <c r="MD13" s="36">
        <v>641.92999999999995</v>
      </c>
      <c r="ME13" s="36">
        <v>1853.11</v>
      </c>
      <c r="MF13" s="36">
        <v>313.51</v>
      </c>
      <c r="MG13" s="36">
        <v>2785.81</v>
      </c>
      <c r="MH13" s="36">
        <v>3625.42</v>
      </c>
      <c r="MI13" s="36">
        <v>3373.46</v>
      </c>
      <c r="MJ13" s="36">
        <v>640.37</v>
      </c>
      <c r="MK13" s="36">
        <v>636.14</v>
      </c>
      <c r="ML13" s="36">
        <v>3281.72</v>
      </c>
      <c r="MM13" s="36">
        <v>3708.38</v>
      </c>
      <c r="MN13" s="36">
        <v>1923.58</v>
      </c>
      <c r="MO13" s="36">
        <v>2071.04</v>
      </c>
      <c r="MP13" s="36">
        <v>1375.31</v>
      </c>
      <c r="MQ13" s="36">
        <v>3592.92</v>
      </c>
      <c r="MR13" s="36">
        <v>2632.88</v>
      </c>
      <c r="MS13" s="36">
        <v>1259.77</v>
      </c>
      <c r="MT13" s="36">
        <v>1300.31</v>
      </c>
      <c r="MU13" s="36">
        <v>3581.12</v>
      </c>
      <c r="MV13" s="36">
        <v>202.49</v>
      </c>
      <c r="MW13" s="36">
        <v>1392.5</v>
      </c>
      <c r="MX13" s="36">
        <v>2284.27</v>
      </c>
      <c r="MY13" s="36">
        <v>720.64</v>
      </c>
      <c r="MZ13" s="36">
        <v>504.58</v>
      </c>
      <c r="NA13" s="36">
        <v>3288.81</v>
      </c>
      <c r="NB13" s="36">
        <v>3593.46</v>
      </c>
      <c r="NC13" s="36">
        <v>3320.88</v>
      </c>
      <c r="ND13" s="36">
        <v>3610.33</v>
      </c>
      <c r="NE13" s="36">
        <v>2279.48</v>
      </c>
      <c r="NF13" s="36">
        <v>3277.19</v>
      </c>
      <c r="NG13" s="36">
        <v>1628.56</v>
      </c>
      <c r="NH13" s="36">
        <v>2715.13</v>
      </c>
      <c r="NI13" s="36">
        <v>3957.02</v>
      </c>
      <c r="NJ13" s="36">
        <v>1019.05</v>
      </c>
      <c r="NK13" s="36">
        <v>1651.11</v>
      </c>
      <c r="NL13" s="36">
        <v>1998.18</v>
      </c>
      <c r="NM13" s="36">
        <v>681.36</v>
      </c>
      <c r="NN13" s="36">
        <v>462</v>
      </c>
      <c r="NO13" s="36">
        <v>3344.43</v>
      </c>
      <c r="NP13" s="36">
        <v>3910.66</v>
      </c>
      <c r="NQ13" s="36">
        <v>1708.19</v>
      </c>
      <c r="NR13" s="36">
        <v>487.45</v>
      </c>
      <c r="NS13" s="36">
        <v>403.38</v>
      </c>
      <c r="NT13" s="36">
        <v>3581.58</v>
      </c>
      <c r="NU13" s="36">
        <v>1935.68</v>
      </c>
      <c r="NV13" s="36">
        <v>1382.11</v>
      </c>
      <c r="NW13" s="36">
        <v>1984.38</v>
      </c>
      <c r="NX13" s="36">
        <v>1375.47</v>
      </c>
      <c r="NY13" s="36">
        <v>2032.79</v>
      </c>
      <c r="NZ13" s="36">
        <v>3459.29</v>
      </c>
      <c r="OA13" s="36">
        <v>2430.36</v>
      </c>
      <c r="OB13" s="36">
        <v>2824.42</v>
      </c>
      <c r="OC13" s="36">
        <v>1553.98</v>
      </c>
      <c r="OD13" s="36">
        <v>2993.25</v>
      </c>
      <c r="OE13" s="36">
        <v>2716.48</v>
      </c>
      <c r="OF13" s="36">
        <v>610.30999999999995</v>
      </c>
      <c r="OG13" s="36">
        <v>2354.67</v>
      </c>
      <c r="OH13" s="36">
        <v>1138.46</v>
      </c>
      <c r="OI13" s="36">
        <v>3245.77</v>
      </c>
      <c r="OJ13" s="36">
        <v>1789.86</v>
      </c>
      <c r="OK13" s="36">
        <v>3979.53</v>
      </c>
      <c r="OL13" s="36">
        <v>506.13</v>
      </c>
      <c r="OM13" s="36">
        <v>3154.34</v>
      </c>
      <c r="ON13" s="36">
        <v>2743.75</v>
      </c>
      <c r="OO13" s="36">
        <v>3104.87</v>
      </c>
      <c r="OP13" s="36">
        <v>1333.99</v>
      </c>
      <c r="OQ13" s="36">
        <v>2044.41</v>
      </c>
      <c r="OR13" s="36">
        <v>3216.56</v>
      </c>
      <c r="OS13" s="36">
        <v>1045.28</v>
      </c>
      <c r="OT13" s="36">
        <v>1020.23</v>
      </c>
      <c r="OU13" s="36">
        <v>2271.5500000000002</v>
      </c>
      <c r="OV13" s="36">
        <v>2165.7199999999998</v>
      </c>
      <c r="OW13" s="36">
        <v>1236.71</v>
      </c>
      <c r="OX13" s="36">
        <v>1297.5899999999999</v>
      </c>
      <c r="OY13" s="36">
        <v>1219.7</v>
      </c>
      <c r="OZ13" s="36">
        <v>3120.32</v>
      </c>
      <c r="PA13" s="36">
        <v>2659.82</v>
      </c>
      <c r="PB13" s="36">
        <v>3354.81</v>
      </c>
      <c r="PC13" s="36">
        <v>3905.57</v>
      </c>
      <c r="PD13" s="36">
        <v>1975.53</v>
      </c>
      <c r="PE13" s="36">
        <v>406.77</v>
      </c>
      <c r="PF13" s="36">
        <v>335.16</v>
      </c>
      <c r="PG13" s="36">
        <v>1288.31</v>
      </c>
      <c r="PH13" s="36">
        <v>3740.3</v>
      </c>
      <c r="PI13" s="36">
        <v>2164.37</v>
      </c>
      <c r="PJ13" s="36">
        <v>1196.3800000000001</v>
      </c>
      <c r="PK13" s="36">
        <v>1686.79</v>
      </c>
      <c r="PL13" s="36">
        <v>2454.59</v>
      </c>
      <c r="PM13" s="36">
        <v>2663.86</v>
      </c>
      <c r="PN13" s="36">
        <v>742.59</v>
      </c>
      <c r="PO13" s="36">
        <v>3911.57</v>
      </c>
      <c r="PP13" s="36">
        <v>2247.37</v>
      </c>
      <c r="PQ13" s="36">
        <v>672.4</v>
      </c>
      <c r="PR13" s="36">
        <v>3590.5</v>
      </c>
      <c r="PS13" s="36">
        <v>437.36</v>
      </c>
      <c r="PT13" s="36">
        <v>3644.78</v>
      </c>
      <c r="PU13" s="36">
        <v>3986.78</v>
      </c>
      <c r="PV13" s="36">
        <v>2846.66</v>
      </c>
      <c r="PW13" s="36">
        <v>3116.22</v>
      </c>
      <c r="PX13" s="36">
        <v>1448.62</v>
      </c>
      <c r="PY13" s="36">
        <v>3775.07</v>
      </c>
      <c r="PZ13" s="36">
        <v>2189.4</v>
      </c>
      <c r="QA13" s="36">
        <v>2969.7</v>
      </c>
      <c r="QB13" s="36">
        <v>3707.81</v>
      </c>
      <c r="QC13" s="36">
        <v>3904.44</v>
      </c>
      <c r="QD13" s="36">
        <v>3357.84</v>
      </c>
      <c r="QE13" s="36">
        <v>1316.62</v>
      </c>
      <c r="QF13" s="36">
        <v>3871.21</v>
      </c>
      <c r="QG13" s="36">
        <v>2568.2600000000002</v>
      </c>
      <c r="QH13" s="36">
        <v>3732.97</v>
      </c>
      <c r="QI13" s="36">
        <v>2753</v>
      </c>
      <c r="QJ13" s="36">
        <v>1332.87</v>
      </c>
      <c r="QK13" s="36">
        <v>1574.59</v>
      </c>
      <c r="QL13" s="36">
        <v>2269.3200000000002</v>
      </c>
      <c r="QM13" s="36">
        <v>3191.56</v>
      </c>
      <c r="QN13" s="36">
        <v>1374.23</v>
      </c>
      <c r="QO13" s="36">
        <v>2381.96</v>
      </c>
      <c r="QP13" s="36">
        <v>1480.66</v>
      </c>
      <c r="QQ13" s="36">
        <v>3290.71</v>
      </c>
      <c r="QR13" s="36">
        <v>1946.9</v>
      </c>
      <c r="QS13" s="36">
        <v>445.38</v>
      </c>
      <c r="QT13" s="36">
        <v>789.3</v>
      </c>
      <c r="QU13" s="36">
        <v>385.25</v>
      </c>
      <c r="QV13" s="36">
        <v>2072.3200000000002</v>
      </c>
      <c r="QW13" s="36">
        <v>559.4</v>
      </c>
      <c r="QX13" s="36">
        <v>589.44000000000005</v>
      </c>
      <c r="QY13" s="36">
        <v>3773.04</v>
      </c>
      <c r="QZ13" s="36">
        <v>3509.72</v>
      </c>
      <c r="RA13" s="36">
        <v>1890.53</v>
      </c>
      <c r="RB13" s="36">
        <v>3945.35</v>
      </c>
      <c r="RC13" s="36">
        <v>150.72</v>
      </c>
      <c r="RD13" s="36">
        <v>2513.8200000000002</v>
      </c>
      <c r="RE13" s="36">
        <v>2523.25</v>
      </c>
      <c r="RF13" s="36">
        <v>1911.16</v>
      </c>
      <c r="RG13" s="36">
        <v>1678.25</v>
      </c>
      <c r="RH13" s="36">
        <v>1903.23</v>
      </c>
      <c r="RI13" s="36">
        <v>1747.6</v>
      </c>
      <c r="RJ13" s="36">
        <v>2962.4</v>
      </c>
      <c r="RK13" s="36">
        <v>671.12</v>
      </c>
      <c r="RL13" s="36">
        <v>910.91</v>
      </c>
      <c r="RM13" s="36">
        <v>845</v>
      </c>
      <c r="RN13" s="36">
        <v>1160.51</v>
      </c>
      <c r="RO13" s="36">
        <v>2172.2399999999998</v>
      </c>
      <c r="RP13" s="36">
        <v>578.15</v>
      </c>
      <c r="RQ13" s="36">
        <v>3492.45</v>
      </c>
      <c r="RR13" s="36">
        <v>1294.8399999999999</v>
      </c>
      <c r="RS13" s="36">
        <v>775.77</v>
      </c>
      <c r="RT13" s="36">
        <v>2751.14</v>
      </c>
      <c r="RU13" s="36">
        <v>296.63</v>
      </c>
      <c r="RV13" s="36">
        <v>2536.88</v>
      </c>
      <c r="RW13" s="36">
        <v>2838.06</v>
      </c>
      <c r="RX13" s="36">
        <v>977.43</v>
      </c>
      <c r="RY13" s="36">
        <v>311.56</v>
      </c>
      <c r="RZ13" s="36">
        <v>1550.03</v>
      </c>
      <c r="SA13" s="36">
        <v>529.59</v>
      </c>
      <c r="SB13" s="36">
        <v>598.44000000000005</v>
      </c>
      <c r="SC13" s="36">
        <v>1128.9100000000001</v>
      </c>
      <c r="SD13" s="36">
        <v>1287.55</v>
      </c>
      <c r="SE13" s="36">
        <v>2190.39</v>
      </c>
      <c r="SF13" s="36">
        <v>2761.81</v>
      </c>
      <c r="SG13" s="36">
        <v>2432.17</v>
      </c>
    </row>
    <row r="14" spans="1:501" x14ac:dyDescent="0.3">
      <c r="A14" s="41" t="s">
        <v>13</v>
      </c>
      <c r="B14" s="42">
        <v>0</v>
      </c>
      <c r="C14" s="42">
        <v>5</v>
      </c>
      <c r="D14" s="42">
        <v>15</v>
      </c>
      <c r="E14" s="42">
        <v>15</v>
      </c>
      <c r="F14" s="42">
        <v>20</v>
      </c>
      <c r="G14" s="42">
        <v>10</v>
      </c>
      <c r="H14" s="42">
        <v>10</v>
      </c>
      <c r="I14" s="42">
        <v>10</v>
      </c>
      <c r="J14" s="42">
        <v>15</v>
      </c>
      <c r="K14" s="42">
        <v>20</v>
      </c>
      <c r="L14" s="42">
        <v>0</v>
      </c>
      <c r="M14" s="42">
        <v>5</v>
      </c>
      <c r="N14" s="42">
        <v>0</v>
      </c>
      <c r="O14" s="42">
        <v>15</v>
      </c>
      <c r="P14" s="42">
        <v>10</v>
      </c>
      <c r="Q14" s="42">
        <v>5</v>
      </c>
      <c r="R14" s="42">
        <v>15</v>
      </c>
      <c r="S14" s="42">
        <v>15</v>
      </c>
      <c r="T14" s="42">
        <v>15</v>
      </c>
      <c r="U14" s="42">
        <v>5</v>
      </c>
      <c r="V14" s="42">
        <v>5</v>
      </c>
      <c r="W14" s="42">
        <v>20</v>
      </c>
      <c r="X14" s="42">
        <v>20</v>
      </c>
      <c r="Y14" s="42">
        <v>0</v>
      </c>
      <c r="Z14" s="42">
        <v>5</v>
      </c>
      <c r="AA14" s="42">
        <v>5</v>
      </c>
      <c r="AB14" s="42">
        <v>5</v>
      </c>
      <c r="AC14" s="42">
        <v>20</v>
      </c>
      <c r="AD14" s="42">
        <v>15</v>
      </c>
      <c r="AE14" s="42">
        <v>10</v>
      </c>
      <c r="AF14" s="42">
        <v>20</v>
      </c>
      <c r="AG14" s="42">
        <v>5</v>
      </c>
      <c r="AH14" s="42">
        <v>20</v>
      </c>
      <c r="AI14" s="42">
        <v>0</v>
      </c>
      <c r="AJ14" s="42">
        <v>5</v>
      </c>
      <c r="AK14" s="42">
        <v>0</v>
      </c>
      <c r="AL14" s="42">
        <v>5</v>
      </c>
      <c r="AM14" s="42">
        <v>20</v>
      </c>
      <c r="AN14" s="42">
        <v>15</v>
      </c>
      <c r="AO14" s="42">
        <v>10</v>
      </c>
      <c r="AP14" s="42">
        <v>0</v>
      </c>
      <c r="AQ14" s="42">
        <v>20</v>
      </c>
      <c r="AR14" s="42">
        <v>15</v>
      </c>
      <c r="AS14" s="42">
        <v>20</v>
      </c>
      <c r="AT14" s="42">
        <v>0</v>
      </c>
      <c r="AU14" s="42">
        <v>10</v>
      </c>
      <c r="AV14" s="42">
        <v>20</v>
      </c>
      <c r="AW14" s="42">
        <v>5</v>
      </c>
      <c r="AX14" s="42">
        <v>15</v>
      </c>
      <c r="AY14" s="42">
        <v>20</v>
      </c>
      <c r="AZ14" s="42">
        <v>15</v>
      </c>
      <c r="BA14" s="42">
        <v>5</v>
      </c>
      <c r="BB14" s="42">
        <v>10</v>
      </c>
      <c r="BC14" s="42">
        <v>10</v>
      </c>
      <c r="BD14" s="42">
        <v>5</v>
      </c>
      <c r="BE14" s="42">
        <v>15</v>
      </c>
      <c r="BF14" s="42">
        <v>20</v>
      </c>
      <c r="BG14" s="42">
        <v>5</v>
      </c>
      <c r="BH14" s="42">
        <v>0</v>
      </c>
      <c r="BI14" s="42">
        <v>15</v>
      </c>
      <c r="BJ14" s="42">
        <v>10</v>
      </c>
      <c r="BK14" s="42">
        <v>5</v>
      </c>
      <c r="BL14" s="42">
        <v>10</v>
      </c>
      <c r="BM14" s="42">
        <v>15</v>
      </c>
      <c r="BN14" s="42">
        <v>10</v>
      </c>
      <c r="BO14" s="42">
        <v>5</v>
      </c>
      <c r="BP14" s="42">
        <v>15</v>
      </c>
      <c r="BQ14" s="42">
        <v>0</v>
      </c>
      <c r="BR14" s="42">
        <v>5</v>
      </c>
      <c r="BS14" s="42">
        <v>20</v>
      </c>
      <c r="BT14" s="42">
        <v>5</v>
      </c>
      <c r="BU14" s="42">
        <v>15</v>
      </c>
      <c r="BV14" s="42">
        <v>5</v>
      </c>
      <c r="BW14" s="42">
        <v>0</v>
      </c>
      <c r="BX14" s="42">
        <v>0</v>
      </c>
      <c r="BY14" s="42">
        <v>20</v>
      </c>
      <c r="BZ14" s="42">
        <v>10</v>
      </c>
      <c r="CA14" s="42">
        <v>15</v>
      </c>
      <c r="CB14" s="42">
        <v>15</v>
      </c>
      <c r="CC14" s="42">
        <v>10</v>
      </c>
      <c r="CD14" s="42">
        <v>0</v>
      </c>
      <c r="CE14" s="42">
        <v>0</v>
      </c>
      <c r="CF14" s="42">
        <v>5</v>
      </c>
      <c r="CG14" s="42">
        <v>20</v>
      </c>
      <c r="CH14" s="42">
        <v>20</v>
      </c>
      <c r="CI14" s="42">
        <v>20</v>
      </c>
      <c r="CJ14" s="42">
        <v>5</v>
      </c>
      <c r="CK14" s="42">
        <v>20</v>
      </c>
      <c r="CL14" s="42">
        <v>10</v>
      </c>
      <c r="CM14" s="42">
        <v>5</v>
      </c>
      <c r="CN14" s="42">
        <v>10</v>
      </c>
      <c r="CO14" s="42">
        <v>5</v>
      </c>
      <c r="CP14" s="42">
        <v>20</v>
      </c>
      <c r="CQ14" s="42">
        <v>10</v>
      </c>
      <c r="CR14" s="42">
        <v>10</v>
      </c>
      <c r="CS14" s="42">
        <v>10</v>
      </c>
      <c r="CT14" s="42">
        <v>5</v>
      </c>
      <c r="CU14" s="42">
        <v>15</v>
      </c>
      <c r="CV14" s="42">
        <v>20</v>
      </c>
      <c r="CW14" s="42">
        <v>10</v>
      </c>
      <c r="CX14" s="42">
        <v>15</v>
      </c>
      <c r="CY14" s="42">
        <v>20</v>
      </c>
      <c r="CZ14" s="42">
        <v>20</v>
      </c>
      <c r="DA14" s="42">
        <v>10</v>
      </c>
      <c r="DB14" s="42">
        <v>10</v>
      </c>
      <c r="DC14" s="42">
        <v>5</v>
      </c>
      <c r="DD14" s="42">
        <v>15</v>
      </c>
      <c r="DE14" s="42">
        <v>15</v>
      </c>
      <c r="DF14" s="42">
        <v>10</v>
      </c>
      <c r="DG14" s="42">
        <v>20</v>
      </c>
      <c r="DH14" s="42">
        <v>10</v>
      </c>
      <c r="DI14" s="42">
        <v>20</v>
      </c>
      <c r="DJ14" s="42">
        <v>20</v>
      </c>
      <c r="DK14" s="42">
        <v>10</v>
      </c>
      <c r="DL14" s="42">
        <v>0</v>
      </c>
      <c r="DM14" s="42">
        <v>15</v>
      </c>
      <c r="DN14" s="42">
        <v>20</v>
      </c>
      <c r="DO14" s="42">
        <v>20</v>
      </c>
      <c r="DP14" s="42">
        <v>0</v>
      </c>
      <c r="DQ14" s="42">
        <v>5</v>
      </c>
      <c r="DR14" s="42">
        <v>0</v>
      </c>
      <c r="DS14" s="42">
        <v>0</v>
      </c>
      <c r="DT14" s="42">
        <v>20</v>
      </c>
      <c r="DU14" s="42">
        <v>15</v>
      </c>
      <c r="DV14" s="42">
        <v>0</v>
      </c>
      <c r="DW14" s="42">
        <v>5</v>
      </c>
      <c r="DX14" s="42">
        <v>10</v>
      </c>
      <c r="DY14" s="42">
        <v>0</v>
      </c>
      <c r="DZ14" s="42">
        <v>0</v>
      </c>
      <c r="EA14" s="42">
        <v>5</v>
      </c>
      <c r="EB14" s="42">
        <v>15</v>
      </c>
      <c r="EC14" s="42">
        <v>0</v>
      </c>
      <c r="ED14" s="42">
        <v>0</v>
      </c>
      <c r="EE14" s="42">
        <v>15</v>
      </c>
      <c r="EF14" s="42">
        <v>5</v>
      </c>
      <c r="EG14" s="42">
        <v>0</v>
      </c>
      <c r="EH14" s="42">
        <v>15</v>
      </c>
      <c r="EI14" s="42">
        <v>0</v>
      </c>
      <c r="EJ14" s="42">
        <v>10</v>
      </c>
      <c r="EK14" s="42">
        <v>20</v>
      </c>
      <c r="EL14" s="42">
        <v>10</v>
      </c>
      <c r="EM14" s="42">
        <v>0</v>
      </c>
      <c r="EN14" s="42">
        <v>5</v>
      </c>
      <c r="EO14" s="42">
        <v>20</v>
      </c>
      <c r="EP14" s="42">
        <v>10</v>
      </c>
      <c r="EQ14" s="42">
        <v>15</v>
      </c>
      <c r="ER14" s="42">
        <v>5</v>
      </c>
      <c r="ES14" s="42">
        <v>10</v>
      </c>
      <c r="ET14" s="42">
        <v>15</v>
      </c>
      <c r="EU14" s="42">
        <v>0</v>
      </c>
      <c r="EV14" s="42">
        <v>15</v>
      </c>
      <c r="EW14" s="42">
        <v>10</v>
      </c>
      <c r="EX14" s="42">
        <v>10</v>
      </c>
      <c r="EY14" s="42">
        <v>0</v>
      </c>
      <c r="EZ14" s="42">
        <v>15</v>
      </c>
      <c r="FA14" s="42">
        <v>15</v>
      </c>
      <c r="FB14" s="42">
        <v>0</v>
      </c>
      <c r="FC14" s="42">
        <v>15</v>
      </c>
      <c r="FD14" s="42">
        <v>0</v>
      </c>
      <c r="FE14" s="42">
        <v>5</v>
      </c>
      <c r="FF14" s="42">
        <v>10</v>
      </c>
      <c r="FG14" s="42">
        <v>5</v>
      </c>
      <c r="FH14" s="42">
        <v>20</v>
      </c>
      <c r="FI14" s="42">
        <v>20</v>
      </c>
      <c r="FJ14" s="42">
        <v>20</v>
      </c>
      <c r="FK14" s="42">
        <v>0</v>
      </c>
      <c r="FL14" s="42">
        <v>15</v>
      </c>
      <c r="FM14" s="42">
        <v>5</v>
      </c>
      <c r="FN14" s="42">
        <v>5</v>
      </c>
      <c r="FO14" s="42">
        <v>5</v>
      </c>
      <c r="FP14" s="42">
        <v>5</v>
      </c>
      <c r="FQ14" s="42">
        <v>20</v>
      </c>
      <c r="FR14" s="42">
        <v>5</v>
      </c>
      <c r="FS14" s="42">
        <v>15</v>
      </c>
      <c r="FT14" s="42">
        <v>20</v>
      </c>
      <c r="FU14" s="42">
        <v>5</v>
      </c>
      <c r="FV14" s="42">
        <v>0</v>
      </c>
      <c r="FW14" s="42">
        <v>10</v>
      </c>
      <c r="FX14" s="42">
        <v>10</v>
      </c>
      <c r="FY14" s="42">
        <v>10</v>
      </c>
      <c r="FZ14" s="42">
        <v>20</v>
      </c>
      <c r="GA14" s="42">
        <v>5</v>
      </c>
      <c r="GB14" s="42">
        <v>20</v>
      </c>
      <c r="GC14" s="42">
        <v>15</v>
      </c>
      <c r="GD14" s="42">
        <v>0</v>
      </c>
      <c r="GE14" s="42">
        <v>0</v>
      </c>
      <c r="GF14" s="42">
        <v>10</v>
      </c>
      <c r="GG14" s="42">
        <v>10</v>
      </c>
      <c r="GH14" s="42">
        <v>10</v>
      </c>
      <c r="GI14" s="42">
        <v>5</v>
      </c>
      <c r="GJ14" s="42">
        <v>15</v>
      </c>
      <c r="GK14" s="42">
        <v>15</v>
      </c>
      <c r="GL14" s="42">
        <v>15</v>
      </c>
      <c r="GM14" s="42">
        <v>15</v>
      </c>
      <c r="GN14" s="42">
        <v>10</v>
      </c>
      <c r="GO14" s="42">
        <v>0</v>
      </c>
      <c r="GP14" s="42">
        <v>10</v>
      </c>
      <c r="GQ14" s="42">
        <v>15</v>
      </c>
      <c r="GR14" s="42">
        <v>10</v>
      </c>
      <c r="GS14" s="42">
        <v>15</v>
      </c>
      <c r="GT14" s="42">
        <v>20</v>
      </c>
      <c r="GU14" s="42">
        <v>0</v>
      </c>
      <c r="GV14" s="42">
        <v>20</v>
      </c>
      <c r="GW14" s="42">
        <v>5</v>
      </c>
      <c r="GX14" s="42">
        <v>10</v>
      </c>
      <c r="GY14" s="42">
        <v>5</v>
      </c>
      <c r="GZ14" s="42">
        <v>10</v>
      </c>
      <c r="HA14" s="42">
        <v>20</v>
      </c>
      <c r="HB14" s="42">
        <v>15</v>
      </c>
      <c r="HC14" s="42">
        <v>15</v>
      </c>
      <c r="HD14" s="42">
        <v>10</v>
      </c>
      <c r="HE14" s="42">
        <v>15</v>
      </c>
      <c r="HF14" s="42">
        <v>20</v>
      </c>
      <c r="HG14" s="42">
        <v>15</v>
      </c>
      <c r="HH14" s="42">
        <v>20</v>
      </c>
      <c r="HI14" s="42">
        <v>5</v>
      </c>
      <c r="HJ14" s="42">
        <v>20</v>
      </c>
      <c r="HK14" s="42">
        <v>0</v>
      </c>
      <c r="HL14" s="42">
        <v>0</v>
      </c>
      <c r="HM14" s="42">
        <v>0</v>
      </c>
      <c r="HN14" s="42">
        <v>10</v>
      </c>
      <c r="HO14" s="42">
        <v>10</v>
      </c>
      <c r="HP14" s="42">
        <v>10</v>
      </c>
      <c r="HQ14" s="42">
        <v>20</v>
      </c>
      <c r="HR14" s="42">
        <v>10</v>
      </c>
      <c r="HS14" s="42">
        <v>5</v>
      </c>
      <c r="HT14" s="42">
        <v>0</v>
      </c>
      <c r="HU14" s="42">
        <v>20</v>
      </c>
      <c r="HV14" s="42">
        <v>0</v>
      </c>
      <c r="HW14" s="42">
        <v>10</v>
      </c>
      <c r="HX14" s="42">
        <v>20</v>
      </c>
      <c r="HY14" s="42">
        <v>15</v>
      </c>
      <c r="HZ14" s="42">
        <v>5</v>
      </c>
      <c r="IA14" s="42">
        <v>10</v>
      </c>
      <c r="IB14" s="42">
        <v>10</v>
      </c>
      <c r="IC14" s="42">
        <v>5</v>
      </c>
      <c r="ID14" s="42">
        <v>5</v>
      </c>
      <c r="IE14" s="42">
        <v>15</v>
      </c>
      <c r="IF14" s="42">
        <v>10</v>
      </c>
      <c r="IG14" s="42">
        <v>10</v>
      </c>
      <c r="IH14" s="42">
        <v>0</v>
      </c>
      <c r="II14" s="42">
        <v>20</v>
      </c>
      <c r="IJ14" s="42">
        <v>20</v>
      </c>
      <c r="IK14" s="42">
        <v>0</v>
      </c>
      <c r="IL14" s="42">
        <v>20</v>
      </c>
      <c r="IM14" s="42">
        <v>5</v>
      </c>
      <c r="IN14" s="42">
        <v>20</v>
      </c>
      <c r="IO14" s="42">
        <v>20</v>
      </c>
      <c r="IP14" s="42">
        <v>0</v>
      </c>
      <c r="IQ14" s="42">
        <v>15</v>
      </c>
      <c r="IR14" s="42">
        <v>20</v>
      </c>
      <c r="IS14" s="42">
        <v>20</v>
      </c>
      <c r="IT14" s="42">
        <v>15</v>
      </c>
      <c r="IU14" s="42">
        <v>0</v>
      </c>
      <c r="IV14" s="42">
        <v>15</v>
      </c>
      <c r="IW14" s="42">
        <v>0</v>
      </c>
      <c r="IX14" s="42">
        <v>5</v>
      </c>
      <c r="IY14" s="42">
        <v>0</v>
      </c>
      <c r="IZ14" s="42">
        <v>5</v>
      </c>
      <c r="JA14" s="42">
        <v>5</v>
      </c>
      <c r="JB14" s="42">
        <v>0</v>
      </c>
      <c r="JC14" s="42">
        <v>10</v>
      </c>
      <c r="JD14" s="42">
        <v>0</v>
      </c>
      <c r="JE14" s="42">
        <v>20</v>
      </c>
      <c r="JF14" s="42">
        <v>20</v>
      </c>
      <c r="JG14" s="42">
        <v>10</v>
      </c>
      <c r="JH14" s="42">
        <v>5</v>
      </c>
      <c r="JI14" s="42">
        <v>10</v>
      </c>
      <c r="JJ14" s="42">
        <v>20</v>
      </c>
      <c r="JK14" s="42">
        <v>10</v>
      </c>
      <c r="JL14" s="42">
        <v>0</v>
      </c>
      <c r="JM14" s="42">
        <v>10</v>
      </c>
      <c r="JN14" s="42">
        <v>5</v>
      </c>
      <c r="JO14" s="42">
        <v>0</v>
      </c>
      <c r="JP14" s="42">
        <v>15</v>
      </c>
      <c r="JQ14" s="42">
        <v>20</v>
      </c>
      <c r="JR14" s="42">
        <v>20</v>
      </c>
      <c r="JS14" s="42">
        <v>10</v>
      </c>
      <c r="JT14" s="42">
        <v>0</v>
      </c>
      <c r="JU14" s="42">
        <v>15</v>
      </c>
      <c r="JV14" s="42">
        <v>0</v>
      </c>
      <c r="JW14" s="42">
        <v>20</v>
      </c>
      <c r="JX14" s="42">
        <v>0</v>
      </c>
      <c r="JY14" s="42">
        <v>15</v>
      </c>
      <c r="JZ14" s="42">
        <v>10</v>
      </c>
      <c r="KA14" s="42">
        <v>5</v>
      </c>
      <c r="KB14" s="42">
        <v>0</v>
      </c>
      <c r="KC14" s="42">
        <v>5</v>
      </c>
      <c r="KD14" s="42">
        <v>20</v>
      </c>
      <c r="KE14" s="42">
        <v>10</v>
      </c>
      <c r="KF14" s="42">
        <v>10</v>
      </c>
      <c r="KG14" s="42">
        <v>0</v>
      </c>
      <c r="KH14" s="42">
        <v>10</v>
      </c>
      <c r="KI14" s="42">
        <v>0</v>
      </c>
      <c r="KJ14" s="42">
        <v>0</v>
      </c>
      <c r="KK14" s="42">
        <v>5</v>
      </c>
      <c r="KL14" s="42">
        <v>10</v>
      </c>
      <c r="KM14" s="42">
        <v>0</v>
      </c>
      <c r="KN14" s="42">
        <v>5</v>
      </c>
      <c r="KO14" s="42">
        <v>15</v>
      </c>
      <c r="KP14" s="42">
        <v>5</v>
      </c>
      <c r="KQ14" s="42">
        <v>5</v>
      </c>
      <c r="KR14" s="42">
        <v>0</v>
      </c>
      <c r="KS14" s="42">
        <v>20</v>
      </c>
      <c r="KT14" s="42">
        <v>20</v>
      </c>
      <c r="KU14" s="42">
        <v>20</v>
      </c>
      <c r="KV14" s="42">
        <v>5</v>
      </c>
      <c r="KW14" s="42">
        <v>0</v>
      </c>
      <c r="KX14" s="42">
        <v>10</v>
      </c>
      <c r="KY14" s="42">
        <v>5</v>
      </c>
      <c r="KZ14" s="42">
        <v>5</v>
      </c>
      <c r="LA14" s="42">
        <v>0</v>
      </c>
      <c r="LB14" s="42">
        <v>15</v>
      </c>
      <c r="LC14" s="42">
        <v>5</v>
      </c>
      <c r="LD14" s="42">
        <v>15</v>
      </c>
      <c r="LE14" s="42">
        <v>15</v>
      </c>
      <c r="LF14" s="42">
        <v>20</v>
      </c>
      <c r="LG14" s="42">
        <v>0</v>
      </c>
      <c r="LH14" s="42">
        <v>15</v>
      </c>
      <c r="LI14" s="42">
        <v>0</v>
      </c>
      <c r="LJ14" s="42">
        <v>20</v>
      </c>
      <c r="LK14" s="42">
        <v>0</v>
      </c>
      <c r="LL14" s="42">
        <v>5</v>
      </c>
      <c r="LM14" s="42">
        <v>15</v>
      </c>
      <c r="LN14" s="42">
        <v>0</v>
      </c>
      <c r="LO14" s="42">
        <v>10</v>
      </c>
      <c r="LP14" s="42">
        <v>0</v>
      </c>
      <c r="LQ14" s="42">
        <v>15</v>
      </c>
      <c r="LR14" s="42">
        <v>20</v>
      </c>
      <c r="LS14" s="42">
        <v>20</v>
      </c>
      <c r="LT14" s="42">
        <v>15</v>
      </c>
      <c r="LU14" s="42">
        <v>5</v>
      </c>
      <c r="LV14" s="42">
        <v>5</v>
      </c>
      <c r="LW14" s="42">
        <v>20</v>
      </c>
      <c r="LX14" s="42">
        <v>20</v>
      </c>
      <c r="LY14" s="42">
        <v>15</v>
      </c>
      <c r="LZ14" s="42">
        <v>5</v>
      </c>
      <c r="MA14" s="42">
        <v>20</v>
      </c>
      <c r="MB14" s="42">
        <v>5</v>
      </c>
      <c r="MC14" s="42">
        <v>20</v>
      </c>
      <c r="MD14" s="42">
        <v>0</v>
      </c>
      <c r="ME14" s="42">
        <v>10</v>
      </c>
      <c r="MF14" s="42">
        <v>0</v>
      </c>
      <c r="MG14" s="42">
        <v>20</v>
      </c>
      <c r="MH14" s="42">
        <v>10</v>
      </c>
      <c r="MI14" s="42">
        <v>10</v>
      </c>
      <c r="MJ14" s="42">
        <v>20</v>
      </c>
      <c r="MK14" s="42">
        <v>20</v>
      </c>
      <c r="ML14" s="42">
        <v>5</v>
      </c>
      <c r="MM14" s="42">
        <v>20</v>
      </c>
      <c r="MN14" s="42">
        <v>15</v>
      </c>
      <c r="MO14" s="42">
        <v>20</v>
      </c>
      <c r="MP14" s="42">
        <v>15</v>
      </c>
      <c r="MQ14" s="42">
        <v>20</v>
      </c>
      <c r="MR14" s="42">
        <v>5</v>
      </c>
      <c r="MS14" s="42">
        <v>15</v>
      </c>
      <c r="MT14" s="42">
        <v>0</v>
      </c>
      <c r="MU14" s="42">
        <v>15</v>
      </c>
      <c r="MV14" s="42">
        <v>5</v>
      </c>
      <c r="MW14" s="42">
        <v>15</v>
      </c>
      <c r="MX14" s="42">
        <v>20</v>
      </c>
      <c r="MY14" s="42">
        <v>20</v>
      </c>
      <c r="MZ14" s="42">
        <v>5</v>
      </c>
      <c r="NA14" s="42">
        <v>10</v>
      </c>
      <c r="NB14" s="42">
        <v>20</v>
      </c>
      <c r="NC14" s="42">
        <v>0</v>
      </c>
      <c r="ND14" s="42">
        <v>5</v>
      </c>
      <c r="NE14" s="42">
        <v>15</v>
      </c>
      <c r="NF14" s="42">
        <v>15</v>
      </c>
      <c r="NG14" s="42">
        <v>0</v>
      </c>
      <c r="NH14" s="42">
        <v>20</v>
      </c>
      <c r="NI14" s="42">
        <v>5</v>
      </c>
      <c r="NJ14" s="42">
        <v>0</v>
      </c>
      <c r="NK14" s="42">
        <v>20</v>
      </c>
      <c r="NL14" s="42">
        <v>5</v>
      </c>
      <c r="NM14" s="42">
        <v>15</v>
      </c>
      <c r="NN14" s="42">
        <v>5</v>
      </c>
      <c r="NO14" s="42">
        <v>10</v>
      </c>
      <c r="NP14" s="42">
        <v>5</v>
      </c>
      <c r="NQ14" s="42">
        <v>10</v>
      </c>
      <c r="NR14" s="42">
        <v>5</v>
      </c>
      <c r="NS14" s="42">
        <v>10</v>
      </c>
      <c r="NT14" s="42">
        <v>15</v>
      </c>
      <c r="NU14" s="42">
        <v>20</v>
      </c>
      <c r="NV14" s="42">
        <v>10</v>
      </c>
      <c r="NW14" s="42">
        <v>10</v>
      </c>
      <c r="NX14" s="42">
        <v>15</v>
      </c>
      <c r="NY14" s="42">
        <v>10</v>
      </c>
      <c r="NZ14" s="42">
        <v>0</v>
      </c>
      <c r="OA14" s="42">
        <v>15</v>
      </c>
      <c r="OB14" s="42">
        <v>0</v>
      </c>
      <c r="OC14" s="42">
        <v>15</v>
      </c>
      <c r="OD14" s="42">
        <v>10</v>
      </c>
      <c r="OE14" s="42">
        <v>0</v>
      </c>
      <c r="OF14" s="42">
        <v>10</v>
      </c>
      <c r="OG14" s="42">
        <v>15</v>
      </c>
      <c r="OH14" s="42">
        <v>10</v>
      </c>
      <c r="OI14" s="42">
        <v>0</v>
      </c>
      <c r="OJ14" s="42">
        <v>0</v>
      </c>
      <c r="OK14" s="42">
        <v>10</v>
      </c>
      <c r="OL14" s="42">
        <v>5</v>
      </c>
      <c r="OM14" s="42">
        <v>15</v>
      </c>
      <c r="ON14" s="42">
        <v>15</v>
      </c>
      <c r="OO14" s="42">
        <v>10</v>
      </c>
      <c r="OP14" s="42">
        <v>5</v>
      </c>
      <c r="OQ14" s="42">
        <v>0</v>
      </c>
      <c r="OR14" s="42">
        <v>20</v>
      </c>
      <c r="OS14" s="42">
        <v>20</v>
      </c>
      <c r="OT14" s="42">
        <v>10</v>
      </c>
      <c r="OU14" s="42">
        <v>5</v>
      </c>
      <c r="OV14" s="42">
        <v>5</v>
      </c>
      <c r="OW14" s="42">
        <v>15</v>
      </c>
      <c r="OX14" s="42">
        <v>0</v>
      </c>
      <c r="OY14" s="42">
        <v>5</v>
      </c>
      <c r="OZ14" s="42">
        <v>20</v>
      </c>
      <c r="PA14" s="42">
        <v>0</v>
      </c>
      <c r="PB14" s="42">
        <v>0</v>
      </c>
      <c r="PC14" s="42">
        <v>10</v>
      </c>
      <c r="PD14" s="42">
        <v>5</v>
      </c>
      <c r="PE14" s="42">
        <v>10</v>
      </c>
      <c r="PF14" s="42">
        <v>5</v>
      </c>
      <c r="PG14" s="42">
        <v>15</v>
      </c>
      <c r="PH14" s="42">
        <v>10</v>
      </c>
      <c r="PI14" s="42">
        <v>10</v>
      </c>
      <c r="PJ14" s="42">
        <v>20</v>
      </c>
      <c r="PK14" s="42">
        <v>10</v>
      </c>
      <c r="PL14" s="42">
        <v>5</v>
      </c>
      <c r="PM14" s="42">
        <v>20</v>
      </c>
      <c r="PN14" s="42">
        <v>10</v>
      </c>
      <c r="PO14" s="42">
        <v>10</v>
      </c>
      <c r="PP14" s="42">
        <v>15</v>
      </c>
      <c r="PQ14" s="42">
        <v>10</v>
      </c>
      <c r="PR14" s="42">
        <v>0</v>
      </c>
      <c r="PS14" s="42">
        <v>20</v>
      </c>
      <c r="PT14" s="42">
        <v>0</v>
      </c>
      <c r="PU14" s="42">
        <v>20</v>
      </c>
      <c r="PV14" s="42">
        <v>15</v>
      </c>
      <c r="PW14" s="42">
        <v>10</v>
      </c>
      <c r="PX14" s="42">
        <v>10</v>
      </c>
      <c r="PY14" s="42">
        <v>10</v>
      </c>
      <c r="PZ14" s="42">
        <v>20</v>
      </c>
      <c r="QA14" s="42">
        <v>10</v>
      </c>
      <c r="QB14" s="42">
        <v>0</v>
      </c>
      <c r="QC14" s="42">
        <v>10</v>
      </c>
      <c r="QD14" s="42">
        <v>15</v>
      </c>
      <c r="QE14" s="42">
        <v>0</v>
      </c>
      <c r="QF14" s="42">
        <v>10</v>
      </c>
      <c r="QG14" s="42">
        <v>10</v>
      </c>
      <c r="QH14" s="42">
        <v>5</v>
      </c>
      <c r="QI14" s="42">
        <v>20</v>
      </c>
      <c r="QJ14" s="42">
        <v>0</v>
      </c>
      <c r="QK14" s="42">
        <v>5</v>
      </c>
      <c r="QL14" s="42">
        <v>15</v>
      </c>
      <c r="QM14" s="42">
        <v>20</v>
      </c>
      <c r="QN14" s="42">
        <v>0</v>
      </c>
      <c r="QO14" s="42">
        <v>10</v>
      </c>
      <c r="QP14" s="42">
        <v>0</v>
      </c>
      <c r="QQ14" s="42">
        <v>10</v>
      </c>
      <c r="QR14" s="42">
        <v>20</v>
      </c>
      <c r="QS14" s="42">
        <v>10</v>
      </c>
      <c r="QT14" s="42">
        <v>15</v>
      </c>
      <c r="QU14" s="42">
        <v>10</v>
      </c>
      <c r="QV14" s="42">
        <v>15</v>
      </c>
      <c r="QW14" s="42">
        <v>20</v>
      </c>
      <c r="QX14" s="42">
        <v>20</v>
      </c>
      <c r="QY14" s="42">
        <v>0</v>
      </c>
      <c r="QZ14" s="42">
        <v>15</v>
      </c>
      <c r="RA14" s="42">
        <v>15</v>
      </c>
      <c r="RB14" s="42">
        <v>5</v>
      </c>
      <c r="RC14" s="42">
        <v>5</v>
      </c>
      <c r="RD14" s="42">
        <v>5</v>
      </c>
      <c r="RE14" s="42">
        <v>10</v>
      </c>
      <c r="RF14" s="42">
        <v>5</v>
      </c>
      <c r="RG14" s="42">
        <v>15</v>
      </c>
      <c r="RH14" s="42">
        <v>10</v>
      </c>
      <c r="RI14" s="42">
        <v>20</v>
      </c>
      <c r="RJ14" s="42">
        <v>0</v>
      </c>
      <c r="RK14" s="42">
        <v>5</v>
      </c>
      <c r="RL14" s="42">
        <v>20</v>
      </c>
      <c r="RM14" s="42">
        <v>15</v>
      </c>
      <c r="RN14" s="42">
        <v>0</v>
      </c>
      <c r="RO14" s="42">
        <v>20</v>
      </c>
      <c r="RP14" s="42">
        <v>0</v>
      </c>
      <c r="RQ14" s="42">
        <v>5</v>
      </c>
      <c r="RR14" s="42">
        <v>15</v>
      </c>
      <c r="RS14" s="42">
        <v>0</v>
      </c>
      <c r="RT14" s="42">
        <v>20</v>
      </c>
      <c r="RU14" s="42">
        <v>5</v>
      </c>
      <c r="RV14" s="42">
        <v>5</v>
      </c>
      <c r="RW14" s="42">
        <v>20</v>
      </c>
      <c r="RX14" s="42">
        <v>20</v>
      </c>
      <c r="RY14" s="42">
        <v>0</v>
      </c>
      <c r="RZ14" s="42">
        <v>10</v>
      </c>
      <c r="SA14" s="42">
        <v>5</v>
      </c>
      <c r="SB14" s="42">
        <v>0</v>
      </c>
      <c r="SC14" s="42">
        <v>20</v>
      </c>
      <c r="SD14" s="42">
        <v>0</v>
      </c>
      <c r="SE14" s="42">
        <v>20</v>
      </c>
      <c r="SF14" s="42">
        <v>15</v>
      </c>
      <c r="SG14" s="42">
        <v>20</v>
      </c>
    </row>
    <row r="15" spans="1:501" s="1" customFormat="1" x14ac:dyDescent="0.3">
      <c r="A15" s="38" t="s">
        <v>14</v>
      </c>
      <c r="B15" s="36">
        <v>19907.09</v>
      </c>
      <c r="C15" s="36">
        <v>21590.720000000001</v>
      </c>
      <c r="D15" s="36">
        <v>17719.13</v>
      </c>
      <c r="E15" s="36">
        <v>857.47</v>
      </c>
      <c r="F15" s="36">
        <v>19664.23</v>
      </c>
      <c r="G15" s="36">
        <v>8611.7800000000007</v>
      </c>
      <c r="H15" s="36">
        <v>13636.89</v>
      </c>
      <c r="I15" s="36">
        <v>8318.99</v>
      </c>
      <c r="J15" s="36">
        <v>4666.67</v>
      </c>
      <c r="K15" s="36">
        <v>7122.64</v>
      </c>
      <c r="L15" s="36">
        <v>19231.5</v>
      </c>
      <c r="M15" s="36">
        <v>1552.39</v>
      </c>
      <c r="N15" s="36">
        <v>25287.200000000001</v>
      </c>
      <c r="O15" s="36">
        <v>7305.04</v>
      </c>
      <c r="P15" s="36">
        <v>5715.28</v>
      </c>
      <c r="Q15" s="36">
        <v>4525.42</v>
      </c>
      <c r="R15" s="36">
        <v>433.35</v>
      </c>
      <c r="S15" s="36">
        <v>1840.94</v>
      </c>
      <c r="T15" s="36">
        <v>1683.51</v>
      </c>
      <c r="U15" s="36">
        <v>7522.69</v>
      </c>
      <c r="V15" s="36">
        <v>6730.5</v>
      </c>
      <c r="W15" s="36">
        <v>3812.82</v>
      </c>
      <c r="X15" s="36">
        <v>4482.78</v>
      </c>
      <c r="Y15" s="36">
        <v>3606.31</v>
      </c>
      <c r="Z15" s="36">
        <v>17207.96</v>
      </c>
      <c r="AA15" s="36">
        <v>3798.68</v>
      </c>
      <c r="AB15" s="36">
        <v>10257.58</v>
      </c>
      <c r="AC15" s="36">
        <v>15391.82</v>
      </c>
      <c r="AD15" s="36">
        <v>1936.65</v>
      </c>
      <c r="AE15" s="36">
        <v>314.44</v>
      </c>
      <c r="AF15" s="36">
        <v>9182.6</v>
      </c>
      <c r="AG15" s="36">
        <v>2852.81</v>
      </c>
      <c r="AH15" s="36">
        <v>18833.810000000001</v>
      </c>
      <c r="AI15" s="36">
        <v>9177.5400000000009</v>
      </c>
      <c r="AJ15" s="36">
        <v>24369.86</v>
      </c>
      <c r="AK15" s="36">
        <v>11639.5</v>
      </c>
      <c r="AL15" s="36">
        <v>3242.5</v>
      </c>
      <c r="AM15" s="36">
        <v>3849.78</v>
      </c>
      <c r="AN15" s="36">
        <v>14098.05</v>
      </c>
      <c r="AO15" s="36">
        <v>16649.55</v>
      </c>
      <c r="AP15" s="36">
        <v>25270.400000000001</v>
      </c>
      <c r="AQ15" s="36">
        <v>3877.34</v>
      </c>
      <c r="AR15" s="36">
        <v>3979.49</v>
      </c>
      <c r="AS15" s="36">
        <v>686.43</v>
      </c>
      <c r="AT15" s="36">
        <v>2764.92</v>
      </c>
      <c r="AU15" s="36">
        <v>3202.49</v>
      </c>
      <c r="AV15" s="36">
        <v>1415.94</v>
      </c>
      <c r="AW15" s="36">
        <v>11715.78</v>
      </c>
      <c r="AX15" s="36">
        <v>19165.14</v>
      </c>
      <c r="AY15" s="36">
        <v>6482.11</v>
      </c>
      <c r="AZ15" s="36">
        <v>4724.3900000000003</v>
      </c>
      <c r="BA15" s="36">
        <v>7605.28</v>
      </c>
      <c r="BB15" s="36">
        <v>11403.31</v>
      </c>
      <c r="BC15" s="36">
        <v>10286.06</v>
      </c>
      <c r="BD15" s="36">
        <v>7074.06</v>
      </c>
      <c r="BE15" s="36">
        <v>17353.87</v>
      </c>
      <c r="BF15" s="36">
        <v>7288.78</v>
      </c>
      <c r="BG15" s="36">
        <v>8137.32</v>
      </c>
      <c r="BH15" s="36">
        <v>16978.88</v>
      </c>
      <c r="BI15" s="36">
        <v>21272.1</v>
      </c>
      <c r="BJ15" s="36">
        <v>2013.23</v>
      </c>
      <c r="BK15" s="36">
        <v>21426.98</v>
      </c>
      <c r="BL15" s="36">
        <v>14286.83</v>
      </c>
      <c r="BM15" s="36">
        <v>1770.04</v>
      </c>
      <c r="BN15" s="36">
        <v>4991.78</v>
      </c>
      <c r="BO15" s="36">
        <v>28649.8</v>
      </c>
      <c r="BP15" s="36">
        <v>280.61</v>
      </c>
      <c r="BQ15" s="36">
        <v>8283.9599999999991</v>
      </c>
      <c r="BR15" s="36">
        <v>10470.790000000001</v>
      </c>
      <c r="BS15" s="36">
        <v>11558.88</v>
      </c>
      <c r="BT15" s="36">
        <v>10985.92</v>
      </c>
      <c r="BU15" s="36">
        <v>4742.59</v>
      </c>
      <c r="BV15" s="36">
        <v>2885.73</v>
      </c>
      <c r="BW15" s="36">
        <v>6590.67</v>
      </c>
      <c r="BX15" s="36">
        <v>8881.84</v>
      </c>
      <c r="BY15" s="36">
        <v>4882.72</v>
      </c>
      <c r="BZ15" s="36">
        <v>2660.26</v>
      </c>
      <c r="CA15" s="36">
        <v>6419.98</v>
      </c>
      <c r="CB15" s="36">
        <v>9740.4</v>
      </c>
      <c r="CC15" s="36">
        <v>708.07</v>
      </c>
      <c r="CD15" s="36">
        <v>21857.46</v>
      </c>
      <c r="CE15" s="36">
        <v>4510.1400000000003</v>
      </c>
      <c r="CF15" s="36">
        <v>7579.78</v>
      </c>
      <c r="CG15" s="36">
        <v>3432.58</v>
      </c>
      <c r="CH15" s="36">
        <v>2307.15</v>
      </c>
      <c r="CI15" s="36">
        <v>1659.39</v>
      </c>
      <c r="CJ15" s="36">
        <v>9131.25</v>
      </c>
      <c r="CK15" s="36">
        <v>9310.56</v>
      </c>
      <c r="CL15" s="36">
        <v>3132.05</v>
      </c>
      <c r="CM15" s="36">
        <v>6437.39</v>
      </c>
      <c r="CN15" s="36">
        <v>15167.34</v>
      </c>
      <c r="CO15" s="36">
        <v>978.49</v>
      </c>
      <c r="CP15" s="36">
        <v>13959.07</v>
      </c>
      <c r="CQ15" s="36">
        <v>5801.47</v>
      </c>
      <c r="CR15" s="36">
        <v>3695.92</v>
      </c>
      <c r="CS15" s="36">
        <v>2249.89</v>
      </c>
      <c r="CT15" s="36">
        <v>4290.3</v>
      </c>
      <c r="CU15" s="36">
        <v>4631.07</v>
      </c>
      <c r="CV15" s="36">
        <v>757.8</v>
      </c>
      <c r="CW15" s="36">
        <v>19887.27</v>
      </c>
      <c r="CX15" s="36">
        <v>11445.62</v>
      </c>
      <c r="CY15" s="36">
        <v>2974.45</v>
      </c>
      <c r="CZ15" s="36">
        <v>20105.900000000001</v>
      </c>
      <c r="DA15" s="36">
        <v>12075.79</v>
      </c>
      <c r="DB15" s="36">
        <v>814.63</v>
      </c>
      <c r="DC15" s="36">
        <v>10776.48</v>
      </c>
      <c r="DD15" s="36">
        <v>4517.79</v>
      </c>
      <c r="DE15" s="36">
        <v>959.33</v>
      </c>
      <c r="DF15" s="36">
        <v>11186.24</v>
      </c>
      <c r="DG15" s="36">
        <v>9968.83</v>
      </c>
      <c r="DH15" s="36">
        <v>1638.02</v>
      </c>
      <c r="DI15" s="36">
        <v>3553.89</v>
      </c>
      <c r="DJ15" s="36">
        <v>10837.3</v>
      </c>
      <c r="DK15" s="36">
        <v>9771.68</v>
      </c>
      <c r="DL15" s="36">
        <v>7242.18</v>
      </c>
      <c r="DM15" s="36">
        <v>5822.31</v>
      </c>
      <c r="DN15" s="36">
        <v>17062.900000000001</v>
      </c>
      <c r="DO15" s="36">
        <v>3685.94</v>
      </c>
      <c r="DP15" s="36">
        <v>26717.439999999999</v>
      </c>
      <c r="DQ15" s="36">
        <v>19248.16</v>
      </c>
      <c r="DR15" s="36">
        <v>14161.4</v>
      </c>
      <c r="DS15" s="36">
        <v>6993.65</v>
      </c>
      <c r="DT15" s="36">
        <v>5882.8</v>
      </c>
      <c r="DU15" s="36">
        <v>7358.61</v>
      </c>
      <c r="DV15" s="36">
        <v>31051.71</v>
      </c>
      <c r="DW15" s="36">
        <v>28288.87</v>
      </c>
      <c r="DX15" s="36">
        <v>9969.5300000000007</v>
      </c>
      <c r="DY15" s="36">
        <v>3958.56</v>
      </c>
      <c r="DZ15" s="36">
        <v>4865.01</v>
      </c>
      <c r="EA15" s="36">
        <v>2407.75</v>
      </c>
      <c r="EB15" s="36">
        <v>11301.73</v>
      </c>
      <c r="EC15" s="36">
        <v>12614.92</v>
      </c>
      <c r="ED15" s="36">
        <v>3990.85</v>
      </c>
      <c r="EE15" s="36">
        <v>6023.85</v>
      </c>
      <c r="EF15" s="36">
        <v>10942.06</v>
      </c>
      <c r="EG15" s="36">
        <v>10855.74</v>
      </c>
      <c r="EH15" s="36">
        <v>2247.91</v>
      </c>
      <c r="EI15" s="36">
        <v>912.67</v>
      </c>
      <c r="EJ15" s="36">
        <v>725.24</v>
      </c>
      <c r="EK15" s="36">
        <v>11409.31</v>
      </c>
      <c r="EL15" s="36">
        <v>3179.56</v>
      </c>
      <c r="EM15" s="36">
        <v>2063.0500000000002</v>
      </c>
      <c r="EN15" s="36">
        <v>24473.53</v>
      </c>
      <c r="EO15" s="36">
        <v>20087.810000000001</v>
      </c>
      <c r="EP15" s="36">
        <v>3523.12</v>
      </c>
      <c r="EQ15" s="36">
        <v>7911.36</v>
      </c>
      <c r="ER15" s="36">
        <v>10560.22</v>
      </c>
      <c r="ES15" s="36">
        <v>8692</v>
      </c>
      <c r="ET15" s="36">
        <v>19980.439999999999</v>
      </c>
      <c r="EU15" s="36">
        <v>5616.12</v>
      </c>
      <c r="EV15" s="36">
        <v>6209.68</v>
      </c>
      <c r="EW15" s="36">
        <v>2924.2</v>
      </c>
      <c r="EX15" s="36">
        <v>1899.23</v>
      </c>
      <c r="EY15" s="36">
        <v>1529.12</v>
      </c>
      <c r="EZ15" s="36">
        <v>4903.3100000000004</v>
      </c>
      <c r="FA15" s="36">
        <v>2273.12</v>
      </c>
      <c r="FB15" s="36">
        <v>8437.84</v>
      </c>
      <c r="FC15" s="36">
        <v>22753.34</v>
      </c>
      <c r="FD15" s="36">
        <v>22804.62</v>
      </c>
      <c r="FE15" s="36">
        <v>5026.34</v>
      </c>
      <c r="FF15" s="36">
        <v>8412.41</v>
      </c>
      <c r="FG15" s="36">
        <v>9329.68</v>
      </c>
      <c r="FH15" s="36">
        <v>975.38</v>
      </c>
      <c r="FI15" s="36">
        <v>922.66</v>
      </c>
      <c r="FJ15" s="36">
        <v>11899.62</v>
      </c>
      <c r="FK15" s="36">
        <v>6809.18</v>
      </c>
      <c r="FL15" s="36">
        <v>10513.77</v>
      </c>
      <c r="FM15" s="36">
        <v>1423.4</v>
      </c>
      <c r="FN15" s="36">
        <v>16402.37</v>
      </c>
      <c r="FO15" s="36">
        <v>19716.98</v>
      </c>
      <c r="FP15" s="36">
        <v>28842.080000000002</v>
      </c>
      <c r="FQ15" s="36">
        <v>22746.38</v>
      </c>
      <c r="FR15" s="36">
        <v>3869.64</v>
      </c>
      <c r="FS15" s="36">
        <v>2815.99</v>
      </c>
      <c r="FT15" s="36">
        <v>9075.8700000000008</v>
      </c>
      <c r="FU15" s="36">
        <v>7371.19</v>
      </c>
      <c r="FV15" s="36">
        <v>2329.9299999999998</v>
      </c>
      <c r="FW15" s="36">
        <v>1096.77</v>
      </c>
      <c r="FX15" s="36">
        <v>3144.91</v>
      </c>
      <c r="FY15" s="36">
        <v>15920.42</v>
      </c>
      <c r="FZ15" s="36">
        <v>9317.52</v>
      </c>
      <c r="GA15" s="36">
        <v>11563.74</v>
      </c>
      <c r="GB15" s="36">
        <v>3685.19</v>
      </c>
      <c r="GC15" s="36">
        <v>9034.44</v>
      </c>
      <c r="GD15" s="36">
        <v>6290.34</v>
      </c>
      <c r="GE15" s="36">
        <v>508.81</v>
      </c>
      <c r="GF15" s="36">
        <v>1557.37</v>
      </c>
      <c r="GG15" s="36">
        <v>2102.89</v>
      </c>
      <c r="GH15" s="36">
        <v>1806.95</v>
      </c>
      <c r="GI15" s="36">
        <v>2607.92</v>
      </c>
      <c r="GJ15" s="36">
        <v>6834.47</v>
      </c>
      <c r="GK15" s="36">
        <v>828.29</v>
      </c>
      <c r="GL15" s="36">
        <v>1687.01</v>
      </c>
      <c r="GM15" s="36">
        <v>1519.82</v>
      </c>
      <c r="GN15" s="36">
        <v>1861.11</v>
      </c>
      <c r="GO15" s="36">
        <v>20494.88</v>
      </c>
      <c r="GP15" s="36">
        <v>4522.3599999999997</v>
      </c>
      <c r="GQ15" s="36">
        <v>5214.84</v>
      </c>
      <c r="GR15" s="36">
        <v>5141.4799999999996</v>
      </c>
      <c r="GS15" s="36">
        <v>6889.51</v>
      </c>
      <c r="GT15" s="36">
        <v>14007.76</v>
      </c>
      <c r="GU15" s="36">
        <v>27652.32</v>
      </c>
      <c r="GV15" s="36">
        <v>18886.34</v>
      </c>
      <c r="GW15" s="36">
        <v>15313.32</v>
      </c>
      <c r="GX15" s="36">
        <v>20312.28</v>
      </c>
      <c r="GY15" s="36">
        <v>17313.86</v>
      </c>
      <c r="GZ15" s="36">
        <v>6190.13</v>
      </c>
      <c r="HA15" s="36">
        <v>6099.65</v>
      </c>
      <c r="HB15" s="36">
        <v>8779.5499999999993</v>
      </c>
      <c r="HC15" s="36">
        <v>24864.81</v>
      </c>
      <c r="HD15" s="36">
        <v>14222.56</v>
      </c>
      <c r="HE15" s="36">
        <v>2529.21</v>
      </c>
      <c r="HF15" s="36">
        <v>4749.6000000000004</v>
      </c>
      <c r="HG15" s="36">
        <v>5847.01</v>
      </c>
      <c r="HH15" s="36">
        <v>2533.7199999999998</v>
      </c>
      <c r="HI15" s="36">
        <v>4614.09</v>
      </c>
      <c r="HJ15" s="36">
        <v>10673.02</v>
      </c>
      <c r="HK15" s="36">
        <v>4803.26</v>
      </c>
      <c r="HL15" s="36">
        <v>8697</v>
      </c>
      <c r="HM15" s="36">
        <v>25927.84</v>
      </c>
      <c r="HN15" s="36">
        <v>7913.52</v>
      </c>
      <c r="HO15" s="36">
        <v>24618.7</v>
      </c>
      <c r="HP15" s="36">
        <v>7978.77</v>
      </c>
      <c r="HQ15" s="36">
        <v>2317.84</v>
      </c>
      <c r="HR15" s="36">
        <v>8510.42</v>
      </c>
      <c r="HS15" s="36">
        <v>2945.62</v>
      </c>
      <c r="HT15" s="36">
        <v>3467.28</v>
      </c>
      <c r="HU15" s="36">
        <v>16929.28</v>
      </c>
      <c r="HV15" s="36">
        <v>28153.599999999999</v>
      </c>
      <c r="HW15" s="36">
        <v>8622.4500000000007</v>
      </c>
      <c r="HX15" s="36">
        <v>3882.26</v>
      </c>
      <c r="HY15" s="36">
        <v>1912.92</v>
      </c>
      <c r="HZ15" s="36">
        <v>528.70000000000005</v>
      </c>
      <c r="IA15" s="36">
        <v>2043.59</v>
      </c>
      <c r="IB15" s="36">
        <v>21684.43</v>
      </c>
      <c r="IC15" s="36">
        <v>14698.76</v>
      </c>
      <c r="ID15" s="36">
        <v>2212.5</v>
      </c>
      <c r="IE15" s="36">
        <v>1934.74</v>
      </c>
      <c r="IF15" s="36">
        <v>7129.01</v>
      </c>
      <c r="IG15" s="36">
        <v>2151.1999999999998</v>
      </c>
      <c r="IH15" s="36">
        <v>11168.58</v>
      </c>
      <c r="II15" s="36">
        <v>15068.02</v>
      </c>
      <c r="IJ15" s="36">
        <v>962.45</v>
      </c>
      <c r="IK15" s="36">
        <v>2402.67</v>
      </c>
      <c r="IL15" s="36">
        <v>9628.48</v>
      </c>
      <c r="IM15" s="36">
        <v>2928.33</v>
      </c>
      <c r="IN15" s="36">
        <v>11772.71</v>
      </c>
      <c r="IO15" s="36">
        <v>14593.15</v>
      </c>
      <c r="IP15" s="36">
        <v>3942.92</v>
      </c>
      <c r="IQ15" s="36">
        <v>23767.17</v>
      </c>
      <c r="IR15" s="36">
        <v>11662.66</v>
      </c>
      <c r="IS15" s="36">
        <v>5980.16</v>
      </c>
      <c r="IT15" s="36">
        <v>10762.15</v>
      </c>
      <c r="IU15" s="36">
        <v>5423.32</v>
      </c>
      <c r="IV15" s="36">
        <v>15894.71</v>
      </c>
      <c r="IW15" s="36">
        <v>15796.32</v>
      </c>
      <c r="IX15" s="36">
        <v>685.71</v>
      </c>
      <c r="IY15" s="36">
        <v>12628.35</v>
      </c>
      <c r="IZ15" s="36">
        <v>10464.43</v>
      </c>
      <c r="JA15" s="36">
        <v>1844.86</v>
      </c>
      <c r="JB15" s="36">
        <v>1066.5</v>
      </c>
      <c r="JC15" s="36">
        <v>15575.43</v>
      </c>
      <c r="JD15" s="36">
        <v>15161.02</v>
      </c>
      <c r="JE15" s="36">
        <v>3604.16</v>
      </c>
      <c r="JF15" s="36">
        <v>14134.75</v>
      </c>
      <c r="JG15" s="36">
        <v>14724.65</v>
      </c>
      <c r="JH15" s="36">
        <v>855.74</v>
      </c>
      <c r="JI15" s="36">
        <v>2394.5</v>
      </c>
      <c r="JJ15" s="36">
        <v>12626.16</v>
      </c>
      <c r="JK15" s="36">
        <v>17264.5</v>
      </c>
      <c r="JL15" s="36">
        <v>7408.53</v>
      </c>
      <c r="JM15" s="36">
        <v>17170.46</v>
      </c>
      <c r="JN15" s="36">
        <v>2193.8200000000002</v>
      </c>
      <c r="JO15" s="36">
        <v>5032.6000000000004</v>
      </c>
      <c r="JP15" s="36">
        <v>3029.14</v>
      </c>
      <c r="JQ15" s="36">
        <v>24708.61</v>
      </c>
      <c r="JR15" s="36">
        <v>4824.43</v>
      </c>
      <c r="JS15" s="36">
        <v>3965.44</v>
      </c>
      <c r="JT15" s="36">
        <v>21449.22</v>
      </c>
      <c r="JU15" s="36">
        <v>25732.02</v>
      </c>
      <c r="JV15" s="36">
        <v>15492.2</v>
      </c>
      <c r="JW15" s="36">
        <v>409.94</v>
      </c>
      <c r="JX15" s="36">
        <v>465.54</v>
      </c>
      <c r="JY15" s="36">
        <v>8189.02</v>
      </c>
      <c r="JZ15" s="36">
        <v>1263.73</v>
      </c>
      <c r="KA15" s="36">
        <v>1258.5</v>
      </c>
      <c r="KB15" s="36">
        <v>11619.96</v>
      </c>
      <c r="KC15" s="36">
        <v>28734</v>
      </c>
      <c r="KD15" s="36">
        <v>7821.58</v>
      </c>
      <c r="KE15" s="36">
        <v>19406.810000000001</v>
      </c>
      <c r="KF15" s="36">
        <v>21554.99</v>
      </c>
      <c r="KG15" s="36">
        <v>6699.96</v>
      </c>
      <c r="KH15" s="36">
        <v>7166.18</v>
      </c>
      <c r="KI15" s="36">
        <v>2902.47</v>
      </c>
      <c r="KJ15" s="36">
        <v>619.73</v>
      </c>
      <c r="KK15" s="36">
        <v>13539.07</v>
      </c>
      <c r="KL15" s="36">
        <v>2112.3000000000002</v>
      </c>
      <c r="KM15" s="36">
        <v>35892.9</v>
      </c>
      <c r="KN15" s="36">
        <v>7321.28</v>
      </c>
      <c r="KO15" s="36">
        <v>10359.16</v>
      </c>
      <c r="KP15" s="36">
        <v>6588.4</v>
      </c>
      <c r="KQ15" s="36">
        <v>4233.32</v>
      </c>
      <c r="KR15" s="36">
        <v>1543.2</v>
      </c>
      <c r="KS15" s="36">
        <v>8152.06</v>
      </c>
      <c r="KT15" s="36">
        <v>5209.63</v>
      </c>
      <c r="KU15" s="36">
        <v>2713.41</v>
      </c>
      <c r="KV15" s="36">
        <v>7632.11</v>
      </c>
      <c r="KW15" s="36">
        <v>12572.8</v>
      </c>
      <c r="KX15" s="36">
        <v>2466.41</v>
      </c>
      <c r="KY15" s="36">
        <v>16748.77</v>
      </c>
      <c r="KZ15" s="36">
        <v>7776.74</v>
      </c>
      <c r="LA15" s="36">
        <v>2588.64</v>
      </c>
      <c r="LB15" s="36">
        <v>2763.58</v>
      </c>
      <c r="LC15" s="36">
        <v>1597.76</v>
      </c>
      <c r="LD15" s="36">
        <v>22120.54</v>
      </c>
      <c r="LE15" s="36">
        <v>16518.97</v>
      </c>
      <c r="LF15" s="36">
        <v>1261.95</v>
      </c>
      <c r="LG15" s="36">
        <v>1715.21</v>
      </c>
      <c r="LH15" s="36">
        <v>10516.88</v>
      </c>
      <c r="LI15" s="36">
        <v>18038.240000000002</v>
      </c>
      <c r="LJ15" s="36">
        <v>18946.54</v>
      </c>
      <c r="LK15" s="36">
        <v>3204.1</v>
      </c>
      <c r="LL15" s="36">
        <v>3069.25</v>
      </c>
      <c r="LM15" s="36">
        <v>26565.24</v>
      </c>
      <c r="LN15" s="36">
        <v>5111.05</v>
      </c>
      <c r="LO15" s="36">
        <v>6171.55</v>
      </c>
      <c r="LP15" s="36">
        <v>23802.6</v>
      </c>
      <c r="LQ15" s="36">
        <v>5012.16</v>
      </c>
      <c r="LR15" s="36">
        <v>2537.09</v>
      </c>
      <c r="LS15" s="36">
        <v>22279.599999999999</v>
      </c>
      <c r="LT15" s="36">
        <v>4217.87</v>
      </c>
      <c r="LU15" s="36">
        <v>2537.1799999999998</v>
      </c>
      <c r="LV15" s="36">
        <v>16028.83</v>
      </c>
      <c r="LW15" s="36">
        <v>10063.08</v>
      </c>
      <c r="LX15" s="36">
        <v>13370.56</v>
      </c>
      <c r="LY15" s="36">
        <v>957.52</v>
      </c>
      <c r="LZ15" s="36">
        <v>23270.36</v>
      </c>
      <c r="MA15" s="36">
        <v>1114.6099999999999</v>
      </c>
      <c r="MB15" s="36">
        <v>14092.34</v>
      </c>
      <c r="MC15" s="36">
        <v>10111.82</v>
      </c>
      <c r="MD15" s="36">
        <v>2567.7199999999998</v>
      </c>
      <c r="ME15" s="36">
        <v>8338.99</v>
      </c>
      <c r="MF15" s="36">
        <v>2194.5700000000002</v>
      </c>
      <c r="MG15" s="36">
        <v>8914.59</v>
      </c>
      <c r="MH15" s="36">
        <v>3262.88</v>
      </c>
      <c r="MI15" s="36">
        <v>27325.03</v>
      </c>
      <c r="MJ15" s="36">
        <v>2049.1799999999998</v>
      </c>
      <c r="MK15" s="36">
        <v>4580.21</v>
      </c>
      <c r="ML15" s="36">
        <v>18705.8</v>
      </c>
      <c r="MM15" s="36">
        <v>2966.7</v>
      </c>
      <c r="MN15" s="36">
        <v>4905.13</v>
      </c>
      <c r="MO15" s="36">
        <v>3313.66</v>
      </c>
      <c r="MP15" s="36">
        <v>10521.12</v>
      </c>
      <c r="MQ15" s="36">
        <v>2874.34</v>
      </c>
      <c r="MR15" s="36">
        <v>22511.119999999999</v>
      </c>
      <c r="MS15" s="36">
        <v>9637.24</v>
      </c>
      <c r="MT15" s="36">
        <v>10402.48</v>
      </c>
      <c r="MU15" s="36">
        <v>24351.62</v>
      </c>
      <c r="MV15" s="36">
        <v>192.37</v>
      </c>
      <c r="MW15" s="36">
        <v>9469</v>
      </c>
      <c r="MX15" s="36">
        <v>5482.25</v>
      </c>
      <c r="MY15" s="36">
        <v>4035.58</v>
      </c>
      <c r="MZ15" s="36">
        <v>479.35</v>
      </c>
      <c r="NA15" s="36">
        <v>2959.93</v>
      </c>
      <c r="NB15" s="36">
        <v>14373.84</v>
      </c>
      <c r="NC15" s="36">
        <v>16604.400000000001</v>
      </c>
      <c r="ND15" s="36">
        <v>27438.51</v>
      </c>
      <c r="NE15" s="36">
        <v>13562.91</v>
      </c>
      <c r="NF15" s="36">
        <v>22284.89</v>
      </c>
      <c r="NG15" s="36">
        <v>9771.36</v>
      </c>
      <c r="NH15" s="36">
        <v>13032.62</v>
      </c>
      <c r="NI15" s="36">
        <v>7518.34</v>
      </c>
      <c r="NJ15" s="36">
        <v>6114.3</v>
      </c>
      <c r="NK15" s="36">
        <v>6604.44</v>
      </c>
      <c r="NL15" s="36">
        <v>5694.81</v>
      </c>
      <c r="NM15" s="36">
        <v>3474.94</v>
      </c>
      <c r="NN15" s="36">
        <v>3511.2</v>
      </c>
      <c r="NO15" s="36">
        <v>27089.88</v>
      </c>
      <c r="NP15" s="36">
        <v>3715.13</v>
      </c>
      <c r="NQ15" s="36">
        <v>4612.1099999999997</v>
      </c>
      <c r="NR15" s="36">
        <v>1389.23</v>
      </c>
      <c r="NS15" s="36">
        <v>2904.34</v>
      </c>
      <c r="NT15" s="36">
        <v>3044.34</v>
      </c>
      <c r="NU15" s="36">
        <v>7742.72</v>
      </c>
      <c r="NV15" s="36">
        <v>3731.7</v>
      </c>
      <c r="NW15" s="36">
        <v>3571.88</v>
      </c>
      <c r="NX15" s="36">
        <v>9353.2000000000007</v>
      </c>
      <c r="NY15" s="36">
        <v>5488.53</v>
      </c>
      <c r="NZ15" s="36">
        <v>24215.03</v>
      </c>
      <c r="OA15" s="36">
        <v>2065.81</v>
      </c>
      <c r="OB15" s="36">
        <v>16946.52</v>
      </c>
      <c r="OC15" s="36">
        <v>3962.65</v>
      </c>
      <c r="OD15" s="36">
        <v>21551.4</v>
      </c>
      <c r="OE15" s="36">
        <v>16298.88</v>
      </c>
      <c r="OF15" s="36">
        <v>1098.56</v>
      </c>
      <c r="OG15" s="36">
        <v>12008.82</v>
      </c>
      <c r="OH15" s="36">
        <v>7172.3</v>
      </c>
      <c r="OI15" s="36">
        <v>16228.85</v>
      </c>
      <c r="OJ15" s="36">
        <v>5369.58</v>
      </c>
      <c r="OK15" s="36">
        <v>14326.31</v>
      </c>
      <c r="OL15" s="36">
        <v>1923.29</v>
      </c>
      <c r="OM15" s="36">
        <v>16087.13</v>
      </c>
      <c r="ON15" s="36">
        <v>2332.19</v>
      </c>
      <c r="OO15" s="36">
        <v>11177.53</v>
      </c>
      <c r="OP15" s="36">
        <v>5069.16</v>
      </c>
      <c r="OQ15" s="36">
        <v>2044.41</v>
      </c>
      <c r="OR15" s="36">
        <v>23159.23</v>
      </c>
      <c r="OS15" s="36">
        <v>3344.9</v>
      </c>
      <c r="OT15" s="36">
        <v>6427.45</v>
      </c>
      <c r="OU15" s="36">
        <v>6473.92</v>
      </c>
      <c r="OV15" s="36">
        <v>6172.3</v>
      </c>
      <c r="OW15" s="36">
        <v>8409.6299999999992</v>
      </c>
      <c r="OX15" s="36">
        <v>10380.719999999999</v>
      </c>
      <c r="OY15" s="36">
        <v>1158.71</v>
      </c>
      <c r="OZ15" s="36">
        <v>4992.51</v>
      </c>
      <c r="PA15" s="36">
        <v>21278.560000000001</v>
      </c>
      <c r="PB15" s="36">
        <v>3354.81</v>
      </c>
      <c r="PC15" s="36">
        <v>28120.1</v>
      </c>
      <c r="PD15" s="36">
        <v>15014.03</v>
      </c>
      <c r="PE15" s="36">
        <v>732.19</v>
      </c>
      <c r="PF15" s="36">
        <v>1273.6099999999999</v>
      </c>
      <c r="PG15" s="36">
        <v>6570.38</v>
      </c>
      <c r="PH15" s="36">
        <v>30296.43</v>
      </c>
      <c r="PI15" s="36">
        <v>15583.46</v>
      </c>
      <c r="PJ15" s="36">
        <v>7656.83</v>
      </c>
      <c r="PK15" s="36">
        <v>10626.78</v>
      </c>
      <c r="PL15" s="36">
        <v>20986.74</v>
      </c>
      <c r="PM15" s="36">
        <v>4262.18</v>
      </c>
      <c r="PN15" s="36">
        <v>2004.99</v>
      </c>
      <c r="PO15" s="36">
        <v>28163.3</v>
      </c>
      <c r="PP15" s="36">
        <v>11461.59</v>
      </c>
      <c r="PQ15" s="36">
        <v>5446.44</v>
      </c>
      <c r="PR15" s="36">
        <v>14362</v>
      </c>
      <c r="PS15" s="36">
        <v>2799.1</v>
      </c>
      <c r="PT15" s="36">
        <v>10934.34</v>
      </c>
      <c r="PU15" s="36">
        <v>9568.27</v>
      </c>
      <c r="PV15" s="36">
        <v>19357.29</v>
      </c>
      <c r="PW15" s="36">
        <v>14022.99</v>
      </c>
      <c r="PX15" s="36">
        <v>3911.27</v>
      </c>
      <c r="PY15" s="36">
        <v>3397.56</v>
      </c>
      <c r="PZ15" s="36">
        <v>5254.56</v>
      </c>
      <c r="QA15" s="36">
        <v>24054.57</v>
      </c>
      <c r="QB15" s="36">
        <v>18539.05</v>
      </c>
      <c r="QC15" s="36">
        <v>7027.99</v>
      </c>
      <c r="QD15" s="36">
        <v>19979.150000000001</v>
      </c>
      <c r="QE15" s="36">
        <v>2633.24</v>
      </c>
      <c r="QF15" s="36">
        <v>13936.36</v>
      </c>
      <c r="QG15" s="36">
        <v>16180.04</v>
      </c>
      <c r="QH15" s="36">
        <v>14185.29</v>
      </c>
      <c r="QI15" s="36">
        <v>15416.8</v>
      </c>
      <c r="QJ15" s="36">
        <v>9330.09</v>
      </c>
      <c r="QK15" s="36">
        <v>1495.86</v>
      </c>
      <c r="QL15" s="36">
        <v>11573.53</v>
      </c>
      <c r="QM15" s="36">
        <v>22979.23</v>
      </c>
      <c r="QN15" s="36">
        <v>2748.46</v>
      </c>
      <c r="QO15" s="36">
        <v>6431.29</v>
      </c>
      <c r="QP15" s="36">
        <v>7403.3</v>
      </c>
      <c r="QQ15" s="36">
        <v>26654.75</v>
      </c>
      <c r="QR15" s="36">
        <v>6230.08</v>
      </c>
      <c r="QS15" s="36">
        <v>400.84</v>
      </c>
      <c r="QT15" s="36">
        <v>2683.62</v>
      </c>
      <c r="QU15" s="36">
        <v>2080.35</v>
      </c>
      <c r="QV15" s="36">
        <v>8807.36</v>
      </c>
      <c r="QW15" s="36">
        <v>447.52</v>
      </c>
      <c r="QX15" s="36">
        <v>1886.21</v>
      </c>
      <c r="QY15" s="36">
        <v>22638.240000000002</v>
      </c>
      <c r="QZ15" s="36">
        <v>11933.05</v>
      </c>
      <c r="RA15" s="36">
        <v>14462.55</v>
      </c>
      <c r="RB15" s="36">
        <v>18740.41</v>
      </c>
      <c r="RC15" s="36">
        <v>1145.47</v>
      </c>
      <c r="RD15" s="36">
        <v>21493.16</v>
      </c>
      <c r="RE15" s="36">
        <v>11354.63</v>
      </c>
      <c r="RF15" s="36">
        <v>10893.61</v>
      </c>
      <c r="RG15" s="36">
        <v>1426.51</v>
      </c>
      <c r="RH15" s="36">
        <v>11990.35</v>
      </c>
      <c r="RI15" s="36">
        <v>5592.32</v>
      </c>
      <c r="RJ15" s="36">
        <v>5924.8</v>
      </c>
      <c r="RK15" s="36">
        <v>3187.82</v>
      </c>
      <c r="RL15" s="36">
        <v>2186.1799999999998</v>
      </c>
      <c r="RM15" s="36">
        <v>4309.5</v>
      </c>
      <c r="RN15" s="36">
        <v>9284.08</v>
      </c>
      <c r="RO15" s="36">
        <v>12164.54</v>
      </c>
      <c r="RP15" s="36">
        <v>1734.45</v>
      </c>
      <c r="RQ15" s="36">
        <v>26542.62</v>
      </c>
      <c r="RR15" s="36">
        <v>2201.23</v>
      </c>
      <c r="RS15" s="36">
        <v>6981.93</v>
      </c>
      <c r="RT15" s="36">
        <v>8803.65</v>
      </c>
      <c r="RU15" s="36">
        <v>281.8</v>
      </c>
      <c r="RV15" s="36">
        <v>19280.29</v>
      </c>
      <c r="RW15" s="36">
        <v>15893.14</v>
      </c>
      <c r="RX15" s="36">
        <v>3909.72</v>
      </c>
      <c r="RY15" s="36">
        <v>1557.8</v>
      </c>
      <c r="RZ15" s="36">
        <v>9765.19</v>
      </c>
      <c r="SA15" s="36">
        <v>2515.5500000000002</v>
      </c>
      <c r="SB15" s="36">
        <v>4787.5200000000004</v>
      </c>
      <c r="SC15" s="36">
        <v>5418.77</v>
      </c>
      <c r="SD15" s="36">
        <v>6437.75</v>
      </c>
      <c r="SE15" s="36">
        <v>15770.81</v>
      </c>
      <c r="SF15" s="36">
        <v>4695.08</v>
      </c>
      <c r="SG15" s="36">
        <v>1945.74</v>
      </c>
    </row>
    <row r="16" spans="1:501" x14ac:dyDescent="0.3">
      <c r="C16" s="39"/>
      <c r="D16" s="39"/>
    </row>
    <row r="17" spans="2:4" x14ac:dyDescent="0.3">
      <c r="C17" s="39"/>
      <c r="D17" s="39"/>
    </row>
    <row r="18" spans="2:4" x14ac:dyDescent="0.3">
      <c r="C18" s="39"/>
      <c r="D18" s="39"/>
    </row>
    <row r="19" spans="2:4" x14ac:dyDescent="0.3">
      <c r="B19" s="38" t="s">
        <v>1</v>
      </c>
      <c r="C19" s="38" t="s">
        <v>4</v>
      </c>
      <c r="D19" s="39"/>
    </row>
    <row r="20" spans="2:4" x14ac:dyDescent="0.3">
      <c r="B20" s="36">
        <v>1270</v>
      </c>
      <c r="C20" s="40" t="str">
        <f>HLOOKUP(B20,A2:SG15,4,0)</f>
        <v>Bengaluru</v>
      </c>
      <c r="D20" s="39"/>
    </row>
    <row r="21" spans="2:4" x14ac:dyDescent="0.3">
      <c r="C21" s="39"/>
      <c r="D21" s="39"/>
    </row>
    <row r="22" spans="2:4" x14ac:dyDescent="0.3">
      <c r="C22" s="39"/>
      <c r="D22" s="39"/>
    </row>
    <row r="23" spans="2:4" x14ac:dyDescent="0.3">
      <c r="C23" s="39"/>
      <c r="D23" s="39"/>
    </row>
    <row r="24" spans="2:4" x14ac:dyDescent="0.3">
      <c r="C24" s="39"/>
      <c r="D24" s="39"/>
    </row>
    <row r="25" spans="2:4" x14ac:dyDescent="0.3">
      <c r="C25" s="39"/>
      <c r="D25" s="39"/>
    </row>
    <row r="26" spans="2:4" x14ac:dyDescent="0.3">
      <c r="C26" s="39"/>
      <c r="D26" s="39"/>
    </row>
    <row r="27" spans="2:4" x14ac:dyDescent="0.3">
      <c r="C27" s="39"/>
      <c r="D27" s="39"/>
    </row>
    <row r="28" spans="2:4" x14ac:dyDescent="0.3">
      <c r="C28" s="39"/>
      <c r="D28" s="39"/>
    </row>
    <row r="29" spans="2:4" x14ac:dyDescent="0.3">
      <c r="C29" s="39"/>
      <c r="D29" s="39"/>
    </row>
    <row r="30" spans="2:4" x14ac:dyDescent="0.3">
      <c r="C30" s="39"/>
      <c r="D30" s="39"/>
    </row>
    <row r="31" spans="2:4" x14ac:dyDescent="0.3">
      <c r="C31" s="39"/>
      <c r="D31" s="39"/>
    </row>
    <row r="32" spans="2:4" x14ac:dyDescent="0.3">
      <c r="C32" s="39"/>
      <c r="D32" s="39"/>
    </row>
    <row r="33" spans="3:4" x14ac:dyDescent="0.3">
      <c r="C33" s="39"/>
      <c r="D33" s="39"/>
    </row>
    <row r="34" spans="3:4" x14ac:dyDescent="0.3">
      <c r="C34" s="39"/>
      <c r="D34" s="39"/>
    </row>
    <row r="35" spans="3:4" x14ac:dyDescent="0.3">
      <c r="C35" s="39"/>
      <c r="D35" s="39"/>
    </row>
    <row r="36" spans="3:4" x14ac:dyDescent="0.3">
      <c r="C36" s="39"/>
      <c r="D36" s="39"/>
    </row>
    <row r="37" spans="3:4" x14ac:dyDescent="0.3">
      <c r="C37" s="39"/>
      <c r="D37" s="39"/>
    </row>
    <row r="38" spans="3:4" x14ac:dyDescent="0.3">
      <c r="C38" s="39"/>
      <c r="D38" s="39"/>
    </row>
    <row r="39" spans="3:4" x14ac:dyDescent="0.3">
      <c r="C39" s="39"/>
      <c r="D39" s="39"/>
    </row>
    <row r="40" spans="3:4" x14ac:dyDescent="0.3">
      <c r="C40" s="39"/>
      <c r="D40" s="39"/>
    </row>
    <row r="41" spans="3:4" x14ac:dyDescent="0.3">
      <c r="C41" s="39"/>
      <c r="D41" s="39"/>
    </row>
    <row r="42" spans="3:4" x14ac:dyDescent="0.3">
      <c r="C42" s="39"/>
      <c r="D42" s="39"/>
    </row>
    <row r="43" spans="3:4" x14ac:dyDescent="0.3">
      <c r="C43" s="39"/>
      <c r="D43" s="39"/>
    </row>
    <row r="44" spans="3:4" x14ac:dyDescent="0.3">
      <c r="C44" s="39"/>
      <c r="D44" s="39"/>
    </row>
    <row r="45" spans="3:4" x14ac:dyDescent="0.3">
      <c r="C45" s="39"/>
      <c r="D45" s="39"/>
    </row>
    <row r="46" spans="3:4" x14ac:dyDescent="0.3">
      <c r="C46" s="39"/>
      <c r="D46" s="39"/>
    </row>
    <row r="47" spans="3:4" x14ac:dyDescent="0.3">
      <c r="C47" s="39"/>
      <c r="D47" s="39"/>
    </row>
    <row r="48" spans="3:4" x14ac:dyDescent="0.3">
      <c r="C48" s="39"/>
      <c r="D48" s="39"/>
    </row>
    <row r="49" spans="3:4" x14ac:dyDescent="0.3">
      <c r="C49" s="39"/>
      <c r="D49" s="39"/>
    </row>
    <row r="50" spans="3:4" x14ac:dyDescent="0.3">
      <c r="C50" s="39"/>
      <c r="D50" s="39"/>
    </row>
    <row r="51" spans="3:4" x14ac:dyDescent="0.3">
      <c r="C51" s="39"/>
      <c r="D51" s="39"/>
    </row>
    <row r="52" spans="3:4" x14ac:dyDescent="0.3">
      <c r="C52" s="39"/>
      <c r="D52" s="39"/>
    </row>
    <row r="53" spans="3:4" x14ac:dyDescent="0.3">
      <c r="C53" s="39"/>
      <c r="D53" s="39"/>
    </row>
    <row r="54" spans="3:4" x14ac:dyDescent="0.3">
      <c r="C54" s="39"/>
      <c r="D54" s="39"/>
    </row>
    <row r="55" spans="3:4" x14ac:dyDescent="0.3">
      <c r="C55" s="39"/>
      <c r="D55" s="39"/>
    </row>
    <row r="56" spans="3:4" x14ac:dyDescent="0.3">
      <c r="C56" s="39"/>
      <c r="D56" s="39"/>
    </row>
    <row r="57" spans="3:4" x14ac:dyDescent="0.3">
      <c r="C57" s="39"/>
      <c r="D57" s="39"/>
    </row>
    <row r="58" spans="3:4" x14ac:dyDescent="0.3">
      <c r="C58" s="39"/>
      <c r="D58" s="39"/>
    </row>
    <row r="59" spans="3:4" x14ac:dyDescent="0.3">
      <c r="C59" s="39"/>
      <c r="D59" s="39"/>
    </row>
    <row r="60" spans="3:4" x14ac:dyDescent="0.3">
      <c r="C60" s="39"/>
      <c r="D60" s="39"/>
    </row>
    <row r="61" spans="3:4" x14ac:dyDescent="0.3">
      <c r="C61" s="39"/>
      <c r="D61" s="39"/>
    </row>
    <row r="62" spans="3:4" x14ac:dyDescent="0.3">
      <c r="C62" s="39"/>
      <c r="D62" s="39"/>
    </row>
    <row r="63" spans="3:4" x14ac:dyDescent="0.3">
      <c r="C63" s="39"/>
      <c r="D63" s="39"/>
    </row>
    <row r="64" spans="3:4" x14ac:dyDescent="0.3">
      <c r="C64" s="39"/>
      <c r="D64" s="39"/>
    </row>
    <row r="65" spans="3:4" x14ac:dyDescent="0.3">
      <c r="C65" s="39"/>
      <c r="D65" s="39"/>
    </row>
    <row r="66" spans="3:4" x14ac:dyDescent="0.3">
      <c r="C66" s="39"/>
      <c r="D66" s="39"/>
    </row>
    <row r="67" spans="3:4" x14ac:dyDescent="0.3">
      <c r="C67" s="39"/>
      <c r="D67" s="39"/>
    </row>
    <row r="68" spans="3:4" x14ac:dyDescent="0.3">
      <c r="C68" s="39"/>
      <c r="D68" s="39"/>
    </row>
    <row r="69" spans="3:4" x14ac:dyDescent="0.3">
      <c r="C69" s="39"/>
      <c r="D69" s="39"/>
    </row>
    <row r="70" spans="3:4" x14ac:dyDescent="0.3">
      <c r="C70" s="39"/>
      <c r="D70" s="39"/>
    </row>
    <row r="71" spans="3:4" x14ac:dyDescent="0.3">
      <c r="C71" s="39"/>
      <c r="D71" s="39"/>
    </row>
    <row r="72" spans="3:4" x14ac:dyDescent="0.3">
      <c r="C72" s="39"/>
      <c r="D72" s="39"/>
    </row>
    <row r="73" spans="3:4" x14ac:dyDescent="0.3">
      <c r="C73" s="39"/>
      <c r="D73" s="39"/>
    </row>
    <row r="74" spans="3:4" x14ac:dyDescent="0.3">
      <c r="C74" s="39"/>
      <c r="D74" s="39"/>
    </row>
    <row r="75" spans="3:4" x14ac:dyDescent="0.3">
      <c r="C75" s="39"/>
      <c r="D75" s="39"/>
    </row>
    <row r="76" spans="3:4" x14ac:dyDescent="0.3">
      <c r="C76" s="39"/>
      <c r="D76" s="39"/>
    </row>
    <row r="77" spans="3:4" x14ac:dyDescent="0.3">
      <c r="C77" s="39"/>
      <c r="D77" s="39"/>
    </row>
    <row r="78" spans="3:4" x14ac:dyDescent="0.3">
      <c r="C78" s="39"/>
      <c r="D78" s="39"/>
    </row>
    <row r="79" spans="3:4" x14ac:dyDescent="0.3">
      <c r="C79" s="39"/>
      <c r="D79" s="39"/>
    </row>
    <row r="80" spans="3:4" x14ac:dyDescent="0.3">
      <c r="C80" s="39"/>
      <c r="D80" s="39"/>
    </row>
    <row r="81" spans="3:4" x14ac:dyDescent="0.3">
      <c r="C81" s="39"/>
      <c r="D81" s="39"/>
    </row>
    <row r="82" spans="3:4" x14ac:dyDescent="0.3">
      <c r="C82" s="39"/>
      <c r="D82" s="39"/>
    </row>
    <row r="83" spans="3:4" x14ac:dyDescent="0.3">
      <c r="C83" s="39"/>
      <c r="D83" s="39"/>
    </row>
    <row r="84" spans="3:4" x14ac:dyDescent="0.3">
      <c r="C84" s="39"/>
      <c r="D84" s="39"/>
    </row>
    <row r="85" spans="3:4" x14ac:dyDescent="0.3">
      <c r="C85" s="39"/>
      <c r="D85" s="39"/>
    </row>
    <row r="86" spans="3:4" x14ac:dyDescent="0.3">
      <c r="C86" s="39"/>
      <c r="D86" s="39"/>
    </row>
    <row r="87" spans="3:4" x14ac:dyDescent="0.3">
      <c r="C87" s="39"/>
      <c r="D87" s="39"/>
    </row>
    <row r="88" spans="3:4" x14ac:dyDescent="0.3">
      <c r="C88" s="39"/>
      <c r="D88" s="39"/>
    </row>
    <row r="89" spans="3:4" x14ac:dyDescent="0.3">
      <c r="C89" s="39"/>
      <c r="D89" s="39"/>
    </row>
    <row r="90" spans="3:4" x14ac:dyDescent="0.3">
      <c r="C90" s="39"/>
      <c r="D90" s="39"/>
    </row>
    <row r="91" spans="3:4" x14ac:dyDescent="0.3">
      <c r="C91" s="39"/>
      <c r="D91" s="39"/>
    </row>
    <row r="92" spans="3:4" x14ac:dyDescent="0.3">
      <c r="C92" s="39"/>
      <c r="D92" s="39"/>
    </row>
    <row r="93" spans="3:4" x14ac:dyDescent="0.3">
      <c r="C93" s="39"/>
      <c r="D93" s="39"/>
    </row>
    <row r="94" spans="3:4" x14ac:dyDescent="0.3">
      <c r="C94" s="39"/>
      <c r="D94" s="39"/>
    </row>
    <row r="95" spans="3:4" x14ac:dyDescent="0.3">
      <c r="C95" s="39"/>
      <c r="D95" s="39"/>
    </row>
    <row r="96" spans="3:4" x14ac:dyDescent="0.3">
      <c r="C96" s="39"/>
      <c r="D96" s="39"/>
    </row>
    <row r="97" spans="3:4" x14ac:dyDescent="0.3">
      <c r="C97" s="39"/>
      <c r="D97" s="39"/>
    </row>
    <row r="98" spans="3:4" x14ac:dyDescent="0.3">
      <c r="C98" s="39"/>
      <c r="D98" s="39"/>
    </row>
    <row r="99" spans="3:4" x14ac:dyDescent="0.3">
      <c r="C99" s="39"/>
      <c r="D99" s="39"/>
    </row>
    <row r="100" spans="3:4" x14ac:dyDescent="0.3">
      <c r="C100" s="39"/>
      <c r="D100" s="39"/>
    </row>
    <row r="101" spans="3:4" x14ac:dyDescent="0.3">
      <c r="C101" s="39"/>
      <c r="D101" s="39"/>
    </row>
    <row r="102" spans="3:4" x14ac:dyDescent="0.3">
      <c r="C102" s="39"/>
      <c r="D102" s="39"/>
    </row>
    <row r="103" spans="3:4" x14ac:dyDescent="0.3">
      <c r="C103" s="39"/>
      <c r="D103" s="39"/>
    </row>
    <row r="104" spans="3:4" x14ac:dyDescent="0.3">
      <c r="C104" s="39"/>
      <c r="D104" s="39"/>
    </row>
    <row r="105" spans="3:4" x14ac:dyDescent="0.3">
      <c r="C105" s="39"/>
      <c r="D105" s="39"/>
    </row>
    <row r="106" spans="3:4" x14ac:dyDescent="0.3">
      <c r="C106" s="39"/>
      <c r="D106" s="39"/>
    </row>
    <row r="107" spans="3:4" x14ac:dyDescent="0.3">
      <c r="C107" s="39"/>
      <c r="D107" s="39"/>
    </row>
    <row r="108" spans="3:4" x14ac:dyDescent="0.3">
      <c r="C108" s="39"/>
      <c r="D108" s="39"/>
    </row>
    <row r="109" spans="3:4" x14ac:dyDescent="0.3">
      <c r="C109" s="39"/>
      <c r="D109" s="39"/>
    </row>
    <row r="110" spans="3:4" x14ac:dyDescent="0.3">
      <c r="C110" s="39"/>
      <c r="D110" s="39"/>
    </row>
    <row r="111" spans="3:4" x14ac:dyDescent="0.3">
      <c r="C111" s="39"/>
      <c r="D111" s="39"/>
    </row>
    <row r="112" spans="3:4" x14ac:dyDescent="0.3">
      <c r="C112" s="39"/>
      <c r="D112" s="39"/>
    </row>
    <row r="113" spans="3:4" x14ac:dyDescent="0.3">
      <c r="C113" s="39"/>
      <c r="D113" s="39"/>
    </row>
    <row r="114" spans="3:4" x14ac:dyDescent="0.3">
      <c r="C114" s="39"/>
      <c r="D114" s="39"/>
    </row>
    <row r="115" spans="3:4" x14ac:dyDescent="0.3">
      <c r="C115" s="39"/>
      <c r="D115" s="39"/>
    </row>
    <row r="116" spans="3:4" x14ac:dyDescent="0.3">
      <c r="C116" s="39"/>
      <c r="D116" s="39"/>
    </row>
    <row r="117" spans="3:4" x14ac:dyDescent="0.3">
      <c r="C117" s="39"/>
      <c r="D117" s="39"/>
    </row>
    <row r="118" spans="3:4" x14ac:dyDescent="0.3">
      <c r="C118" s="39"/>
      <c r="D118" s="39"/>
    </row>
    <row r="119" spans="3:4" x14ac:dyDescent="0.3">
      <c r="C119" s="39"/>
      <c r="D119" s="39"/>
    </row>
    <row r="120" spans="3:4" x14ac:dyDescent="0.3">
      <c r="C120" s="39"/>
      <c r="D120" s="39"/>
    </row>
    <row r="121" spans="3:4" x14ac:dyDescent="0.3">
      <c r="C121" s="39"/>
      <c r="D121" s="39"/>
    </row>
    <row r="122" spans="3:4" x14ac:dyDescent="0.3">
      <c r="C122" s="39"/>
      <c r="D122" s="39"/>
    </row>
    <row r="123" spans="3:4" x14ac:dyDescent="0.3">
      <c r="C123" s="39"/>
      <c r="D123" s="39"/>
    </row>
    <row r="124" spans="3:4" x14ac:dyDescent="0.3">
      <c r="C124" s="39"/>
      <c r="D124" s="39"/>
    </row>
    <row r="125" spans="3:4" x14ac:dyDescent="0.3">
      <c r="C125" s="39"/>
      <c r="D125" s="39"/>
    </row>
    <row r="126" spans="3:4" x14ac:dyDescent="0.3">
      <c r="C126" s="39"/>
      <c r="D126" s="39"/>
    </row>
    <row r="127" spans="3:4" x14ac:dyDescent="0.3">
      <c r="C127" s="39"/>
      <c r="D127" s="39"/>
    </row>
    <row r="128" spans="3:4" x14ac:dyDescent="0.3">
      <c r="C128" s="39"/>
      <c r="D128" s="39"/>
    </row>
    <row r="129" spans="3:4" x14ac:dyDescent="0.3">
      <c r="C129" s="39"/>
      <c r="D129" s="39"/>
    </row>
    <row r="130" spans="3:4" x14ac:dyDescent="0.3">
      <c r="C130" s="39"/>
      <c r="D130" s="39"/>
    </row>
    <row r="131" spans="3:4" x14ac:dyDescent="0.3">
      <c r="C131" s="39"/>
      <c r="D131" s="39"/>
    </row>
    <row r="132" spans="3:4" x14ac:dyDescent="0.3">
      <c r="C132" s="39"/>
      <c r="D132" s="39"/>
    </row>
    <row r="133" spans="3:4" x14ac:dyDescent="0.3">
      <c r="C133" s="39"/>
      <c r="D133" s="39"/>
    </row>
    <row r="134" spans="3:4" x14ac:dyDescent="0.3">
      <c r="C134" s="39"/>
      <c r="D134" s="39"/>
    </row>
    <row r="135" spans="3:4" x14ac:dyDescent="0.3">
      <c r="C135" s="39"/>
      <c r="D135" s="39"/>
    </row>
    <row r="136" spans="3:4" x14ac:dyDescent="0.3">
      <c r="C136" s="39"/>
      <c r="D136" s="39"/>
    </row>
    <row r="137" spans="3:4" x14ac:dyDescent="0.3">
      <c r="C137" s="39"/>
      <c r="D137" s="39"/>
    </row>
    <row r="138" spans="3:4" x14ac:dyDescent="0.3">
      <c r="C138" s="39"/>
      <c r="D138" s="39"/>
    </row>
    <row r="139" spans="3:4" x14ac:dyDescent="0.3">
      <c r="C139" s="39"/>
      <c r="D139" s="39"/>
    </row>
    <row r="140" spans="3:4" x14ac:dyDescent="0.3">
      <c r="C140" s="39"/>
      <c r="D140" s="39"/>
    </row>
    <row r="141" spans="3:4" x14ac:dyDescent="0.3">
      <c r="C141" s="39"/>
      <c r="D141" s="39"/>
    </row>
    <row r="142" spans="3:4" x14ac:dyDescent="0.3">
      <c r="C142" s="39"/>
      <c r="D142" s="39"/>
    </row>
    <row r="143" spans="3:4" x14ac:dyDescent="0.3">
      <c r="C143" s="39"/>
      <c r="D143" s="39"/>
    </row>
    <row r="144" spans="3:4" x14ac:dyDescent="0.3">
      <c r="C144" s="39"/>
      <c r="D144" s="39"/>
    </row>
    <row r="145" spans="3:4" x14ac:dyDescent="0.3">
      <c r="C145" s="39"/>
      <c r="D145" s="39"/>
    </row>
    <row r="146" spans="3:4" x14ac:dyDescent="0.3">
      <c r="C146" s="39"/>
      <c r="D146" s="39"/>
    </row>
    <row r="147" spans="3:4" x14ac:dyDescent="0.3">
      <c r="C147" s="39"/>
      <c r="D147" s="39"/>
    </row>
    <row r="148" spans="3:4" x14ac:dyDescent="0.3">
      <c r="C148" s="39"/>
      <c r="D148" s="39"/>
    </row>
    <row r="149" spans="3:4" x14ac:dyDescent="0.3">
      <c r="C149" s="39"/>
      <c r="D149" s="39"/>
    </row>
    <row r="150" spans="3:4" x14ac:dyDescent="0.3">
      <c r="C150" s="39"/>
      <c r="D150" s="39"/>
    </row>
    <row r="151" spans="3:4" x14ac:dyDescent="0.3">
      <c r="C151" s="39"/>
      <c r="D151" s="39"/>
    </row>
    <row r="152" spans="3:4" x14ac:dyDescent="0.3">
      <c r="C152" s="39"/>
      <c r="D152" s="39"/>
    </row>
    <row r="153" spans="3:4" x14ac:dyDescent="0.3">
      <c r="C153" s="39"/>
      <c r="D153" s="39"/>
    </row>
    <row r="154" spans="3:4" x14ac:dyDescent="0.3">
      <c r="C154" s="39"/>
      <c r="D154" s="39"/>
    </row>
    <row r="155" spans="3:4" x14ac:dyDescent="0.3">
      <c r="C155" s="39"/>
      <c r="D155" s="39"/>
    </row>
    <row r="156" spans="3:4" x14ac:dyDescent="0.3">
      <c r="C156" s="39"/>
      <c r="D156" s="39"/>
    </row>
    <row r="157" spans="3:4" x14ac:dyDescent="0.3">
      <c r="C157" s="39"/>
      <c r="D157" s="39"/>
    </row>
    <row r="158" spans="3:4" x14ac:dyDescent="0.3">
      <c r="C158" s="39"/>
      <c r="D158" s="39"/>
    </row>
    <row r="159" spans="3:4" x14ac:dyDescent="0.3">
      <c r="C159" s="39"/>
      <c r="D159" s="39"/>
    </row>
    <row r="160" spans="3:4" x14ac:dyDescent="0.3">
      <c r="C160" s="39"/>
      <c r="D160" s="39"/>
    </row>
    <row r="161" spans="3:4" x14ac:dyDescent="0.3">
      <c r="C161" s="39"/>
      <c r="D161" s="39"/>
    </row>
    <row r="162" spans="3:4" x14ac:dyDescent="0.3">
      <c r="C162" s="39"/>
      <c r="D162" s="39"/>
    </row>
    <row r="163" spans="3:4" x14ac:dyDescent="0.3">
      <c r="C163" s="39"/>
      <c r="D163" s="39"/>
    </row>
    <row r="164" spans="3:4" x14ac:dyDescent="0.3">
      <c r="C164" s="39"/>
      <c r="D164" s="39"/>
    </row>
    <row r="165" spans="3:4" x14ac:dyDescent="0.3">
      <c r="C165" s="39"/>
      <c r="D165" s="39"/>
    </row>
    <row r="166" spans="3:4" x14ac:dyDescent="0.3">
      <c r="C166" s="39"/>
      <c r="D166" s="39"/>
    </row>
    <row r="167" spans="3:4" x14ac:dyDescent="0.3">
      <c r="C167" s="39"/>
      <c r="D167" s="39"/>
    </row>
    <row r="168" spans="3:4" x14ac:dyDescent="0.3">
      <c r="C168" s="39"/>
      <c r="D168" s="39"/>
    </row>
    <row r="169" spans="3:4" x14ac:dyDescent="0.3">
      <c r="C169" s="39"/>
      <c r="D169" s="39"/>
    </row>
    <row r="170" spans="3:4" x14ac:dyDescent="0.3">
      <c r="C170" s="39"/>
      <c r="D170" s="39"/>
    </row>
    <row r="171" spans="3:4" x14ac:dyDescent="0.3">
      <c r="C171" s="39"/>
      <c r="D171" s="39"/>
    </row>
    <row r="172" spans="3:4" x14ac:dyDescent="0.3">
      <c r="C172" s="39"/>
      <c r="D172" s="39"/>
    </row>
    <row r="173" spans="3:4" x14ac:dyDescent="0.3">
      <c r="C173" s="39"/>
      <c r="D173" s="39"/>
    </row>
    <row r="174" spans="3:4" x14ac:dyDescent="0.3">
      <c r="C174" s="39"/>
      <c r="D174" s="39"/>
    </row>
    <row r="175" spans="3:4" x14ac:dyDescent="0.3">
      <c r="C175" s="39"/>
      <c r="D175" s="39"/>
    </row>
    <row r="176" spans="3:4" x14ac:dyDescent="0.3">
      <c r="C176" s="39"/>
      <c r="D176" s="39"/>
    </row>
    <row r="177" spans="3:4" x14ac:dyDescent="0.3">
      <c r="C177" s="39"/>
      <c r="D177" s="39"/>
    </row>
    <row r="178" spans="3:4" x14ac:dyDescent="0.3">
      <c r="C178" s="39"/>
      <c r="D178" s="39"/>
    </row>
    <row r="179" spans="3:4" x14ac:dyDescent="0.3">
      <c r="C179" s="39"/>
      <c r="D179" s="39"/>
    </row>
    <row r="180" spans="3:4" x14ac:dyDescent="0.3">
      <c r="C180" s="39"/>
      <c r="D180" s="39"/>
    </row>
    <row r="181" spans="3:4" x14ac:dyDescent="0.3">
      <c r="C181" s="39"/>
      <c r="D181" s="39"/>
    </row>
    <row r="182" spans="3:4" x14ac:dyDescent="0.3">
      <c r="C182" s="39"/>
      <c r="D182" s="39"/>
    </row>
    <row r="183" spans="3:4" x14ac:dyDescent="0.3">
      <c r="C183" s="39"/>
      <c r="D183" s="39"/>
    </row>
    <row r="184" spans="3:4" x14ac:dyDescent="0.3">
      <c r="C184" s="39"/>
      <c r="D184" s="39"/>
    </row>
    <row r="185" spans="3:4" x14ac:dyDescent="0.3">
      <c r="C185" s="39"/>
      <c r="D185" s="39"/>
    </row>
    <row r="186" spans="3:4" x14ac:dyDescent="0.3">
      <c r="C186" s="39"/>
      <c r="D186" s="39"/>
    </row>
    <row r="187" spans="3:4" x14ac:dyDescent="0.3">
      <c r="C187" s="39"/>
      <c r="D187" s="39"/>
    </row>
    <row r="188" spans="3:4" x14ac:dyDescent="0.3">
      <c r="C188" s="39"/>
      <c r="D188" s="39"/>
    </row>
    <row r="189" spans="3:4" x14ac:dyDescent="0.3">
      <c r="C189" s="39"/>
      <c r="D189" s="39"/>
    </row>
    <row r="190" spans="3:4" x14ac:dyDescent="0.3">
      <c r="C190" s="39"/>
      <c r="D190" s="39"/>
    </row>
    <row r="191" spans="3:4" x14ac:dyDescent="0.3">
      <c r="C191" s="39"/>
      <c r="D191" s="39"/>
    </row>
    <row r="192" spans="3:4" x14ac:dyDescent="0.3">
      <c r="C192" s="39"/>
      <c r="D192" s="39"/>
    </row>
    <row r="193" spans="3:4" x14ac:dyDescent="0.3">
      <c r="C193" s="39"/>
      <c r="D193" s="39"/>
    </row>
    <row r="194" spans="3:4" x14ac:dyDescent="0.3">
      <c r="C194" s="39"/>
      <c r="D194" s="39"/>
    </row>
    <row r="195" spans="3:4" x14ac:dyDescent="0.3">
      <c r="C195" s="39"/>
      <c r="D195" s="39"/>
    </row>
    <row r="196" spans="3:4" x14ac:dyDescent="0.3">
      <c r="C196" s="39"/>
      <c r="D196" s="39"/>
    </row>
    <row r="197" spans="3:4" x14ac:dyDescent="0.3">
      <c r="C197" s="39"/>
      <c r="D197" s="39"/>
    </row>
    <row r="198" spans="3:4" x14ac:dyDescent="0.3">
      <c r="C198" s="39"/>
      <c r="D198" s="39"/>
    </row>
    <row r="199" spans="3:4" x14ac:dyDescent="0.3">
      <c r="C199" s="39"/>
      <c r="D199" s="39"/>
    </row>
    <row r="200" spans="3:4" x14ac:dyDescent="0.3">
      <c r="C200" s="39"/>
      <c r="D200" s="39"/>
    </row>
    <row r="201" spans="3:4" x14ac:dyDescent="0.3">
      <c r="C201" s="39"/>
      <c r="D201" s="39"/>
    </row>
    <row r="202" spans="3:4" x14ac:dyDescent="0.3">
      <c r="C202" s="39"/>
      <c r="D202" s="39"/>
    </row>
    <row r="203" spans="3:4" x14ac:dyDescent="0.3">
      <c r="C203" s="39"/>
      <c r="D203" s="39"/>
    </row>
    <row r="204" spans="3:4" x14ac:dyDescent="0.3">
      <c r="C204" s="39"/>
      <c r="D204" s="39"/>
    </row>
    <row r="205" spans="3:4" x14ac:dyDescent="0.3">
      <c r="C205" s="39"/>
      <c r="D205" s="39"/>
    </row>
    <row r="206" spans="3:4" x14ac:dyDescent="0.3">
      <c r="C206" s="39"/>
      <c r="D206" s="39"/>
    </row>
    <row r="207" spans="3:4" x14ac:dyDescent="0.3">
      <c r="C207" s="39"/>
      <c r="D207" s="39"/>
    </row>
    <row r="208" spans="3:4" x14ac:dyDescent="0.3">
      <c r="C208" s="39"/>
      <c r="D208" s="39"/>
    </row>
    <row r="209" spans="3:4" x14ac:dyDescent="0.3">
      <c r="C209" s="39"/>
      <c r="D209" s="39"/>
    </row>
    <row r="210" spans="3:4" x14ac:dyDescent="0.3">
      <c r="C210" s="39"/>
      <c r="D210" s="39"/>
    </row>
    <row r="211" spans="3:4" x14ac:dyDescent="0.3">
      <c r="C211" s="39"/>
      <c r="D211" s="39"/>
    </row>
    <row r="212" spans="3:4" x14ac:dyDescent="0.3">
      <c r="C212" s="39"/>
      <c r="D212" s="39"/>
    </row>
    <row r="213" spans="3:4" x14ac:dyDescent="0.3">
      <c r="C213" s="39"/>
      <c r="D213" s="39"/>
    </row>
    <row r="214" spans="3:4" x14ac:dyDescent="0.3">
      <c r="C214" s="39"/>
      <c r="D214" s="39"/>
    </row>
    <row r="215" spans="3:4" x14ac:dyDescent="0.3">
      <c r="C215" s="39"/>
      <c r="D215" s="39"/>
    </row>
    <row r="216" spans="3:4" x14ac:dyDescent="0.3">
      <c r="C216" s="39"/>
      <c r="D216" s="39"/>
    </row>
    <row r="217" spans="3:4" x14ac:dyDescent="0.3">
      <c r="C217" s="39"/>
      <c r="D217" s="39"/>
    </row>
    <row r="218" spans="3:4" x14ac:dyDescent="0.3">
      <c r="C218" s="39"/>
      <c r="D218" s="39"/>
    </row>
    <row r="219" spans="3:4" x14ac:dyDescent="0.3">
      <c r="C219" s="39"/>
      <c r="D219" s="39"/>
    </row>
    <row r="220" spans="3:4" x14ac:dyDescent="0.3">
      <c r="C220" s="39"/>
      <c r="D220" s="39"/>
    </row>
    <row r="221" spans="3:4" x14ac:dyDescent="0.3">
      <c r="C221" s="39"/>
      <c r="D221" s="39"/>
    </row>
    <row r="222" spans="3:4" x14ac:dyDescent="0.3">
      <c r="C222" s="39"/>
      <c r="D222" s="39"/>
    </row>
    <row r="223" spans="3:4" x14ac:dyDescent="0.3">
      <c r="C223" s="39"/>
      <c r="D223" s="39"/>
    </row>
    <row r="224" spans="3:4" x14ac:dyDescent="0.3">
      <c r="C224" s="39"/>
      <c r="D224" s="39"/>
    </row>
    <row r="225" spans="3:4" x14ac:dyDescent="0.3">
      <c r="C225" s="39"/>
      <c r="D225" s="39"/>
    </row>
    <row r="226" spans="3:4" x14ac:dyDescent="0.3">
      <c r="C226" s="39"/>
      <c r="D226" s="39"/>
    </row>
    <row r="227" spans="3:4" x14ac:dyDescent="0.3">
      <c r="C227" s="39"/>
      <c r="D227" s="39"/>
    </row>
    <row r="228" spans="3:4" x14ac:dyDescent="0.3">
      <c r="C228" s="39"/>
      <c r="D228" s="39"/>
    </row>
    <row r="229" spans="3:4" x14ac:dyDescent="0.3">
      <c r="C229" s="39"/>
      <c r="D229" s="39"/>
    </row>
    <row r="230" spans="3:4" x14ac:dyDescent="0.3">
      <c r="C230" s="39"/>
      <c r="D230" s="39"/>
    </row>
    <row r="231" spans="3:4" x14ac:dyDescent="0.3">
      <c r="C231" s="39"/>
      <c r="D231" s="39"/>
    </row>
    <row r="232" spans="3:4" x14ac:dyDescent="0.3">
      <c r="C232" s="39"/>
      <c r="D232" s="39"/>
    </row>
    <row r="233" spans="3:4" x14ac:dyDescent="0.3">
      <c r="C233" s="39"/>
      <c r="D233" s="39"/>
    </row>
    <row r="234" spans="3:4" x14ac:dyDescent="0.3">
      <c r="C234" s="39"/>
      <c r="D234" s="39"/>
    </row>
    <row r="235" spans="3:4" x14ac:dyDescent="0.3">
      <c r="C235" s="39"/>
      <c r="D235" s="39"/>
    </row>
    <row r="236" spans="3:4" x14ac:dyDescent="0.3">
      <c r="C236" s="39"/>
      <c r="D236" s="39"/>
    </row>
    <row r="237" spans="3:4" x14ac:dyDescent="0.3">
      <c r="C237" s="39"/>
      <c r="D237" s="39"/>
    </row>
    <row r="238" spans="3:4" x14ac:dyDescent="0.3">
      <c r="C238" s="39"/>
      <c r="D238" s="39"/>
    </row>
    <row r="239" spans="3:4" x14ac:dyDescent="0.3">
      <c r="C239" s="39"/>
      <c r="D239" s="39"/>
    </row>
    <row r="240" spans="3:4" x14ac:dyDescent="0.3">
      <c r="C240" s="39"/>
      <c r="D240" s="39"/>
    </row>
    <row r="241" spans="3:4" x14ac:dyDescent="0.3">
      <c r="C241" s="39"/>
      <c r="D241" s="39"/>
    </row>
    <row r="242" spans="3:4" x14ac:dyDescent="0.3">
      <c r="C242" s="39"/>
      <c r="D242" s="39"/>
    </row>
    <row r="243" spans="3:4" x14ac:dyDescent="0.3">
      <c r="C243" s="39"/>
      <c r="D243" s="39"/>
    </row>
    <row r="244" spans="3:4" x14ac:dyDescent="0.3">
      <c r="C244" s="39"/>
      <c r="D244" s="39"/>
    </row>
    <row r="245" spans="3:4" x14ac:dyDescent="0.3">
      <c r="C245" s="39"/>
      <c r="D245" s="39"/>
    </row>
    <row r="246" spans="3:4" x14ac:dyDescent="0.3">
      <c r="C246" s="39"/>
      <c r="D246" s="39"/>
    </row>
    <row r="247" spans="3:4" x14ac:dyDescent="0.3">
      <c r="C247" s="39"/>
      <c r="D247" s="39"/>
    </row>
    <row r="248" spans="3:4" x14ac:dyDescent="0.3">
      <c r="C248" s="39"/>
      <c r="D248" s="39"/>
    </row>
    <row r="249" spans="3:4" x14ac:dyDescent="0.3">
      <c r="C249" s="39"/>
      <c r="D249" s="39"/>
    </row>
    <row r="250" spans="3:4" x14ac:dyDescent="0.3">
      <c r="C250" s="39"/>
      <c r="D250" s="39"/>
    </row>
    <row r="251" spans="3:4" x14ac:dyDescent="0.3">
      <c r="C251" s="39"/>
      <c r="D251" s="39"/>
    </row>
    <row r="252" spans="3:4" x14ac:dyDescent="0.3">
      <c r="C252" s="39"/>
      <c r="D252" s="39"/>
    </row>
    <row r="253" spans="3:4" x14ac:dyDescent="0.3">
      <c r="C253" s="39"/>
      <c r="D253" s="39"/>
    </row>
    <row r="254" spans="3:4" x14ac:dyDescent="0.3">
      <c r="C254" s="39"/>
      <c r="D254" s="39"/>
    </row>
    <row r="255" spans="3:4" x14ac:dyDescent="0.3">
      <c r="C255" s="39"/>
      <c r="D255" s="39"/>
    </row>
    <row r="256" spans="3:4" x14ac:dyDescent="0.3">
      <c r="C256" s="39"/>
      <c r="D256" s="39"/>
    </row>
    <row r="257" spans="3:4" x14ac:dyDescent="0.3">
      <c r="C257" s="39"/>
      <c r="D257" s="39"/>
    </row>
    <row r="258" spans="3:4" x14ac:dyDescent="0.3">
      <c r="C258" s="39"/>
      <c r="D258" s="39"/>
    </row>
    <row r="259" spans="3:4" x14ac:dyDescent="0.3">
      <c r="C259" s="39"/>
      <c r="D259" s="39"/>
    </row>
    <row r="260" spans="3:4" x14ac:dyDescent="0.3">
      <c r="C260" s="39"/>
      <c r="D260" s="39"/>
    </row>
    <row r="261" spans="3:4" x14ac:dyDescent="0.3">
      <c r="C261" s="39"/>
      <c r="D261" s="39"/>
    </row>
    <row r="262" spans="3:4" x14ac:dyDescent="0.3">
      <c r="C262" s="39"/>
      <c r="D262" s="39"/>
    </row>
    <row r="263" spans="3:4" x14ac:dyDescent="0.3">
      <c r="C263" s="39"/>
      <c r="D263" s="39"/>
    </row>
    <row r="264" spans="3:4" x14ac:dyDescent="0.3">
      <c r="C264" s="39"/>
      <c r="D264" s="39"/>
    </row>
    <row r="265" spans="3:4" x14ac:dyDescent="0.3">
      <c r="C265" s="39"/>
      <c r="D265" s="39"/>
    </row>
    <row r="266" spans="3:4" x14ac:dyDescent="0.3">
      <c r="C266" s="39"/>
      <c r="D266" s="39"/>
    </row>
    <row r="267" spans="3:4" x14ac:dyDescent="0.3">
      <c r="C267" s="39"/>
      <c r="D267" s="39"/>
    </row>
    <row r="268" spans="3:4" x14ac:dyDescent="0.3">
      <c r="C268" s="39"/>
      <c r="D268" s="39"/>
    </row>
    <row r="269" spans="3:4" x14ac:dyDescent="0.3">
      <c r="C269" s="39"/>
      <c r="D269" s="39"/>
    </row>
    <row r="270" spans="3:4" x14ac:dyDescent="0.3">
      <c r="C270" s="39"/>
      <c r="D270" s="39"/>
    </row>
    <row r="271" spans="3:4" x14ac:dyDescent="0.3">
      <c r="C271" s="39"/>
      <c r="D271" s="39"/>
    </row>
    <row r="272" spans="3:4" x14ac:dyDescent="0.3">
      <c r="C272" s="39"/>
      <c r="D272" s="39"/>
    </row>
    <row r="273" spans="3:4" x14ac:dyDescent="0.3">
      <c r="C273" s="39"/>
      <c r="D273" s="39"/>
    </row>
    <row r="274" spans="3:4" x14ac:dyDescent="0.3">
      <c r="C274" s="39"/>
      <c r="D274" s="39"/>
    </row>
    <row r="275" spans="3:4" x14ac:dyDescent="0.3">
      <c r="C275" s="39"/>
      <c r="D275" s="39"/>
    </row>
    <row r="276" spans="3:4" x14ac:dyDescent="0.3">
      <c r="C276" s="39"/>
      <c r="D276" s="39"/>
    </row>
    <row r="277" spans="3:4" x14ac:dyDescent="0.3">
      <c r="C277" s="39"/>
      <c r="D277" s="39"/>
    </row>
    <row r="278" spans="3:4" x14ac:dyDescent="0.3">
      <c r="C278" s="39"/>
      <c r="D278" s="39"/>
    </row>
    <row r="279" spans="3:4" x14ac:dyDescent="0.3">
      <c r="C279" s="39"/>
      <c r="D279" s="39"/>
    </row>
    <row r="280" spans="3:4" x14ac:dyDescent="0.3">
      <c r="C280" s="39"/>
      <c r="D280" s="39"/>
    </row>
    <row r="281" spans="3:4" x14ac:dyDescent="0.3">
      <c r="C281" s="39"/>
      <c r="D281" s="39"/>
    </row>
    <row r="282" spans="3:4" x14ac:dyDescent="0.3">
      <c r="C282" s="39"/>
      <c r="D282" s="39"/>
    </row>
    <row r="283" spans="3:4" x14ac:dyDescent="0.3">
      <c r="C283" s="39"/>
      <c r="D283" s="39"/>
    </row>
    <row r="284" spans="3:4" x14ac:dyDescent="0.3">
      <c r="C284" s="39"/>
      <c r="D284" s="39"/>
    </row>
    <row r="285" spans="3:4" x14ac:dyDescent="0.3">
      <c r="C285" s="39"/>
      <c r="D285" s="39"/>
    </row>
    <row r="286" spans="3:4" x14ac:dyDescent="0.3">
      <c r="C286" s="39"/>
      <c r="D286" s="39"/>
    </row>
    <row r="287" spans="3:4" x14ac:dyDescent="0.3">
      <c r="C287" s="39"/>
      <c r="D287" s="39"/>
    </row>
    <row r="288" spans="3:4" x14ac:dyDescent="0.3">
      <c r="C288" s="39"/>
      <c r="D288" s="39"/>
    </row>
    <row r="289" spans="3:4" x14ac:dyDescent="0.3">
      <c r="C289" s="39"/>
      <c r="D289" s="39"/>
    </row>
    <row r="290" spans="3:4" x14ac:dyDescent="0.3">
      <c r="C290" s="39"/>
      <c r="D290" s="39"/>
    </row>
    <row r="291" spans="3:4" x14ac:dyDescent="0.3">
      <c r="C291" s="39"/>
      <c r="D291" s="39"/>
    </row>
    <row r="292" spans="3:4" x14ac:dyDescent="0.3">
      <c r="C292" s="39"/>
      <c r="D292" s="39"/>
    </row>
    <row r="293" spans="3:4" x14ac:dyDescent="0.3">
      <c r="C293" s="39"/>
      <c r="D293" s="39"/>
    </row>
    <row r="294" spans="3:4" x14ac:dyDescent="0.3">
      <c r="C294" s="39"/>
      <c r="D294" s="39"/>
    </row>
    <row r="295" spans="3:4" x14ac:dyDescent="0.3">
      <c r="C295" s="39"/>
      <c r="D295" s="39"/>
    </row>
    <row r="296" spans="3:4" x14ac:dyDescent="0.3">
      <c r="C296" s="39"/>
      <c r="D296" s="39"/>
    </row>
    <row r="297" spans="3:4" x14ac:dyDescent="0.3">
      <c r="C297" s="39"/>
      <c r="D297" s="39"/>
    </row>
    <row r="298" spans="3:4" x14ac:dyDescent="0.3">
      <c r="C298" s="39"/>
      <c r="D298" s="39"/>
    </row>
    <row r="299" spans="3:4" x14ac:dyDescent="0.3">
      <c r="C299" s="39"/>
      <c r="D299" s="39"/>
    </row>
    <row r="300" spans="3:4" x14ac:dyDescent="0.3">
      <c r="C300" s="39"/>
      <c r="D300" s="39"/>
    </row>
    <row r="301" spans="3:4" x14ac:dyDescent="0.3">
      <c r="C301" s="39"/>
      <c r="D301" s="39"/>
    </row>
    <row r="302" spans="3:4" x14ac:dyDescent="0.3">
      <c r="C302" s="39"/>
      <c r="D302" s="39"/>
    </row>
    <row r="303" spans="3:4" x14ac:dyDescent="0.3">
      <c r="C303" s="39"/>
      <c r="D303" s="39"/>
    </row>
    <row r="304" spans="3:4" x14ac:dyDescent="0.3">
      <c r="C304" s="39"/>
      <c r="D304" s="39"/>
    </row>
    <row r="305" spans="3:4" x14ac:dyDescent="0.3">
      <c r="C305" s="39"/>
      <c r="D305" s="39"/>
    </row>
    <row r="306" spans="3:4" x14ac:dyDescent="0.3">
      <c r="C306" s="39"/>
      <c r="D306" s="39"/>
    </row>
    <row r="307" spans="3:4" x14ac:dyDescent="0.3">
      <c r="C307" s="39"/>
      <c r="D307" s="39"/>
    </row>
    <row r="308" spans="3:4" x14ac:dyDescent="0.3">
      <c r="C308" s="39"/>
      <c r="D308" s="39"/>
    </row>
    <row r="309" spans="3:4" x14ac:dyDescent="0.3">
      <c r="C309" s="39"/>
      <c r="D309" s="39"/>
    </row>
    <row r="310" spans="3:4" x14ac:dyDescent="0.3">
      <c r="C310" s="39"/>
      <c r="D310" s="39"/>
    </row>
    <row r="311" spans="3:4" x14ac:dyDescent="0.3">
      <c r="C311" s="39"/>
      <c r="D311" s="39"/>
    </row>
    <row r="312" spans="3:4" x14ac:dyDescent="0.3">
      <c r="C312" s="39"/>
      <c r="D312" s="39"/>
    </row>
    <row r="313" spans="3:4" x14ac:dyDescent="0.3">
      <c r="C313" s="39"/>
      <c r="D313" s="39"/>
    </row>
    <row r="314" spans="3:4" x14ac:dyDescent="0.3">
      <c r="C314" s="39"/>
      <c r="D314" s="39"/>
    </row>
    <row r="315" spans="3:4" x14ac:dyDescent="0.3">
      <c r="C315" s="39"/>
      <c r="D315" s="39"/>
    </row>
    <row r="316" spans="3:4" x14ac:dyDescent="0.3">
      <c r="C316" s="39"/>
      <c r="D316" s="39"/>
    </row>
    <row r="317" spans="3:4" x14ac:dyDescent="0.3">
      <c r="C317" s="39"/>
      <c r="D317" s="39"/>
    </row>
    <row r="318" spans="3:4" x14ac:dyDescent="0.3">
      <c r="C318" s="39"/>
      <c r="D318" s="39"/>
    </row>
    <row r="319" spans="3:4" x14ac:dyDescent="0.3">
      <c r="C319" s="39"/>
      <c r="D319" s="39"/>
    </row>
    <row r="320" spans="3:4" x14ac:dyDescent="0.3">
      <c r="C320" s="39"/>
      <c r="D320" s="39"/>
    </row>
    <row r="321" spans="3:4" x14ac:dyDescent="0.3">
      <c r="C321" s="39"/>
      <c r="D321" s="39"/>
    </row>
    <row r="322" spans="3:4" x14ac:dyDescent="0.3">
      <c r="C322" s="39"/>
      <c r="D322" s="39"/>
    </row>
    <row r="323" spans="3:4" x14ac:dyDescent="0.3">
      <c r="C323" s="39"/>
      <c r="D323" s="39"/>
    </row>
    <row r="324" spans="3:4" x14ac:dyDescent="0.3">
      <c r="C324" s="39"/>
      <c r="D324" s="39"/>
    </row>
    <row r="325" spans="3:4" x14ac:dyDescent="0.3">
      <c r="C325" s="39"/>
      <c r="D325" s="39"/>
    </row>
    <row r="326" spans="3:4" x14ac:dyDescent="0.3">
      <c r="C326" s="39"/>
      <c r="D326" s="39"/>
    </row>
    <row r="327" spans="3:4" x14ac:dyDescent="0.3">
      <c r="C327" s="39"/>
      <c r="D327" s="39"/>
    </row>
    <row r="328" spans="3:4" x14ac:dyDescent="0.3">
      <c r="C328" s="39"/>
      <c r="D328" s="39"/>
    </row>
    <row r="329" spans="3:4" x14ac:dyDescent="0.3">
      <c r="C329" s="39"/>
      <c r="D329" s="39"/>
    </row>
    <row r="330" spans="3:4" x14ac:dyDescent="0.3">
      <c r="C330" s="39"/>
      <c r="D330" s="39"/>
    </row>
    <row r="331" spans="3:4" x14ac:dyDescent="0.3">
      <c r="C331" s="39"/>
      <c r="D331" s="39"/>
    </row>
    <row r="332" spans="3:4" x14ac:dyDescent="0.3">
      <c r="C332" s="39"/>
      <c r="D332" s="39"/>
    </row>
    <row r="333" spans="3:4" x14ac:dyDescent="0.3">
      <c r="C333" s="39"/>
      <c r="D333" s="39"/>
    </row>
    <row r="334" spans="3:4" x14ac:dyDescent="0.3">
      <c r="C334" s="39"/>
      <c r="D334" s="39"/>
    </row>
    <row r="335" spans="3:4" x14ac:dyDescent="0.3">
      <c r="C335" s="39"/>
      <c r="D335" s="39"/>
    </row>
    <row r="336" spans="3:4" x14ac:dyDescent="0.3">
      <c r="C336" s="39"/>
      <c r="D336" s="39"/>
    </row>
    <row r="337" spans="3:4" x14ac:dyDescent="0.3">
      <c r="C337" s="39"/>
      <c r="D337" s="39"/>
    </row>
    <row r="338" spans="3:4" x14ac:dyDescent="0.3">
      <c r="C338" s="39"/>
      <c r="D338" s="39"/>
    </row>
    <row r="339" spans="3:4" x14ac:dyDescent="0.3">
      <c r="C339" s="39"/>
      <c r="D339" s="39"/>
    </row>
    <row r="340" spans="3:4" x14ac:dyDescent="0.3">
      <c r="C340" s="39"/>
      <c r="D340" s="39"/>
    </row>
    <row r="341" spans="3:4" x14ac:dyDescent="0.3">
      <c r="C341" s="39"/>
      <c r="D341" s="39"/>
    </row>
    <row r="342" spans="3:4" x14ac:dyDescent="0.3">
      <c r="C342" s="39"/>
      <c r="D342" s="39"/>
    </row>
    <row r="343" spans="3:4" x14ac:dyDescent="0.3">
      <c r="C343" s="39"/>
      <c r="D343" s="39"/>
    </row>
    <row r="344" spans="3:4" x14ac:dyDescent="0.3">
      <c r="C344" s="39"/>
      <c r="D344" s="39"/>
    </row>
    <row r="345" spans="3:4" x14ac:dyDescent="0.3">
      <c r="C345" s="39"/>
      <c r="D345" s="39"/>
    </row>
    <row r="346" spans="3:4" x14ac:dyDescent="0.3">
      <c r="C346" s="39"/>
      <c r="D346" s="39"/>
    </row>
    <row r="347" spans="3:4" x14ac:dyDescent="0.3">
      <c r="C347" s="39"/>
      <c r="D347" s="39"/>
    </row>
    <row r="348" spans="3:4" x14ac:dyDescent="0.3">
      <c r="C348" s="39"/>
      <c r="D348" s="39"/>
    </row>
    <row r="349" spans="3:4" x14ac:dyDescent="0.3">
      <c r="C349" s="39"/>
      <c r="D349" s="39"/>
    </row>
    <row r="350" spans="3:4" x14ac:dyDescent="0.3">
      <c r="C350" s="39"/>
      <c r="D350" s="39"/>
    </row>
    <row r="351" spans="3:4" x14ac:dyDescent="0.3">
      <c r="C351" s="39"/>
      <c r="D351" s="39"/>
    </row>
    <row r="352" spans="3:4" x14ac:dyDescent="0.3">
      <c r="C352" s="39"/>
      <c r="D352" s="39"/>
    </row>
    <row r="353" spans="3:4" x14ac:dyDescent="0.3">
      <c r="C353" s="39"/>
      <c r="D353" s="39"/>
    </row>
    <row r="354" spans="3:4" x14ac:dyDescent="0.3">
      <c r="C354" s="39"/>
      <c r="D354" s="39"/>
    </row>
    <row r="355" spans="3:4" x14ac:dyDescent="0.3">
      <c r="C355" s="39"/>
      <c r="D355" s="39"/>
    </row>
    <row r="356" spans="3:4" x14ac:dyDescent="0.3">
      <c r="C356" s="39"/>
      <c r="D356" s="39"/>
    </row>
    <row r="357" spans="3:4" x14ac:dyDescent="0.3">
      <c r="C357" s="39"/>
      <c r="D357" s="39"/>
    </row>
    <row r="358" spans="3:4" x14ac:dyDescent="0.3">
      <c r="C358" s="39"/>
      <c r="D358" s="39"/>
    </row>
    <row r="359" spans="3:4" x14ac:dyDescent="0.3">
      <c r="C359" s="39"/>
      <c r="D359" s="39"/>
    </row>
    <row r="360" spans="3:4" x14ac:dyDescent="0.3">
      <c r="C360" s="39"/>
      <c r="D360" s="39"/>
    </row>
    <row r="361" spans="3:4" x14ac:dyDescent="0.3">
      <c r="C361" s="39"/>
      <c r="D361" s="39"/>
    </row>
    <row r="362" spans="3:4" x14ac:dyDescent="0.3">
      <c r="C362" s="39"/>
      <c r="D362" s="39"/>
    </row>
    <row r="363" spans="3:4" x14ac:dyDescent="0.3">
      <c r="C363" s="39"/>
      <c r="D363" s="39"/>
    </row>
    <row r="364" spans="3:4" x14ac:dyDescent="0.3">
      <c r="C364" s="39"/>
      <c r="D364" s="39"/>
    </row>
    <row r="365" spans="3:4" x14ac:dyDescent="0.3">
      <c r="C365" s="39"/>
      <c r="D365" s="39"/>
    </row>
    <row r="366" spans="3:4" x14ac:dyDescent="0.3">
      <c r="C366" s="39"/>
      <c r="D366" s="39"/>
    </row>
    <row r="367" spans="3:4" x14ac:dyDescent="0.3">
      <c r="C367" s="39"/>
      <c r="D367" s="39"/>
    </row>
    <row r="368" spans="3:4" x14ac:dyDescent="0.3">
      <c r="C368" s="39"/>
      <c r="D368" s="39"/>
    </row>
    <row r="369" spans="3:4" x14ac:dyDescent="0.3">
      <c r="C369" s="39"/>
      <c r="D369" s="39"/>
    </row>
    <row r="370" spans="3:4" x14ac:dyDescent="0.3">
      <c r="C370" s="39"/>
      <c r="D370" s="39"/>
    </row>
    <row r="371" spans="3:4" x14ac:dyDescent="0.3">
      <c r="C371" s="39"/>
      <c r="D371" s="39"/>
    </row>
    <row r="372" spans="3:4" x14ac:dyDescent="0.3">
      <c r="C372" s="39"/>
      <c r="D372" s="39"/>
    </row>
    <row r="373" spans="3:4" x14ac:dyDescent="0.3">
      <c r="C373" s="39"/>
      <c r="D373" s="39"/>
    </row>
    <row r="374" spans="3:4" x14ac:dyDescent="0.3">
      <c r="C374" s="39"/>
      <c r="D374" s="39"/>
    </row>
    <row r="375" spans="3:4" x14ac:dyDescent="0.3">
      <c r="C375" s="39"/>
      <c r="D375" s="39"/>
    </row>
    <row r="376" spans="3:4" x14ac:dyDescent="0.3">
      <c r="C376" s="39"/>
      <c r="D376" s="39"/>
    </row>
    <row r="377" spans="3:4" x14ac:dyDescent="0.3">
      <c r="C377" s="39"/>
      <c r="D377" s="39"/>
    </row>
    <row r="378" spans="3:4" x14ac:dyDescent="0.3">
      <c r="C378" s="39"/>
      <c r="D378" s="39"/>
    </row>
    <row r="379" spans="3:4" x14ac:dyDescent="0.3">
      <c r="C379" s="39"/>
      <c r="D379" s="39"/>
    </row>
    <row r="380" spans="3:4" x14ac:dyDescent="0.3">
      <c r="C380" s="39"/>
      <c r="D380" s="39"/>
    </row>
    <row r="381" spans="3:4" x14ac:dyDescent="0.3">
      <c r="C381" s="39"/>
      <c r="D381" s="39"/>
    </row>
    <row r="382" spans="3:4" x14ac:dyDescent="0.3">
      <c r="C382" s="39"/>
      <c r="D382" s="39"/>
    </row>
    <row r="383" spans="3:4" x14ac:dyDescent="0.3">
      <c r="C383" s="39"/>
      <c r="D383" s="39"/>
    </row>
    <row r="384" spans="3:4" x14ac:dyDescent="0.3">
      <c r="C384" s="39"/>
      <c r="D384" s="39"/>
    </row>
    <row r="385" spans="3:4" x14ac:dyDescent="0.3">
      <c r="C385" s="39"/>
      <c r="D385" s="39"/>
    </row>
    <row r="386" spans="3:4" x14ac:dyDescent="0.3">
      <c r="C386" s="39"/>
      <c r="D386" s="39"/>
    </row>
    <row r="387" spans="3:4" x14ac:dyDescent="0.3">
      <c r="C387" s="39"/>
      <c r="D387" s="39"/>
    </row>
    <row r="388" spans="3:4" x14ac:dyDescent="0.3">
      <c r="C388" s="39"/>
      <c r="D388" s="39"/>
    </row>
    <row r="389" spans="3:4" x14ac:dyDescent="0.3">
      <c r="C389" s="39"/>
      <c r="D389" s="39"/>
    </row>
    <row r="390" spans="3:4" x14ac:dyDescent="0.3">
      <c r="C390" s="39"/>
      <c r="D390" s="39"/>
    </row>
    <row r="391" spans="3:4" x14ac:dyDescent="0.3">
      <c r="C391" s="39"/>
      <c r="D391" s="39"/>
    </row>
    <row r="392" spans="3:4" x14ac:dyDescent="0.3">
      <c r="C392" s="39"/>
      <c r="D392" s="39"/>
    </row>
    <row r="393" spans="3:4" x14ac:dyDescent="0.3">
      <c r="C393" s="39"/>
      <c r="D393" s="39"/>
    </row>
    <row r="394" spans="3:4" x14ac:dyDescent="0.3">
      <c r="C394" s="39"/>
      <c r="D394" s="39"/>
    </row>
    <row r="395" spans="3:4" x14ac:dyDescent="0.3">
      <c r="C395" s="39"/>
      <c r="D395" s="39"/>
    </row>
    <row r="396" spans="3:4" x14ac:dyDescent="0.3">
      <c r="C396" s="39"/>
      <c r="D396" s="39"/>
    </row>
    <row r="397" spans="3:4" x14ac:dyDescent="0.3">
      <c r="C397" s="39"/>
      <c r="D397" s="39"/>
    </row>
    <row r="398" spans="3:4" x14ac:dyDescent="0.3">
      <c r="C398" s="39"/>
      <c r="D398" s="39"/>
    </row>
    <row r="399" spans="3:4" x14ac:dyDescent="0.3">
      <c r="C399" s="39"/>
      <c r="D399" s="39"/>
    </row>
    <row r="400" spans="3:4" x14ac:dyDescent="0.3">
      <c r="C400" s="39"/>
      <c r="D400" s="39"/>
    </row>
    <row r="401" spans="3:4" x14ac:dyDescent="0.3">
      <c r="C401" s="39"/>
      <c r="D401" s="39"/>
    </row>
    <row r="402" spans="3:4" x14ac:dyDescent="0.3">
      <c r="C402" s="39"/>
      <c r="D402" s="39"/>
    </row>
    <row r="403" spans="3:4" x14ac:dyDescent="0.3">
      <c r="C403" s="39"/>
      <c r="D403" s="39"/>
    </row>
    <row r="404" spans="3:4" x14ac:dyDescent="0.3">
      <c r="C404" s="39"/>
      <c r="D404" s="39"/>
    </row>
    <row r="405" spans="3:4" x14ac:dyDescent="0.3">
      <c r="C405" s="39"/>
      <c r="D405" s="39"/>
    </row>
    <row r="406" spans="3:4" x14ac:dyDescent="0.3">
      <c r="C406" s="39"/>
      <c r="D406" s="39"/>
    </row>
    <row r="407" spans="3:4" x14ac:dyDescent="0.3">
      <c r="C407" s="39"/>
      <c r="D407" s="39"/>
    </row>
    <row r="408" spans="3:4" x14ac:dyDescent="0.3">
      <c r="C408" s="39"/>
      <c r="D408" s="39"/>
    </row>
    <row r="409" spans="3:4" x14ac:dyDescent="0.3">
      <c r="C409" s="39"/>
      <c r="D409" s="39"/>
    </row>
    <row r="410" spans="3:4" x14ac:dyDescent="0.3">
      <c r="C410" s="39"/>
      <c r="D410" s="39"/>
    </row>
    <row r="411" spans="3:4" x14ac:dyDescent="0.3">
      <c r="C411" s="39"/>
      <c r="D411" s="39"/>
    </row>
    <row r="412" spans="3:4" x14ac:dyDescent="0.3">
      <c r="C412" s="39"/>
      <c r="D412" s="39"/>
    </row>
    <row r="413" spans="3:4" x14ac:dyDescent="0.3">
      <c r="C413" s="39"/>
      <c r="D413" s="39"/>
    </row>
    <row r="414" spans="3:4" x14ac:dyDescent="0.3">
      <c r="C414" s="39"/>
      <c r="D414" s="39"/>
    </row>
    <row r="415" spans="3:4" x14ac:dyDescent="0.3">
      <c r="C415" s="39"/>
      <c r="D415" s="39"/>
    </row>
    <row r="416" spans="3:4" x14ac:dyDescent="0.3">
      <c r="C416" s="39"/>
      <c r="D416" s="39"/>
    </row>
    <row r="417" spans="3:4" x14ac:dyDescent="0.3">
      <c r="C417" s="39"/>
      <c r="D417" s="39"/>
    </row>
    <row r="418" spans="3:4" x14ac:dyDescent="0.3">
      <c r="C418" s="39"/>
      <c r="D418" s="39"/>
    </row>
    <row r="419" spans="3:4" x14ac:dyDescent="0.3">
      <c r="C419" s="39"/>
      <c r="D419" s="39"/>
    </row>
    <row r="420" spans="3:4" x14ac:dyDescent="0.3">
      <c r="C420" s="39"/>
      <c r="D420" s="39"/>
    </row>
    <row r="421" spans="3:4" x14ac:dyDescent="0.3">
      <c r="C421" s="39"/>
      <c r="D421" s="39"/>
    </row>
    <row r="422" spans="3:4" x14ac:dyDescent="0.3">
      <c r="C422" s="39"/>
      <c r="D422" s="39"/>
    </row>
    <row r="423" spans="3:4" x14ac:dyDescent="0.3">
      <c r="C423" s="39"/>
      <c r="D423" s="39"/>
    </row>
    <row r="424" spans="3:4" x14ac:dyDescent="0.3">
      <c r="C424" s="39"/>
      <c r="D424" s="39"/>
    </row>
    <row r="425" spans="3:4" x14ac:dyDescent="0.3">
      <c r="C425" s="39"/>
      <c r="D425" s="39"/>
    </row>
    <row r="426" spans="3:4" x14ac:dyDescent="0.3">
      <c r="C426" s="39"/>
      <c r="D426" s="39"/>
    </row>
    <row r="427" spans="3:4" x14ac:dyDescent="0.3">
      <c r="C427" s="39"/>
      <c r="D427" s="39"/>
    </row>
    <row r="428" spans="3:4" x14ac:dyDescent="0.3">
      <c r="C428" s="39"/>
      <c r="D428" s="39"/>
    </row>
    <row r="429" spans="3:4" x14ac:dyDescent="0.3">
      <c r="C429" s="39"/>
      <c r="D429" s="39"/>
    </row>
    <row r="430" spans="3:4" x14ac:dyDescent="0.3">
      <c r="C430" s="39"/>
      <c r="D430" s="39"/>
    </row>
    <row r="431" spans="3:4" x14ac:dyDescent="0.3">
      <c r="C431" s="39"/>
      <c r="D431" s="39"/>
    </row>
    <row r="432" spans="3:4" x14ac:dyDescent="0.3">
      <c r="C432" s="39"/>
      <c r="D432" s="39"/>
    </row>
    <row r="433" spans="3:4" x14ac:dyDescent="0.3">
      <c r="C433" s="39"/>
      <c r="D433" s="39"/>
    </row>
    <row r="434" spans="3:4" x14ac:dyDescent="0.3">
      <c r="C434" s="39"/>
      <c r="D434" s="39"/>
    </row>
    <row r="435" spans="3:4" x14ac:dyDescent="0.3">
      <c r="C435" s="39"/>
      <c r="D435" s="39"/>
    </row>
    <row r="436" spans="3:4" x14ac:dyDescent="0.3">
      <c r="C436" s="39"/>
      <c r="D436" s="39"/>
    </row>
    <row r="437" spans="3:4" x14ac:dyDescent="0.3">
      <c r="C437" s="39"/>
      <c r="D437" s="39"/>
    </row>
    <row r="438" spans="3:4" x14ac:dyDescent="0.3">
      <c r="C438" s="39"/>
      <c r="D438" s="39"/>
    </row>
    <row r="439" spans="3:4" x14ac:dyDescent="0.3">
      <c r="C439" s="39"/>
      <c r="D439" s="39"/>
    </row>
    <row r="440" spans="3:4" x14ac:dyDescent="0.3">
      <c r="C440" s="39"/>
      <c r="D440" s="39"/>
    </row>
    <row r="441" spans="3:4" x14ac:dyDescent="0.3">
      <c r="C441" s="39"/>
      <c r="D441" s="39"/>
    </row>
    <row r="442" spans="3:4" x14ac:dyDescent="0.3">
      <c r="C442" s="39"/>
      <c r="D442" s="39"/>
    </row>
    <row r="443" spans="3:4" x14ac:dyDescent="0.3">
      <c r="C443" s="39"/>
      <c r="D443" s="39"/>
    </row>
    <row r="444" spans="3:4" x14ac:dyDescent="0.3">
      <c r="C444" s="39"/>
      <c r="D444" s="39"/>
    </row>
    <row r="445" spans="3:4" x14ac:dyDescent="0.3">
      <c r="C445" s="39"/>
      <c r="D445" s="39"/>
    </row>
    <row r="446" spans="3:4" x14ac:dyDescent="0.3">
      <c r="C446" s="39"/>
      <c r="D446" s="39"/>
    </row>
    <row r="447" spans="3:4" x14ac:dyDescent="0.3">
      <c r="C447" s="39"/>
      <c r="D447" s="39"/>
    </row>
    <row r="448" spans="3:4" x14ac:dyDescent="0.3">
      <c r="C448" s="39"/>
      <c r="D448" s="39"/>
    </row>
    <row r="449" spans="3:4" x14ac:dyDescent="0.3">
      <c r="C449" s="39"/>
      <c r="D449" s="39"/>
    </row>
    <row r="450" spans="3:4" x14ac:dyDescent="0.3">
      <c r="C450" s="39"/>
      <c r="D450" s="39"/>
    </row>
    <row r="451" spans="3:4" x14ac:dyDescent="0.3">
      <c r="C451" s="39"/>
      <c r="D451" s="39"/>
    </row>
    <row r="452" spans="3:4" x14ac:dyDescent="0.3">
      <c r="C452" s="39"/>
      <c r="D452" s="39"/>
    </row>
    <row r="453" spans="3:4" x14ac:dyDescent="0.3">
      <c r="C453" s="39"/>
      <c r="D453" s="39"/>
    </row>
    <row r="454" spans="3:4" x14ac:dyDescent="0.3">
      <c r="C454" s="39"/>
      <c r="D454" s="39"/>
    </row>
    <row r="455" spans="3:4" x14ac:dyDescent="0.3">
      <c r="C455" s="39"/>
      <c r="D455" s="39"/>
    </row>
    <row r="456" spans="3:4" x14ac:dyDescent="0.3">
      <c r="C456" s="39"/>
      <c r="D456" s="39"/>
    </row>
    <row r="457" spans="3:4" x14ac:dyDescent="0.3">
      <c r="C457" s="39"/>
      <c r="D457" s="39"/>
    </row>
    <row r="458" spans="3:4" x14ac:dyDescent="0.3">
      <c r="C458" s="39"/>
      <c r="D458" s="39"/>
    </row>
    <row r="459" spans="3:4" x14ac:dyDescent="0.3">
      <c r="C459" s="39"/>
      <c r="D459" s="39"/>
    </row>
    <row r="460" spans="3:4" x14ac:dyDescent="0.3">
      <c r="C460" s="39"/>
      <c r="D460" s="39"/>
    </row>
    <row r="461" spans="3:4" x14ac:dyDescent="0.3">
      <c r="C461" s="39"/>
      <c r="D461" s="39"/>
    </row>
    <row r="462" spans="3:4" x14ac:dyDescent="0.3">
      <c r="C462" s="39"/>
      <c r="D462" s="39"/>
    </row>
    <row r="463" spans="3:4" x14ac:dyDescent="0.3">
      <c r="C463" s="39"/>
      <c r="D463" s="39"/>
    </row>
    <row r="464" spans="3:4" x14ac:dyDescent="0.3">
      <c r="C464" s="39"/>
      <c r="D464" s="39"/>
    </row>
    <row r="465" spans="3:4" x14ac:dyDescent="0.3">
      <c r="C465" s="39"/>
      <c r="D465" s="39"/>
    </row>
    <row r="466" spans="3:4" x14ac:dyDescent="0.3">
      <c r="C466" s="39"/>
      <c r="D466" s="39"/>
    </row>
    <row r="467" spans="3:4" x14ac:dyDescent="0.3">
      <c r="C467" s="39"/>
      <c r="D467" s="39"/>
    </row>
    <row r="468" spans="3:4" x14ac:dyDescent="0.3">
      <c r="C468" s="39"/>
      <c r="D468" s="39"/>
    </row>
    <row r="469" spans="3:4" x14ac:dyDescent="0.3">
      <c r="C469" s="39"/>
      <c r="D469" s="39"/>
    </row>
    <row r="470" spans="3:4" x14ac:dyDescent="0.3">
      <c r="C470" s="39"/>
      <c r="D470" s="39"/>
    </row>
    <row r="471" spans="3:4" x14ac:dyDescent="0.3">
      <c r="C471" s="39"/>
      <c r="D471" s="39"/>
    </row>
    <row r="472" spans="3:4" x14ac:dyDescent="0.3">
      <c r="C472" s="39"/>
      <c r="D472" s="39"/>
    </row>
    <row r="473" spans="3:4" x14ac:dyDescent="0.3">
      <c r="C473" s="39"/>
      <c r="D473" s="39"/>
    </row>
    <row r="474" spans="3:4" x14ac:dyDescent="0.3">
      <c r="C474" s="39"/>
      <c r="D474" s="39"/>
    </row>
    <row r="475" spans="3:4" x14ac:dyDescent="0.3">
      <c r="C475" s="39"/>
      <c r="D475" s="39"/>
    </row>
    <row r="476" spans="3:4" x14ac:dyDescent="0.3">
      <c r="C476" s="39"/>
      <c r="D476" s="39"/>
    </row>
    <row r="477" spans="3:4" x14ac:dyDescent="0.3">
      <c r="C477" s="39"/>
      <c r="D477" s="39"/>
    </row>
    <row r="478" spans="3:4" x14ac:dyDescent="0.3">
      <c r="C478" s="39"/>
      <c r="D478" s="39"/>
    </row>
    <row r="479" spans="3:4" x14ac:dyDescent="0.3">
      <c r="C479" s="39"/>
      <c r="D479" s="39"/>
    </row>
    <row r="480" spans="3:4" x14ac:dyDescent="0.3">
      <c r="C480" s="39"/>
      <c r="D480" s="39"/>
    </row>
    <row r="481" spans="3:4" x14ac:dyDescent="0.3">
      <c r="C481" s="39"/>
      <c r="D481" s="39"/>
    </row>
    <row r="482" spans="3:4" x14ac:dyDescent="0.3">
      <c r="C482" s="39"/>
      <c r="D482" s="39"/>
    </row>
    <row r="483" spans="3:4" x14ac:dyDescent="0.3">
      <c r="C483" s="39"/>
      <c r="D483" s="39"/>
    </row>
    <row r="484" spans="3:4" x14ac:dyDescent="0.3">
      <c r="C484" s="39"/>
      <c r="D484" s="39"/>
    </row>
    <row r="485" spans="3:4" x14ac:dyDescent="0.3">
      <c r="C485" s="39"/>
      <c r="D485" s="39"/>
    </row>
    <row r="486" spans="3:4" x14ac:dyDescent="0.3">
      <c r="C486" s="39"/>
      <c r="D486" s="39"/>
    </row>
    <row r="487" spans="3:4" x14ac:dyDescent="0.3">
      <c r="C487" s="39"/>
      <c r="D487" s="39"/>
    </row>
    <row r="488" spans="3:4" x14ac:dyDescent="0.3">
      <c r="C488" s="39"/>
      <c r="D488" s="39"/>
    </row>
    <row r="489" spans="3:4" x14ac:dyDescent="0.3">
      <c r="C489" s="39"/>
      <c r="D489" s="39"/>
    </row>
    <row r="490" spans="3:4" x14ac:dyDescent="0.3">
      <c r="C490" s="39"/>
      <c r="D490" s="39"/>
    </row>
    <row r="491" spans="3:4" x14ac:dyDescent="0.3">
      <c r="C491" s="39"/>
      <c r="D491" s="39"/>
    </row>
    <row r="492" spans="3:4" x14ac:dyDescent="0.3">
      <c r="C492" s="39"/>
      <c r="D492" s="39"/>
    </row>
    <row r="493" spans="3:4" x14ac:dyDescent="0.3">
      <c r="C493" s="39"/>
      <c r="D493" s="39"/>
    </row>
    <row r="494" spans="3:4" x14ac:dyDescent="0.3">
      <c r="C494" s="39"/>
      <c r="D494" s="39"/>
    </row>
    <row r="495" spans="3:4" x14ac:dyDescent="0.3">
      <c r="C495" s="39"/>
      <c r="D495" s="39"/>
    </row>
    <row r="496" spans="3:4" x14ac:dyDescent="0.3">
      <c r="C496" s="39"/>
      <c r="D496" s="39"/>
    </row>
    <row r="497" spans="3:4" x14ac:dyDescent="0.3">
      <c r="C497" s="39"/>
      <c r="D497" s="39"/>
    </row>
    <row r="498" spans="3:4" x14ac:dyDescent="0.3">
      <c r="C498" s="39"/>
      <c r="D498" s="39"/>
    </row>
    <row r="499" spans="3:4" x14ac:dyDescent="0.3">
      <c r="C499" s="39"/>
      <c r="D499" s="39"/>
    </row>
    <row r="500" spans="3:4" x14ac:dyDescent="0.3">
      <c r="C500" s="39"/>
      <c r="D500" s="39"/>
    </row>
    <row r="501" spans="3:4" x14ac:dyDescent="0.3">
      <c r="C501" s="39"/>
      <c r="D501" s="3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BB05-F37C-4A03-B01A-620127C64930}">
  <dimension ref="A1:Z507"/>
  <sheetViews>
    <sheetView topLeftCell="A477" workbookViewId="0">
      <selection sqref="A1:O501"/>
    </sheetView>
  </sheetViews>
  <sheetFormatPr defaultRowHeight="14.4" x14ac:dyDescent="0.3"/>
  <cols>
    <col min="1" max="1" width="8" bestFit="1" customWidth="1"/>
    <col min="2" max="2" width="11.33203125" bestFit="1" customWidth="1"/>
    <col min="3" max="3" width="11.5546875" bestFit="1" customWidth="1"/>
    <col min="4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7" max="17" width="10.5546875" bestFit="1" customWidth="1"/>
    <col min="18" max="19" width="15" bestFit="1" customWidth="1"/>
  </cols>
  <sheetData>
    <row r="1" spans="1:2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Q1" s="3" t="s">
        <v>142</v>
      </c>
      <c r="R1" s="3" t="s">
        <v>141</v>
      </c>
    </row>
    <row r="2" spans="1:25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Q2" s="1">
        <v>10</v>
      </c>
      <c r="R2" s="1" cm="1">
        <f t="array" ref="R2">INDEX(A1:A501,Q2)</f>
        <v>10009</v>
      </c>
    </row>
    <row r="3" spans="1:25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</row>
    <row r="4" spans="1:25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</row>
    <row r="5" spans="1:25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Q5" s="3" t="s">
        <v>142</v>
      </c>
      <c r="R5" s="3" t="s">
        <v>141</v>
      </c>
    </row>
    <row r="6" spans="1:25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Q6" s="1">
        <v>5</v>
      </c>
      <c r="R6" s="1" t="str" cm="1">
        <f t="array" ref="R6">INDEX(A1:O1,,Q6)</f>
        <v>City</v>
      </c>
    </row>
    <row r="7" spans="1:25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</row>
    <row r="8" spans="1:25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</row>
    <row r="9" spans="1:25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Q9" t="s">
        <v>143</v>
      </c>
      <c r="R9" t="s">
        <v>144</v>
      </c>
      <c r="S9" t="s">
        <v>141</v>
      </c>
    </row>
    <row r="10" spans="1:25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Q10">
        <v>3</v>
      </c>
      <c r="R10">
        <v>2</v>
      </c>
      <c r="S10" cm="1">
        <f t="array" ref="S10">INDEX(A1:O501,Q10,R10)</f>
        <v>1435</v>
      </c>
    </row>
    <row r="11" spans="1:25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V11" s="3" t="s">
        <v>151</v>
      </c>
      <c r="Y11" s="3" t="s">
        <v>151</v>
      </c>
    </row>
    <row r="12" spans="1:25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Q12" s="3" t="s">
        <v>141</v>
      </c>
      <c r="R12" s="3" t="s">
        <v>145</v>
      </c>
      <c r="V12" s="1">
        <v>5000</v>
      </c>
      <c r="Y12" s="1">
        <v>100</v>
      </c>
    </row>
    <row r="13" spans="1:25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Q13" s="1" t="s">
        <v>146</v>
      </c>
      <c r="R13" s="1">
        <f>MATCH(Q13,A1:O1,0)</f>
        <v>13</v>
      </c>
      <c r="V13" s="1">
        <v>2000</v>
      </c>
      <c r="Y13" s="1">
        <v>1000</v>
      </c>
    </row>
    <row r="14" spans="1:25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V14" s="1">
        <v>1000</v>
      </c>
      <c r="Y14" s="1">
        <v>2000</v>
      </c>
    </row>
    <row r="15" spans="1:25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Q15" s="38" t="s">
        <v>147</v>
      </c>
      <c r="R15" s="38" t="s">
        <v>148</v>
      </c>
      <c r="S15" s="38" t="s">
        <v>149</v>
      </c>
      <c r="V15" s="1">
        <v>100</v>
      </c>
      <c r="Y15" s="1">
        <v>5000</v>
      </c>
    </row>
    <row r="16" spans="1:25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Q16" s="36">
        <v>1270</v>
      </c>
      <c r="R16" s="36">
        <f>INDEX(A1:A501,MATCH(Q16,B1:B501,0))</f>
        <v>10004</v>
      </c>
      <c r="S16" s="36" t="str">
        <f>INDEX(I1:I501,MATCH(Q16,B1:B501,0))</f>
        <v>Sports</v>
      </c>
    </row>
    <row r="17" spans="1:26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</row>
    <row r="18" spans="1:26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Q18" s="38" t="s">
        <v>148</v>
      </c>
      <c r="R18" s="38" t="s">
        <v>150</v>
      </c>
      <c r="V18" s="3" t="s">
        <v>141</v>
      </c>
      <c r="W18" s="3" t="s">
        <v>145</v>
      </c>
      <c r="Y18" s="3" t="s">
        <v>141</v>
      </c>
      <c r="Z18" s="3" t="s">
        <v>145</v>
      </c>
    </row>
    <row r="19" spans="1:26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Q19" s="36">
        <v>10008</v>
      </c>
      <c r="R19" s="36" t="str">
        <f>INDEX(A1:O501,MATCH(Q19,A1:A501,0),MATCH(R18,A1:O1,0))</f>
        <v>Credit Card</v>
      </c>
      <c r="V19" s="1">
        <v>100</v>
      </c>
      <c r="W19" s="1">
        <f>MATCH(V19,V11:V15,-1)</f>
        <v>5</v>
      </c>
      <c r="Y19" s="1">
        <v>4500</v>
      </c>
      <c r="Z19" s="1">
        <f>MATCH(Y19,Y12:Y15,1)</f>
        <v>3</v>
      </c>
    </row>
    <row r="20" spans="1:26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</row>
    <row r="21" spans="1:26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</row>
    <row r="22" spans="1:26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</row>
    <row r="23" spans="1:26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</row>
    <row r="24" spans="1:26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</row>
    <row r="25" spans="1:26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</row>
    <row r="26" spans="1:26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</row>
    <row r="27" spans="1:26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</row>
    <row r="28" spans="1:26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</row>
    <row r="29" spans="1:26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</row>
    <row r="30" spans="1:26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</row>
    <row r="31" spans="1:26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</row>
    <row r="32" spans="1:26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</row>
    <row r="33" spans="1:15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</row>
    <row r="34" spans="1:15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</row>
    <row r="35" spans="1:15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</row>
    <row r="36" spans="1:15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</row>
    <row r="37" spans="1:15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</row>
    <row r="38" spans="1:15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</row>
    <row r="39" spans="1:15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</row>
    <row r="40" spans="1:15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</row>
    <row r="41" spans="1:15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</row>
    <row r="42" spans="1:15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</row>
    <row r="43" spans="1:15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</row>
    <row r="44" spans="1:15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</row>
    <row r="45" spans="1:15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</row>
    <row r="46" spans="1:15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</row>
    <row r="47" spans="1:15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</row>
    <row r="48" spans="1:15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</row>
    <row r="49" spans="1:15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</row>
    <row r="50" spans="1:15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</row>
    <row r="51" spans="1:15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</row>
    <row r="52" spans="1:15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</row>
    <row r="53" spans="1:15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</row>
    <row r="54" spans="1:15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</row>
    <row r="55" spans="1:15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</row>
    <row r="56" spans="1:15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</row>
    <row r="57" spans="1:15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</row>
    <row r="58" spans="1:15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</row>
    <row r="59" spans="1:15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</row>
    <row r="60" spans="1:15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</row>
    <row r="61" spans="1:15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</row>
    <row r="62" spans="1:15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</row>
    <row r="63" spans="1:15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</row>
    <row r="64" spans="1:15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</row>
    <row r="65" spans="1:15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</row>
    <row r="66" spans="1:15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</row>
    <row r="67" spans="1:15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</row>
    <row r="68" spans="1:15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</row>
    <row r="69" spans="1:15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</row>
    <row r="70" spans="1:15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</row>
    <row r="71" spans="1:15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</row>
    <row r="72" spans="1:15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</row>
    <row r="73" spans="1:15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</row>
    <row r="74" spans="1:15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</row>
    <row r="75" spans="1:15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</row>
    <row r="76" spans="1:15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</row>
    <row r="77" spans="1:15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</row>
    <row r="78" spans="1:15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</row>
    <row r="79" spans="1:15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</row>
    <row r="80" spans="1:15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</row>
    <row r="81" spans="1:15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</row>
    <row r="82" spans="1:15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</row>
    <row r="83" spans="1:15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</row>
    <row r="84" spans="1:15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</row>
    <row r="85" spans="1:15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</row>
    <row r="86" spans="1:15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</row>
    <row r="87" spans="1:15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</row>
    <row r="88" spans="1:15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</row>
    <row r="89" spans="1:15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</row>
    <row r="90" spans="1:15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</row>
    <row r="91" spans="1:15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</row>
    <row r="92" spans="1:15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</row>
    <row r="93" spans="1:15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</row>
    <row r="94" spans="1:15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</row>
    <row r="95" spans="1:15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</row>
    <row r="96" spans="1:15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</row>
    <row r="97" spans="1:15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</row>
    <row r="98" spans="1:15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</row>
    <row r="99" spans="1:15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</row>
    <row r="100" spans="1:15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</row>
    <row r="101" spans="1:15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</row>
    <row r="102" spans="1:15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</row>
    <row r="103" spans="1:15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</row>
    <row r="104" spans="1:15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</row>
    <row r="105" spans="1:15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</row>
    <row r="106" spans="1:15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</row>
    <row r="107" spans="1:15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</row>
    <row r="108" spans="1:15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</row>
    <row r="109" spans="1:15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</row>
    <row r="110" spans="1:15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</row>
    <row r="111" spans="1:15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</row>
    <row r="112" spans="1:15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</row>
    <row r="113" spans="1:15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</row>
    <row r="114" spans="1:15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</row>
    <row r="115" spans="1:15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</row>
    <row r="116" spans="1:15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</row>
    <row r="117" spans="1:15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</row>
    <row r="118" spans="1:15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</row>
    <row r="119" spans="1:15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</row>
    <row r="120" spans="1:15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</row>
    <row r="121" spans="1:15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</row>
    <row r="122" spans="1:15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</row>
    <row r="123" spans="1:15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</row>
    <row r="124" spans="1:15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</row>
    <row r="125" spans="1:15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</row>
    <row r="126" spans="1:15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</row>
    <row r="127" spans="1:15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</row>
    <row r="128" spans="1:15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</row>
    <row r="129" spans="1:15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</row>
    <row r="130" spans="1:15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</row>
    <row r="131" spans="1:15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</row>
    <row r="132" spans="1:15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</row>
    <row r="133" spans="1:15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</row>
    <row r="134" spans="1:15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</row>
    <row r="135" spans="1:15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</row>
    <row r="136" spans="1:15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</row>
    <row r="137" spans="1:15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</row>
    <row r="138" spans="1:15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</row>
    <row r="139" spans="1:15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</row>
    <row r="140" spans="1:15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</row>
    <row r="141" spans="1:15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</row>
    <row r="142" spans="1:15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</row>
    <row r="143" spans="1:15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</row>
    <row r="144" spans="1:15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</row>
    <row r="145" spans="1:15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</row>
    <row r="146" spans="1:15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</row>
    <row r="147" spans="1:15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</row>
    <row r="148" spans="1:15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</row>
    <row r="149" spans="1:15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</row>
    <row r="150" spans="1:15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</row>
    <row r="151" spans="1:15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</row>
    <row r="152" spans="1:15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</row>
    <row r="153" spans="1:15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</row>
    <row r="154" spans="1:15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</row>
    <row r="155" spans="1:15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</row>
    <row r="156" spans="1:15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</row>
    <row r="157" spans="1:15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</row>
    <row r="158" spans="1:15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</row>
    <row r="159" spans="1:15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</row>
    <row r="160" spans="1:15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</row>
    <row r="161" spans="1:15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</row>
    <row r="162" spans="1:15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</row>
    <row r="163" spans="1:15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</row>
    <row r="164" spans="1:15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</row>
    <row r="165" spans="1:15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</row>
    <row r="166" spans="1:15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</row>
    <row r="167" spans="1:15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</row>
    <row r="168" spans="1:15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</row>
    <row r="169" spans="1:15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</row>
    <row r="170" spans="1:15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</row>
    <row r="171" spans="1:15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</row>
    <row r="172" spans="1:15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</row>
    <row r="173" spans="1:15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</row>
    <row r="174" spans="1:15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</row>
    <row r="175" spans="1:15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</row>
    <row r="176" spans="1:15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</row>
    <row r="177" spans="1:15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</row>
    <row r="178" spans="1:15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</row>
    <row r="179" spans="1:15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</row>
    <row r="180" spans="1:15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</row>
    <row r="181" spans="1:15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</row>
    <row r="182" spans="1:15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</row>
    <row r="183" spans="1:15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</row>
    <row r="184" spans="1:15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</row>
    <row r="185" spans="1:15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</row>
    <row r="186" spans="1:15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</row>
    <row r="187" spans="1:15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</row>
    <row r="188" spans="1:15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</row>
    <row r="189" spans="1:15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</row>
    <row r="190" spans="1:15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</row>
    <row r="191" spans="1:15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</row>
    <row r="192" spans="1:15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</row>
    <row r="193" spans="1:15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</row>
    <row r="194" spans="1:15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</row>
    <row r="195" spans="1:15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</row>
    <row r="196" spans="1:15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</row>
    <row r="197" spans="1:15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</row>
    <row r="198" spans="1:15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</row>
    <row r="199" spans="1:15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</row>
    <row r="200" spans="1:15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</row>
    <row r="201" spans="1:15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</row>
    <row r="202" spans="1:15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</row>
    <row r="203" spans="1:15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</row>
    <row r="204" spans="1:15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</row>
    <row r="205" spans="1:15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</row>
    <row r="206" spans="1:15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</row>
    <row r="207" spans="1:15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</row>
    <row r="208" spans="1:15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</row>
    <row r="209" spans="1:15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</row>
    <row r="210" spans="1:15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</row>
    <row r="211" spans="1:15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</row>
    <row r="212" spans="1:15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</row>
    <row r="213" spans="1:15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</row>
    <row r="214" spans="1:15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</row>
    <row r="215" spans="1:15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</row>
    <row r="216" spans="1:15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</row>
    <row r="217" spans="1:15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</row>
    <row r="218" spans="1:15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</row>
    <row r="219" spans="1:15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</row>
    <row r="220" spans="1:15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</row>
    <row r="221" spans="1:15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</row>
    <row r="222" spans="1:15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</row>
    <row r="223" spans="1:15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</row>
    <row r="224" spans="1:15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</row>
    <row r="225" spans="1:15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</row>
    <row r="226" spans="1:15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</row>
    <row r="227" spans="1:15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</row>
    <row r="228" spans="1:15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</row>
    <row r="229" spans="1:15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</row>
    <row r="230" spans="1:15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</row>
    <row r="231" spans="1:15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</row>
    <row r="232" spans="1:15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</row>
    <row r="233" spans="1:15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</row>
    <row r="234" spans="1:15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</row>
    <row r="235" spans="1:15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</row>
    <row r="236" spans="1:15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</row>
    <row r="237" spans="1:15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</row>
    <row r="238" spans="1:15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</row>
    <row r="239" spans="1:15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</row>
    <row r="240" spans="1:15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</row>
    <row r="241" spans="1:15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</row>
    <row r="242" spans="1:15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</row>
    <row r="243" spans="1:15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</row>
    <row r="244" spans="1:15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</row>
    <row r="245" spans="1:15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</row>
    <row r="246" spans="1:15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</row>
    <row r="247" spans="1:15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</row>
    <row r="248" spans="1:15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</row>
    <row r="249" spans="1:15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</row>
    <row r="250" spans="1:15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</row>
    <row r="251" spans="1:15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</row>
    <row r="252" spans="1:15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</row>
    <row r="253" spans="1:15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</row>
    <row r="254" spans="1:15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</row>
    <row r="255" spans="1:15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</row>
    <row r="256" spans="1:15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</row>
    <row r="257" spans="1:15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</row>
    <row r="258" spans="1:15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</row>
    <row r="259" spans="1:15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</row>
    <row r="260" spans="1:15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</row>
    <row r="261" spans="1:15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</row>
    <row r="262" spans="1:15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</row>
    <row r="263" spans="1:15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</row>
    <row r="264" spans="1:15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</row>
    <row r="265" spans="1:15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</row>
    <row r="266" spans="1:15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</row>
    <row r="267" spans="1:15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</row>
    <row r="268" spans="1:15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</row>
    <row r="269" spans="1:15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</row>
    <row r="270" spans="1:15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</row>
    <row r="271" spans="1:15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</row>
    <row r="272" spans="1:15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</row>
    <row r="273" spans="1:15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</row>
    <row r="274" spans="1:15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</row>
    <row r="275" spans="1:15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</row>
    <row r="276" spans="1:15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</row>
    <row r="277" spans="1:15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</row>
    <row r="278" spans="1:15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</row>
    <row r="279" spans="1:15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</row>
    <row r="280" spans="1:15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</row>
    <row r="281" spans="1:15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</row>
    <row r="282" spans="1:15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</row>
    <row r="283" spans="1:15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</row>
    <row r="284" spans="1:15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</row>
    <row r="285" spans="1:15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</row>
    <row r="286" spans="1:15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</row>
    <row r="287" spans="1:15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</row>
    <row r="288" spans="1:15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</row>
    <row r="289" spans="1:15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</row>
    <row r="290" spans="1:15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</row>
    <row r="291" spans="1:15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</row>
    <row r="292" spans="1:15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</row>
    <row r="293" spans="1:15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</row>
    <row r="294" spans="1:15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</row>
    <row r="295" spans="1:15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</row>
    <row r="296" spans="1:15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</row>
    <row r="297" spans="1:15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</row>
    <row r="298" spans="1:15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</row>
    <row r="299" spans="1:15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</row>
    <row r="300" spans="1:15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</row>
    <row r="301" spans="1:15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</row>
    <row r="302" spans="1:15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</row>
    <row r="303" spans="1:15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</row>
    <row r="304" spans="1:15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</row>
    <row r="305" spans="1:15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</row>
    <row r="306" spans="1:15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</row>
    <row r="307" spans="1:15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</row>
    <row r="308" spans="1:15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</row>
    <row r="309" spans="1:15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</row>
    <row r="310" spans="1:15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</row>
    <row r="311" spans="1:15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</row>
    <row r="312" spans="1:15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</row>
    <row r="313" spans="1:15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</row>
    <row r="314" spans="1:15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</row>
    <row r="315" spans="1:15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</row>
    <row r="316" spans="1:15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</row>
    <row r="317" spans="1:15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</row>
    <row r="318" spans="1:15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</row>
    <row r="319" spans="1:15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</row>
    <row r="320" spans="1:15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</row>
    <row r="321" spans="1:15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</row>
    <row r="322" spans="1:15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</row>
    <row r="323" spans="1:15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</row>
    <row r="324" spans="1:15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</row>
    <row r="325" spans="1:15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</row>
    <row r="326" spans="1:15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</row>
    <row r="327" spans="1:15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</row>
    <row r="328" spans="1:15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</row>
    <row r="329" spans="1:15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</row>
    <row r="330" spans="1:15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</row>
    <row r="331" spans="1:15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</row>
    <row r="332" spans="1:15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</row>
    <row r="333" spans="1:15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</row>
    <row r="334" spans="1:15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</row>
    <row r="335" spans="1:15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</row>
    <row r="336" spans="1:15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</row>
    <row r="337" spans="1:15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</row>
    <row r="338" spans="1:15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</row>
    <row r="339" spans="1:15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</row>
    <row r="340" spans="1:15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</row>
    <row r="341" spans="1:15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</row>
    <row r="342" spans="1:15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</row>
    <row r="343" spans="1:15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</row>
    <row r="344" spans="1:15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</row>
    <row r="345" spans="1:15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</row>
    <row r="346" spans="1:15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</row>
    <row r="347" spans="1:15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</row>
    <row r="348" spans="1:15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</row>
    <row r="349" spans="1:15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</row>
    <row r="350" spans="1:15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</row>
    <row r="351" spans="1:15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</row>
    <row r="352" spans="1:15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</row>
    <row r="353" spans="1:15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</row>
    <row r="354" spans="1:15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</row>
    <row r="355" spans="1:15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</row>
    <row r="356" spans="1:15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</row>
    <row r="357" spans="1:15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</row>
    <row r="358" spans="1:15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</row>
    <row r="359" spans="1:15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</row>
    <row r="360" spans="1:15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</row>
    <row r="361" spans="1:15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</row>
    <row r="362" spans="1:15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</row>
    <row r="363" spans="1:15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</row>
    <row r="364" spans="1:15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</row>
    <row r="365" spans="1:15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</row>
    <row r="366" spans="1:15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</row>
    <row r="367" spans="1:15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</row>
    <row r="368" spans="1:15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</row>
    <row r="369" spans="1:15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</row>
    <row r="370" spans="1:15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</row>
    <row r="371" spans="1:15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</row>
    <row r="372" spans="1:15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</row>
    <row r="373" spans="1:15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</row>
    <row r="374" spans="1:15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</row>
    <row r="375" spans="1:15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</row>
    <row r="376" spans="1:15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</row>
    <row r="377" spans="1:15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</row>
    <row r="378" spans="1:15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</row>
    <row r="379" spans="1:15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</row>
    <row r="380" spans="1:15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</row>
    <row r="381" spans="1:15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</row>
    <row r="382" spans="1:15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</row>
    <row r="383" spans="1:15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</row>
    <row r="384" spans="1:15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</row>
    <row r="385" spans="1:15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</row>
    <row r="386" spans="1:15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</row>
    <row r="387" spans="1:15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</row>
    <row r="388" spans="1:15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</row>
    <row r="389" spans="1:15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</row>
    <row r="390" spans="1:15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</row>
    <row r="391" spans="1:15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</row>
    <row r="392" spans="1:15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</row>
    <row r="393" spans="1:15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</row>
    <row r="394" spans="1:15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</row>
    <row r="395" spans="1:15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</row>
    <row r="396" spans="1:15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</row>
    <row r="397" spans="1:15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</row>
    <row r="398" spans="1:15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</row>
    <row r="399" spans="1:15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</row>
    <row r="400" spans="1:15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</row>
    <row r="401" spans="1:15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</row>
    <row r="402" spans="1:15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</row>
    <row r="403" spans="1:15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</row>
    <row r="404" spans="1:15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</row>
    <row r="405" spans="1:15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</row>
    <row r="406" spans="1:15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</row>
    <row r="407" spans="1:15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</row>
    <row r="408" spans="1:15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</row>
    <row r="409" spans="1:15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</row>
    <row r="410" spans="1:15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</row>
    <row r="411" spans="1:15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</row>
    <row r="412" spans="1:15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</row>
    <row r="413" spans="1:15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</row>
    <row r="414" spans="1:15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</row>
    <row r="415" spans="1:15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</row>
    <row r="416" spans="1:15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</row>
    <row r="417" spans="1:15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</row>
    <row r="418" spans="1:15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</row>
    <row r="419" spans="1:15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</row>
    <row r="420" spans="1:15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</row>
    <row r="421" spans="1:15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</row>
    <row r="422" spans="1:15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</row>
    <row r="423" spans="1:15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</row>
    <row r="424" spans="1:15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</row>
    <row r="425" spans="1:15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</row>
    <row r="426" spans="1:15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</row>
    <row r="427" spans="1:15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</row>
    <row r="428" spans="1:15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</row>
    <row r="429" spans="1:15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</row>
    <row r="430" spans="1:15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</row>
    <row r="431" spans="1:15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</row>
    <row r="432" spans="1:15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</row>
    <row r="433" spans="1:15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</row>
    <row r="434" spans="1:15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</row>
    <row r="435" spans="1:15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</row>
    <row r="436" spans="1:15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</row>
    <row r="437" spans="1:15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</row>
    <row r="438" spans="1:15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</row>
    <row r="439" spans="1:15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</row>
    <row r="440" spans="1:15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</row>
    <row r="441" spans="1:15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</row>
    <row r="442" spans="1:15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</row>
    <row r="443" spans="1:15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</row>
    <row r="444" spans="1:15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</row>
    <row r="445" spans="1:15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</row>
    <row r="446" spans="1:15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</row>
    <row r="447" spans="1:15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</row>
    <row r="448" spans="1:15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</row>
    <row r="449" spans="1:15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</row>
    <row r="450" spans="1:15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</row>
    <row r="451" spans="1:15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</row>
    <row r="452" spans="1:15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</row>
    <row r="453" spans="1:15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</row>
    <row r="454" spans="1:15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</row>
    <row r="455" spans="1:15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</row>
    <row r="456" spans="1:15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</row>
    <row r="457" spans="1:15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</row>
    <row r="458" spans="1:15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</row>
    <row r="459" spans="1:15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</row>
    <row r="460" spans="1:15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</row>
    <row r="461" spans="1:15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</row>
    <row r="462" spans="1:15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</row>
    <row r="463" spans="1:15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</row>
    <row r="464" spans="1:15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</row>
    <row r="465" spans="1:15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</row>
    <row r="466" spans="1:15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</row>
    <row r="467" spans="1:15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</row>
    <row r="468" spans="1:15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</row>
    <row r="469" spans="1:15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</row>
    <row r="470" spans="1:15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</row>
    <row r="471" spans="1:15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</row>
    <row r="472" spans="1:15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</row>
    <row r="473" spans="1:15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</row>
    <row r="474" spans="1:15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</row>
    <row r="475" spans="1:15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</row>
    <row r="476" spans="1:15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</row>
    <row r="477" spans="1:15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</row>
    <row r="478" spans="1:15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</row>
    <row r="479" spans="1:15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</row>
    <row r="480" spans="1:15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</row>
    <row r="481" spans="1:15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</row>
    <row r="482" spans="1:15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</row>
    <row r="483" spans="1:15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</row>
    <row r="484" spans="1:15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</row>
    <row r="485" spans="1:15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</row>
    <row r="486" spans="1:15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</row>
    <row r="487" spans="1:15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</row>
    <row r="488" spans="1:15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</row>
    <row r="489" spans="1:15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</row>
    <row r="490" spans="1:15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</row>
    <row r="491" spans="1:15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</row>
    <row r="492" spans="1:15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</row>
    <row r="493" spans="1:15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</row>
    <row r="494" spans="1:15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</row>
    <row r="495" spans="1:15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</row>
    <row r="496" spans="1:15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</row>
    <row r="497" spans="1:15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</row>
    <row r="498" spans="1:15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</row>
    <row r="499" spans="1:15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</row>
    <row r="500" spans="1:15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</row>
    <row r="501" spans="1:15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</row>
    <row r="506" spans="1:15" x14ac:dyDescent="0.3">
      <c r="A506" s="3" t="s">
        <v>0</v>
      </c>
      <c r="B506" s="3" t="s">
        <v>1</v>
      </c>
      <c r="C506" s="3" t="s">
        <v>2</v>
      </c>
      <c r="D506" s="3" t="s">
        <v>3</v>
      </c>
      <c r="E506" s="3" t="s">
        <v>4</v>
      </c>
      <c r="F506" s="3" t="s">
        <v>5</v>
      </c>
      <c r="G506" s="3" t="s">
        <v>6</v>
      </c>
      <c r="H506" s="3" t="s">
        <v>7</v>
      </c>
      <c r="I506" s="3" t="s">
        <v>8</v>
      </c>
      <c r="J506" s="3" t="s">
        <v>9</v>
      </c>
      <c r="K506" s="3" t="s">
        <v>10</v>
      </c>
      <c r="L506" s="3" t="s">
        <v>11</v>
      </c>
      <c r="M506" s="3" t="s">
        <v>12</v>
      </c>
      <c r="N506" s="3" t="s">
        <v>13</v>
      </c>
      <c r="O506" s="3" t="s">
        <v>14</v>
      </c>
    </row>
    <row r="507" spans="1:15" x14ac:dyDescent="0.3">
      <c r="A507" s="1">
        <v>10498</v>
      </c>
      <c r="B507" cm="1">
        <f t="array" ref="B507:O507">INDEX(B1:O501,MATCH(A507,A1:A501,0),)</f>
        <v>1734</v>
      </c>
      <c r="C507" s="39">
        <v>45017</v>
      </c>
      <c r="D507" s="39">
        <v>45025</v>
      </c>
      <c r="E507" t="str">
        <v>Mumbai</v>
      </c>
      <c r="F507" t="str">
        <v>Delhi</v>
      </c>
      <c r="G507" t="str">
        <v>Marketplace</v>
      </c>
      <c r="H507" t="str">
        <v>Credit Card</v>
      </c>
      <c r="I507" t="str">
        <v>Sports</v>
      </c>
      <c r="J507" t="str">
        <v>Yoga Mat</v>
      </c>
      <c r="K507" t="str">
        <v>BrandD</v>
      </c>
      <c r="L507">
        <v>9</v>
      </c>
      <c r="M507">
        <v>2190.39</v>
      </c>
      <c r="N507">
        <v>20</v>
      </c>
      <c r="O507">
        <v>15770.81</v>
      </c>
    </row>
  </sheetData>
  <sortState xmlns:xlrd2="http://schemas.microsoft.com/office/spreadsheetml/2017/richdata2" ref="Y12:Y15">
    <sortCondition ref="Y12:Y15"/>
  </sortState>
  <dataValidations count="1">
    <dataValidation type="list" allowBlank="1" showInputMessage="1" showErrorMessage="1" sqref="Q19" xr:uid="{F11D8BC8-EA70-46BC-B40F-C9B1047F727C}">
      <formula1>$A$2:$A$501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F7C2-D936-49F1-BD39-B07B3640466F}">
  <dimension ref="A1:AE501"/>
  <sheetViews>
    <sheetView topLeftCell="D1" workbookViewId="0">
      <selection activeCell="V15" sqref="V15"/>
    </sheetView>
  </sheetViews>
  <sheetFormatPr defaultRowHeight="14.4" x14ac:dyDescent="0.3"/>
  <cols>
    <col min="2" max="2" width="11.33203125" bestFit="1" customWidth="1"/>
    <col min="3" max="4" width="10.33203125" bestFit="1" customWidth="1"/>
    <col min="7" max="7" width="12.5546875" bestFit="1" customWidth="1"/>
    <col min="14" max="14" width="10.21875" bestFit="1" customWidth="1"/>
    <col min="17" max="18" width="15.88671875" bestFit="1" customWidth="1"/>
    <col min="19" max="20" width="10.33203125" bestFit="1" customWidth="1"/>
    <col min="21" max="21" width="9.5546875" bestFit="1" customWidth="1"/>
    <col min="22" max="22" width="11.109375" bestFit="1" customWidth="1"/>
    <col min="23" max="23" width="12.5546875" bestFit="1" customWidth="1"/>
    <col min="24" max="24" width="15.88671875" bestFit="1" customWidth="1"/>
    <col min="25" max="25" width="15.77734375" bestFit="1" customWidth="1"/>
    <col min="26" max="26" width="13.21875" bestFit="1" customWidth="1"/>
    <col min="27" max="27" width="6.88671875" bestFit="1" customWidth="1"/>
    <col min="28" max="31" width="10.33203125" bestFit="1" customWidth="1"/>
  </cols>
  <sheetData>
    <row r="1" spans="1:3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Q1" s="38" t="s">
        <v>2</v>
      </c>
      <c r="R1" s="38" t="s">
        <v>0</v>
      </c>
      <c r="S1" s="37"/>
      <c r="T1" s="38" t="s">
        <v>0</v>
      </c>
      <c r="U1" s="38" t="s">
        <v>14</v>
      </c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Q2" s="40">
        <v>45198</v>
      </c>
      <c r="R2" s="36">
        <f>_xlfn.XLOOKUP(Q2,C2:C501,A2:A501)</f>
        <v>10462</v>
      </c>
      <c r="S2" s="37"/>
      <c r="T2" s="36">
        <v>10001</v>
      </c>
      <c r="U2" s="36">
        <f>_xlfn.XLOOKUP(T2,A2:A501,O2:O501,"Not Found")</f>
        <v>19907.09</v>
      </c>
      <c r="V2" s="37"/>
      <c r="W2" s="37"/>
      <c r="X2" s="37"/>
      <c r="Y2" s="37"/>
      <c r="Z2" s="37"/>
      <c r="AA2" s="37"/>
      <c r="AB2" s="37"/>
      <c r="AC2" s="37"/>
      <c r="AD2" s="37"/>
      <c r="AE2" s="37"/>
    </row>
    <row r="3" spans="1:31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</row>
    <row r="4" spans="1:31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Q4" s="38" t="s">
        <v>0</v>
      </c>
      <c r="R4" s="38" t="s">
        <v>1</v>
      </c>
      <c r="S4" s="38" t="s">
        <v>2</v>
      </c>
      <c r="T4" s="38" t="s">
        <v>3</v>
      </c>
      <c r="U4" s="38" t="s">
        <v>4</v>
      </c>
      <c r="V4" s="38" t="s">
        <v>5</v>
      </c>
      <c r="W4" s="38" t="s">
        <v>6</v>
      </c>
      <c r="X4" s="38" t="s">
        <v>7</v>
      </c>
      <c r="Y4" s="38" t="s">
        <v>8</v>
      </c>
      <c r="Z4" s="38" t="s">
        <v>9</v>
      </c>
      <c r="AA4" s="38" t="s">
        <v>10</v>
      </c>
      <c r="AB4" s="38" t="s">
        <v>11</v>
      </c>
      <c r="AC4" s="38" t="s">
        <v>12</v>
      </c>
      <c r="AD4" s="38" t="s">
        <v>13</v>
      </c>
      <c r="AE4" s="38" t="s">
        <v>14</v>
      </c>
    </row>
    <row r="5" spans="1:31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Q5" s="36">
        <v>10004</v>
      </c>
      <c r="R5" s="36">
        <f>_xlfn.XLOOKUP(Q5,A2:A501,B2:B501,"Not Found")</f>
        <v>1270</v>
      </c>
      <c r="S5" s="40">
        <f>_xlfn.XLOOKUP(R5,B2:B501,C2:C501,"Not Found")</f>
        <v>45079</v>
      </c>
      <c r="T5" s="40">
        <f t="shared" ref="T5:V5" si="0">_xlfn.XLOOKUP(S5,C2:C501,D2:D501,"Not Found")</f>
        <v>45087</v>
      </c>
      <c r="U5" s="40" t="str">
        <f t="shared" si="0"/>
        <v>Bengaluru</v>
      </c>
      <c r="V5" s="40" t="str">
        <f t="shared" si="0"/>
        <v>West Bengal</v>
      </c>
      <c r="W5" s="40" t="str" cm="1">
        <f t="array" ref="W5:AE5">_xlfn.XLOOKUP(Q5,A2:A501,G2:O501)</f>
        <v>Website</v>
      </c>
      <c r="X5" s="40" t="str">
        <v>Cash on Delivery</v>
      </c>
      <c r="Y5" s="40" t="str">
        <v>Sports</v>
      </c>
      <c r="Z5" s="40" t="str">
        <v>Yoga Mat</v>
      </c>
      <c r="AA5" s="40" t="str">
        <v>BrandA</v>
      </c>
      <c r="AB5" s="36">
        <v>1</v>
      </c>
      <c r="AC5" s="36">
        <v>1008.79</v>
      </c>
      <c r="AD5" s="36">
        <v>15</v>
      </c>
      <c r="AE5" s="36">
        <v>857.47</v>
      </c>
    </row>
    <row r="6" spans="1:31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</row>
    <row r="7" spans="1:31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Q7" s="38" t="s">
        <v>0</v>
      </c>
      <c r="R7" s="38" t="s">
        <v>4</v>
      </c>
      <c r="S7" s="38" t="s">
        <v>11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</row>
    <row r="8" spans="1:31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Q8" s="36">
        <v>10010</v>
      </c>
      <c r="R8" s="36" t="str" cm="1">
        <f t="array" ref="R8:S8">_xlfn.XLOOKUP(Q8,A2:A501,CHOOSE({1,2},E2:E501,L2:L501))</f>
        <v>Bengaluru</v>
      </c>
      <c r="S8" s="36">
        <v>5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pans="1:31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pans="1:31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Q10" s="38" t="s">
        <v>4</v>
      </c>
      <c r="R10" s="38" t="s">
        <v>7</v>
      </c>
      <c r="S10" s="38" t="s">
        <v>14</v>
      </c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pans="1:31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Q11" s="36" t="s">
        <v>15</v>
      </c>
      <c r="R11" s="36" t="s">
        <v>25</v>
      </c>
      <c r="S11" s="36" cm="1">
        <f t="array" ref="S11">_xlfn.XLOOKUP(Q11&amp;R11,E2:E501&amp;H2:H501,O2:O501)</f>
        <v>17719.13</v>
      </c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pans="1:31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</row>
    <row r="13" spans="1:31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Q13" s="3" t="s">
        <v>1</v>
      </c>
      <c r="R13" s="43">
        <v>1663</v>
      </c>
    </row>
    <row r="14" spans="1:31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Q14" s="3" t="s">
        <v>2</v>
      </c>
      <c r="R14" s="44" cm="1">
        <f t="array" ref="R14:R26">TRANSPOSE(_xlfn.XLOOKUP(R13,B2:B501,C2:O501))</f>
        <v>44965</v>
      </c>
    </row>
    <row r="15" spans="1:31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Q15" s="3" t="s">
        <v>3</v>
      </c>
      <c r="R15" s="44">
        <v>44968</v>
      </c>
    </row>
    <row r="16" spans="1:31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Q16" s="3" t="s">
        <v>4</v>
      </c>
      <c r="R16" s="43" t="str">
        <v>Bengaluru</v>
      </c>
    </row>
    <row r="17" spans="1:18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Q17" s="3" t="s">
        <v>5</v>
      </c>
      <c r="R17" s="43" t="str">
        <v>Karnataka</v>
      </c>
    </row>
    <row r="18" spans="1:18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Q18" s="3" t="s">
        <v>6</v>
      </c>
      <c r="R18" s="43" t="str">
        <v>Marketplace</v>
      </c>
    </row>
    <row r="19" spans="1:18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Q19" s="3" t="s">
        <v>7</v>
      </c>
      <c r="R19" s="43" t="str">
        <v>Net Banking</v>
      </c>
    </row>
    <row r="20" spans="1:18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Q20" s="3" t="s">
        <v>8</v>
      </c>
      <c r="R20" s="43" t="str">
        <v>Fashion</v>
      </c>
    </row>
    <row r="21" spans="1:18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Q21" s="3" t="s">
        <v>9</v>
      </c>
      <c r="R21" s="43" t="str">
        <v>Jacket</v>
      </c>
    </row>
    <row r="22" spans="1:18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Q22" s="3" t="s">
        <v>10</v>
      </c>
      <c r="R22" s="43" t="str">
        <v>BrandE</v>
      </c>
    </row>
    <row r="23" spans="1:18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Q23" s="3" t="s">
        <v>11</v>
      </c>
      <c r="R23" s="43">
        <v>2</v>
      </c>
    </row>
    <row r="24" spans="1:18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Q24" s="3" t="s">
        <v>12</v>
      </c>
      <c r="R24" s="43">
        <v>990.3</v>
      </c>
    </row>
    <row r="25" spans="1:18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Q25" s="3" t="s">
        <v>13</v>
      </c>
      <c r="R25" s="43">
        <v>15</v>
      </c>
    </row>
    <row r="26" spans="1:18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Q26" s="3" t="s">
        <v>14</v>
      </c>
      <c r="R26" s="43">
        <v>1683.51</v>
      </c>
    </row>
    <row r="27" spans="1:18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</row>
    <row r="28" spans="1:18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</row>
    <row r="29" spans="1:18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</row>
    <row r="30" spans="1:18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</row>
    <row r="31" spans="1:18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</row>
    <row r="32" spans="1:18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</row>
    <row r="33" spans="1:15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</row>
    <row r="34" spans="1:15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</row>
    <row r="35" spans="1:15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</row>
    <row r="36" spans="1:15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</row>
    <row r="37" spans="1:15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</row>
    <row r="38" spans="1:15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</row>
    <row r="39" spans="1:15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</row>
    <row r="40" spans="1:15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</row>
    <row r="41" spans="1:15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</row>
    <row r="42" spans="1:15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</row>
    <row r="43" spans="1:15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</row>
    <row r="44" spans="1:15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</row>
    <row r="45" spans="1:15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</row>
    <row r="46" spans="1:15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</row>
    <row r="47" spans="1:15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</row>
    <row r="48" spans="1:15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</row>
    <row r="49" spans="1:15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</row>
    <row r="50" spans="1:15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</row>
    <row r="51" spans="1:15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</row>
    <row r="52" spans="1:15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</row>
    <row r="53" spans="1:15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</row>
    <row r="54" spans="1:15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</row>
    <row r="55" spans="1:15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</row>
    <row r="56" spans="1:15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</row>
    <row r="57" spans="1:15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</row>
    <row r="58" spans="1:15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</row>
    <row r="59" spans="1:15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</row>
    <row r="60" spans="1:15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</row>
    <row r="61" spans="1:15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</row>
    <row r="62" spans="1:15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</row>
    <row r="63" spans="1:15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</row>
    <row r="64" spans="1:15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</row>
    <row r="65" spans="1:15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</row>
    <row r="66" spans="1:15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</row>
    <row r="67" spans="1:15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</row>
    <row r="68" spans="1:15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</row>
    <row r="69" spans="1:15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</row>
    <row r="70" spans="1:15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</row>
    <row r="71" spans="1:15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</row>
    <row r="72" spans="1:15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</row>
    <row r="73" spans="1:15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</row>
    <row r="74" spans="1:15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</row>
    <row r="75" spans="1:15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</row>
    <row r="76" spans="1:15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</row>
    <row r="77" spans="1:15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</row>
    <row r="78" spans="1:15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</row>
    <row r="79" spans="1:15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</row>
    <row r="80" spans="1:15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</row>
    <row r="81" spans="1:15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</row>
    <row r="82" spans="1:15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</row>
    <row r="83" spans="1:15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</row>
    <row r="84" spans="1:15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</row>
    <row r="85" spans="1:15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</row>
    <row r="86" spans="1:15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</row>
    <row r="87" spans="1:15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</row>
    <row r="88" spans="1:15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</row>
    <row r="89" spans="1:15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</row>
    <row r="90" spans="1:15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</row>
    <row r="91" spans="1:15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</row>
    <row r="92" spans="1:15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</row>
    <row r="93" spans="1:15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</row>
    <row r="94" spans="1:15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</row>
    <row r="95" spans="1:15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</row>
    <row r="96" spans="1:15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</row>
    <row r="97" spans="1:15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</row>
    <row r="98" spans="1:15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</row>
    <row r="99" spans="1:15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</row>
    <row r="100" spans="1:15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</row>
    <row r="101" spans="1:15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</row>
    <row r="102" spans="1:15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</row>
    <row r="103" spans="1:15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</row>
    <row r="104" spans="1:15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</row>
    <row r="105" spans="1:15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</row>
    <row r="106" spans="1:15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</row>
    <row r="107" spans="1:15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</row>
    <row r="108" spans="1:15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</row>
    <row r="109" spans="1:15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</row>
    <row r="110" spans="1:15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</row>
    <row r="111" spans="1:15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</row>
    <row r="112" spans="1:15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</row>
    <row r="113" spans="1:15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</row>
    <row r="114" spans="1:15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</row>
    <row r="115" spans="1:15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</row>
    <row r="116" spans="1:15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</row>
    <row r="117" spans="1:15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</row>
    <row r="118" spans="1:15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</row>
    <row r="119" spans="1:15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</row>
    <row r="120" spans="1:15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</row>
    <row r="121" spans="1:15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</row>
    <row r="122" spans="1:15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</row>
    <row r="123" spans="1:15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</row>
    <row r="124" spans="1:15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</row>
    <row r="125" spans="1:15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</row>
    <row r="126" spans="1:15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</row>
    <row r="127" spans="1:15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</row>
    <row r="128" spans="1:15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</row>
    <row r="129" spans="1:15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</row>
    <row r="130" spans="1:15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</row>
    <row r="131" spans="1:15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</row>
    <row r="132" spans="1:15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</row>
    <row r="133" spans="1:15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</row>
    <row r="134" spans="1:15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</row>
    <row r="135" spans="1:15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</row>
    <row r="136" spans="1:15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</row>
    <row r="137" spans="1:15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</row>
    <row r="138" spans="1:15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</row>
    <row r="139" spans="1:15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</row>
    <row r="140" spans="1:15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</row>
    <row r="141" spans="1:15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</row>
    <row r="142" spans="1:15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</row>
    <row r="143" spans="1:15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</row>
    <row r="144" spans="1:15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</row>
    <row r="145" spans="1:15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</row>
    <row r="146" spans="1:15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</row>
    <row r="147" spans="1:15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</row>
    <row r="148" spans="1:15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</row>
    <row r="149" spans="1:15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</row>
    <row r="150" spans="1:15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</row>
    <row r="151" spans="1:15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</row>
    <row r="152" spans="1:15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</row>
    <row r="153" spans="1:15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</row>
    <row r="154" spans="1:15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</row>
    <row r="155" spans="1:15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</row>
    <row r="156" spans="1:15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</row>
    <row r="157" spans="1:15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</row>
    <row r="158" spans="1:15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</row>
    <row r="159" spans="1:15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</row>
    <row r="160" spans="1:15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</row>
    <row r="161" spans="1:15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</row>
    <row r="162" spans="1:15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</row>
    <row r="163" spans="1:15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</row>
    <row r="164" spans="1:15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</row>
    <row r="165" spans="1:15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</row>
    <row r="166" spans="1:15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</row>
    <row r="167" spans="1:15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</row>
    <row r="168" spans="1:15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</row>
    <row r="169" spans="1:15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</row>
    <row r="170" spans="1:15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</row>
    <row r="171" spans="1:15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</row>
    <row r="172" spans="1:15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</row>
    <row r="173" spans="1:15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</row>
    <row r="174" spans="1:15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</row>
    <row r="175" spans="1:15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</row>
    <row r="176" spans="1:15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</row>
    <row r="177" spans="1:15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</row>
    <row r="178" spans="1:15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</row>
    <row r="179" spans="1:15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</row>
    <row r="180" spans="1:15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</row>
    <row r="181" spans="1:15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</row>
    <row r="182" spans="1:15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</row>
    <row r="183" spans="1:15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</row>
    <row r="184" spans="1:15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</row>
    <row r="185" spans="1:15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</row>
    <row r="186" spans="1:15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</row>
    <row r="187" spans="1:15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</row>
    <row r="188" spans="1:15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</row>
    <row r="189" spans="1:15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</row>
    <row r="190" spans="1:15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</row>
    <row r="191" spans="1:15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</row>
    <row r="192" spans="1:15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</row>
    <row r="193" spans="1:15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</row>
    <row r="194" spans="1:15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</row>
    <row r="195" spans="1:15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</row>
    <row r="196" spans="1:15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</row>
    <row r="197" spans="1:15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</row>
    <row r="198" spans="1:15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</row>
    <row r="199" spans="1:15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</row>
    <row r="200" spans="1:15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</row>
    <row r="201" spans="1:15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</row>
    <row r="202" spans="1:15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</row>
    <row r="203" spans="1:15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</row>
    <row r="204" spans="1:15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</row>
    <row r="205" spans="1:15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</row>
    <row r="206" spans="1:15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</row>
    <row r="207" spans="1:15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</row>
    <row r="208" spans="1:15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</row>
    <row r="209" spans="1:15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</row>
    <row r="210" spans="1:15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</row>
    <row r="211" spans="1:15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</row>
    <row r="212" spans="1:15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</row>
    <row r="213" spans="1:15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</row>
    <row r="214" spans="1:15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</row>
    <row r="215" spans="1:15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</row>
    <row r="216" spans="1:15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</row>
    <row r="217" spans="1:15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</row>
    <row r="218" spans="1:15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</row>
    <row r="219" spans="1:15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</row>
    <row r="220" spans="1:15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</row>
    <row r="221" spans="1:15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</row>
    <row r="222" spans="1:15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</row>
    <row r="223" spans="1:15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</row>
    <row r="224" spans="1:15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</row>
    <row r="225" spans="1:15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</row>
    <row r="226" spans="1:15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</row>
    <row r="227" spans="1:15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</row>
    <row r="228" spans="1:15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</row>
    <row r="229" spans="1:15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</row>
    <row r="230" spans="1:15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</row>
    <row r="231" spans="1:15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</row>
    <row r="232" spans="1:15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</row>
    <row r="233" spans="1:15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</row>
    <row r="234" spans="1:15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</row>
    <row r="235" spans="1:15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</row>
    <row r="236" spans="1:15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</row>
    <row r="237" spans="1:15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</row>
    <row r="238" spans="1:15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</row>
    <row r="239" spans="1:15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</row>
    <row r="240" spans="1:15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</row>
    <row r="241" spans="1:15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</row>
    <row r="242" spans="1:15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</row>
    <row r="243" spans="1:15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</row>
    <row r="244" spans="1:15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</row>
    <row r="245" spans="1:15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</row>
    <row r="246" spans="1:15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</row>
    <row r="247" spans="1:15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</row>
    <row r="248" spans="1:15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</row>
    <row r="249" spans="1:15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</row>
    <row r="250" spans="1:15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</row>
    <row r="251" spans="1:15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</row>
    <row r="252" spans="1:15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</row>
    <row r="253" spans="1:15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</row>
    <row r="254" spans="1:15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</row>
    <row r="255" spans="1:15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</row>
    <row r="256" spans="1:15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</row>
    <row r="257" spans="1:15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</row>
    <row r="258" spans="1:15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</row>
    <row r="259" spans="1:15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</row>
    <row r="260" spans="1:15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</row>
    <row r="261" spans="1:15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</row>
    <row r="262" spans="1:15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</row>
    <row r="263" spans="1:15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</row>
    <row r="264" spans="1:15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</row>
    <row r="265" spans="1:15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</row>
    <row r="266" spans="1:15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</row>
    <row r="267" spans="1:15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</row>
    <row r="268" spans="1:15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</row>
    <row r="269" spans="1:15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</row>
    <row r="270" spans="1:15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</row>
    <row r="271" spans="1:15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</row>
    <row r="272" spans="1:15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</row>
    <row r="273" spans="1:15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</row>
    <row r="274" spans="1:15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</row>
    <row r="275" spans="1:15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</row>
    <row r="276" spans="1:15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</row>
    <row r="277" spans="1:15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</row>
    <row r="278" spans="1:15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</row>
    <row r="279" spans="1:15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</row>
    <row r="280" spans="1:15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</row>
    <row r="281" spans="1:15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</row>
    <row r="282" spans="1:15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</row>
    <row r="283" spans="1:15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</row>
    <row r="284" spans="1:15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</row>
    <row r="285" spans="1:15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</row>
    <row r="286" spans="1:15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</row>
    <row r="287" spans="1:15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</row>
    <row r="288" spans="1:15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</row>
    <row r="289" spans="1:15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</row>
    <row r="290" spans="1:15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</row>
    <row r="291" spans="1:15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</row>
    <row r="292" spans="1:15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</row>
    <row r="293" spans="1:15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</row>
    <row r="294" spans="1:15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</row>
    <row r="295" spans="1:15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</row>
    <row r="296" spans="1:15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</row>
    <row r="297" spans="1:15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</row>
    <row r="298" spans="1:15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</row>
    <row r="299" spans="1:15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</row>
    <row r="300" spans="1:15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</row>
    <row r="301" spans="1:15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</row>
    <row r="302" spans="1:15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</row>
    <row r="303" spans="1:15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</row>
    <row r="304" spans="1:15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</row>
    <row r="305" spans="1:15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</row>
    <row r="306" spans="1:15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</row>
    <row r="307" spans="1:15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</row>
    <row r="308" spans="1:15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</row>
    <row r="309" spans="1:15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</row>
    <row r="310" spans="1:15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</row>
    <row r="311" spans="1:15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</row>
    <row r="312" spans="1:15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</row>
    <row r="313" spans="1:15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</row>
    <row r="314" spans="1:15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</row>
    <row r="315" spans="1:15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</row>
    <row r="316" spans="1:15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</row>
    <row r="317" spans="1:15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</row>
    <row r="318" spans="1:15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</row>
    <row r="319" spans="1:15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</row>
    <row r="320" spans="1:15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</row>
    <row r="321" spans="1:15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</row>
    <row r="322" spans="1:15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</row>
    <row r="323" spans="1:15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</row>
    <row r="324" spans="1:15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</row>
    <row r="325" spans="1:15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</row>
    <row r="326" spans="1:15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</row>
    <row r="327" spans="1:15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</row>
    <row r="328" spans="1:15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</row>
    <row r="329" spans="1:15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</row>
    <row r="330" spans="1:15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</row>
    <row r="331" spans="1:15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</row>
    <row r="332" spans="1:15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</row>
    <row r="333" spans="1:15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</row>
    <row r="334" spans="1:15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</row>
    <row r="335" spans="1:15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</row>
    <row r="336" spans="1:15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</row>
    <row r="337" spans="1:15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</row>
    <row r="338" spans="1:15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</row>
    <row r="339" spans="1:15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</row>
    <row r="340" spans="1:15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</row>
    <row r="341" spans="1:15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</row>
    <row r="342" spans="1:15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</row>
    <row r="343" spans="1:15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</row>
    <row r="344" spans="1:15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</row>
    <row r="345" spans="1:15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</row>
    <row r="346" spans="1:15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</row>
    <row r="347" spans="1:15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</row>
    <row r="348" spans="1:15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</row>
    <row r="349" spans="1:15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</row>
    <row r="350" spans="1:15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</row>
    <row r="351" spans="1:15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</row>
    <row r="352" spans="1:15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</row>
    <row r="353" spans="1:15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</row>
    <row r="354" spans="1:15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</row>
    <row r="355" spans="1:15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</row>
    <row r="356" spans="1:15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</row>
    <row r="357" spans="1:15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</row>
    <row r="358" spans="1:15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</row>
    <row r="359" spans="1:15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</row>
    <row r="360" spans="1:15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</row>
    <row r="361" spans="1:15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</row>
    <row r="362" spans="1:15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</row>
    <row r="363" spans="1:15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</row>
    <row r="364" spans="1:15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</row>
    <row r="365" spans="1:15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</row>
    <row r="366" spans="1:15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</row>
    <row r="367" spans="1:15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</row>
    <row r="368" spans="1:15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</row>
    <row r="369" spans="1:15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</row>
    <row r="370" spans="1:15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</row>
    <row r="371" spans="1:15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</row>
    <row r="372" spans="1:15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</row>
    <row r="373" spans="1:15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</row>
    <row r="374" spans="1:15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</row>
    <row r="375" spans="1:15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</row>
    <row r="376" spans="1:15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</row>
    <row r="377" spans="1:15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</row>
    <row r="378" spans="1:15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</row>
    <row r="379" spans="1:15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</row>
    <row r="380" spans="1:15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</row>
    <row r="381" spans="1:15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</row>
    <row r="382" spans="1:15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</row>
    <row r="383" spans="1:15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</row>
    <row r="384" spans="1:15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</row>
    <row r="385" spans="1:15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</row>
    <row r="386" spans="1:15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</row>
    <row r="387" spans="1:15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</row>
    <row r="388" spans="1:15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</row>
    <row r="389" spans="1:15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</row>
    <row r="390" spans="1:15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</row>
    <row r="391" spans="1:15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</row>
    <row r="392" spans="1:15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</row>
    <row r="393" spans="1:15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</row>
    <row r="394" spans="1:15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</row>
    <row r="395" spans="1:15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</row>
    <row r="396" spans="1:15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</row>
    <row r="397" spans="1:15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</row>
    <row r="398" spans="1:15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</row>
    <row r="399" spans="1:15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</row>
    <row r="400" spans="1:15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</row>
    <row r="401" spans="1:15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</row>
    <row r="402" spans="1:15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</row>
    <row r="403" spans="1:15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</row>
    <row r="404" spans="1:15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</row>
    <row r="405" spans="1:15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</row>
    <row r="406" spans="1:15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</row>
    <row r="407" spans="1:15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</row>
    <row r="408" spans="1:15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</row>
    <row r="409" spans="1:15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</row>
    <row r="410" spans="1:15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</row>
    <row r="411" spans="1:15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</row>
    <row r="412" spans="1:15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</row>
    <row r="413" spans="1:15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</row>
    <row r="414" spans="1:15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</row>
    <row r="415" spans="1:15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</row>
    <row r="416" spans="1:15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</row>
    <row r="417" spans="1:15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</row>
    <row r="418" spans="1:15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</row>
    <row r="419" spans="1:15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</row>
    <row r="420" spans="1:15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</row>
    <row r="421" spans="1:15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</row>
    <row r="422" spans="1:15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</row>
    <row r="423" spans="1:15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</row>
    <row r="424" spans="1:15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</row>
    <row r="425" spans="1:15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</row>
    <row r="426" spans="1:15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</row>
    <row r="427" spans="1:15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</row>
    <row r="428" spans="1:15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</row>
    <row r="429" spans="1:15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</row>
    <row r="430" spans="1:15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</row>
    <row r="431" spans="1:15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</row>
    <row r="432" spans="1:15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</row>
    <row r="433" spans="1:15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</row>
    <row r="434" spans="1:15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</row>
    <row r="435" spans="1:15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</row>
    <row r="436" spans="1:15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</row>
    <row r="437" spans="1:15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</row>
    <row r="438" spans="1:15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</row>
    <row r="439" spans="1:15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</row>
    <row r="440" spans="1:15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</row>
    <row r="441" spans="1:15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</row>
    <row r="442" spans="1:15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</row>
    <row r="443" spans="1:15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</row>
    <row r="444" spans="1:15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</row>
    <row r="445" spans="1:15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</row>
    <row r="446" spans="1:15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</row>
    <row r="447" spans="1:15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</row>
    <row r="448" spans="1:15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</row>
    <row r="449" spans="1:15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</row>
    <row r="450" spans="1:15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</row>
    <row r="451" spans="1:15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</row>
    <row r="452" spans="1:15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</row>
    <row r="453" spans="1:15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</row>
    <row r="454" spans="1:15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</row>
    <row r="455" spans="1:15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</row>
    <row r="456" spans="1:15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</row>
    <row r="457" spans="1:15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</row>
    <row r="458" spans="1:15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</row>
    <row r="459" spans="1:15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</row>
    <row r="460" spans="1:15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</row>
    <row r="461" spans="1:15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</row>
    <row r="462" spans="1:15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</row>
    <row r="463" spans="1:15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</row>
    <row r="464" spans="1:15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</row>
    <row r="465" spans="1:15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</row>
    <row r="466" spans="1:15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</row>
    <row r="467" spans="1:15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</row>
    <row r="468" spans="1:15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</row>
    <row r="469" spans="1:15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</row>
    <row r="470" spans="1:15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</row>
    <row r="471" spans="1:15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</row>
    <row r="472" spans="1:15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</row>
    <row r="473" spans="1:15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</row>
    <row r="474" spans="1:15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</row>
    <row r="475" spans="1:15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</row>
    <row r="476" spans="1:15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</row>
    <row r="477" spans="1:15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</row>
    <row r="478" spans="1:15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</row>
    <row r="479" spans="1:15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</row>
    <row r="480" spans="1:15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</row>
    <row r="481" spans="1:15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</row>
    <row r="482" spans="1:15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</row>
    <row r="483" spans="1:15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</row>
    <row r="484" spans="1:15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</row>
    <row r="485" spans="1:15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</row>
    <row r="486" spans="1:15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</row>
    <row r="487" spans="1:15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</row>
    <row r="488" spans="1:15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</row>
    <row r="489" spans="1:15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</row>
    <row r="490" spans="1:15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</row>
    <row r="491" spans="1:15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</row>
    <row r="492" spans="1:15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</row>
    <row r="493" spans="1:15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</row>
    <row r="494" spans="1:15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</row>
    <row r="495" spans="1:15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</row>
    <row r="496" spans="1:15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</row>
    <row r="497" spans="1:15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</row>
    <row r="498" spans="1:15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</row>
    <row r="499" spans="1:15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</row>
    <row r="500" spans="1:15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</row>
    <row r="501" spans="1:15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AF93C-0752-43C4-9382-10CE61C99EEC}">
  <dimension ref="A1:D5"/>
  <sheetViews>
    <sheetView workbookViewId="0">
      <selection activeCell="A9" sqref="A9:D13"/>
    </sheetView>
  </sheetViews>
  <sheetFormatPr defaultRowHeight="14.4" x14ac:dyDescent="0.3"/>
  <sheetData>
    <row r="1" spans="1:4" x14ac:dyDescent="0.3">
      <c r="B1" t="s">
        <v>156</v>
      </c>
      <c r="C1" t="s">
        <v>157</v>
      </c>
      <c r="D1" t="s">
        <v>158</v>
      </c>
    </row>
    <row r="2" spans="1:4" x14ac:dyDescent="0.3">
      <c r="A2" t="s">
        <v>152</v>
      </c>
      <c r="B2">
        <v>50</v>
      </c>
      <c r="C2">
        <v>60</v>
      </c>
      <c r="D2">
        <v>70</v>
      </c>
    </row>
    <row r="3" spans="1:4" x14ac:dyDescent="0.3">
      <c r="A3" t="s">
        <v>153</v>
      </c>
      <c r="B3">
        <v>59</v>
      </c>
      <c r="C3">
        <v>79</v>
      </c>
      <c r="D3">
        <v>87</v>
      </c>
    </row>
    <row r="4" spans="1:4" x14ac:dyDescent="0.3">
      <c r="A4" t="s">
        <v>154</v>
      </c>
      <c r="B4">
        <v>70</v>
      </c>
      <c r="C4">
        <v>56</v>
      </c>
      <c r="D4">
        <v>87</v>
      </c>
    </row>
    <row r="5" spans="1:4" x14ac:dyDescent="0.3">
      <c r="A5" t="s">
        <v>155</v>
      </c>
      <c r="B5">
        <v>40</v>
      </c>
      <c r="C5">
        <v>80</v>
      </c>
      <c r="D5">
        <v>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C4ED-0BF7-4C6E-BB91-2BD018236AED}">
  <dimension ref="A1:D5"/>
  <sheetViews>
    <sheetView workbookViewId="0">
      <selection activeCell="B3" sqref="B3"/>
    </sheetView>
  </sheetViews>
  <sheetFormatPr defaultRowHeight="14.4" x14ac:dyDescent="0.3"/>
  <sheetData>
    <row r="1" spans="1:4" x14ac:dyDescent="0.3">
      <c r="B1" t="s">
        <v>156</v>
      </c>
      <c r="C1" t="s">
        <v>157</v>
      </c>
      <c r="D1" t="s">
        <v>158</v>
      </c>
    </row>
    <row r="2" spans="1:4" x14ac:dyDescent="0.3">
      <c r="A2" t="s">
        <v>152</v>
      </c>
      <c r="B2">
        <v>99</v>
      </c>
      <c r="C2">
        <v>60</v>
      </c>
      <c r="D2">
        <v>70</v>
      </c>
    </row>
    <row r="3" spans="1:4" x14ac:dyDescent="0.3">
      <c r="A3" t="s">
        <v>153</v>
      </c>
      <c r="B3">
        <v>59</v>
      </c>
      <c r="C3">
        <v>79</v>
      </c>
      <c r="D3">
        <v>87</v>
      </c>
    </row>
    <row r="4" spans="1:4" x14ac:dyDescent="0.3">
      <c r="A4" t="s">
        <v>154</v>
      </c>
      <c r="B4">
        <v>70</v>
      </c>
      <c r="C4">
        <v>56</v>
      </c>
      <c r="D4">
        <v>87</v>
      </c>
    </row>
    <row r="5" spans="1:4" x14ac:dyDescent="0.3">
      <c r="A5" t="s">
        <v>155</v>
      </c>
      <c r="B5">
        <v>40</v>
      </c>
      <c r="C5">
        <v>70</v>
      </c>
      <c r="D5">
        <v>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A931-B3BD-40BA-BA27-DF21F10AFA89}">
  <dimension ref="A1:D5"/>
  <sheetViews>
    <sheetView workbookViewId="0">
      <selection activeCell="B6" sqref="B6"/>
    </sheetView>
  </sheetViews>
  <sheetFormatPr defaultRowHeight="14.4" x14ac:dyDescent="0.3"/>
  <sheetData>
    <row r="1" spans="1:4" x14ac:dyDescent="0.3">
      <c r="B1" t="s">
        <v>156</v>
      </c>
      <c r="C1" t="s">
        <v>157</v>
      </c>
      <c r="D1" t="s">
        <v>158</v>
      </c>
    </row>
    <row r="2" spans="1:4" x14ac:dyDescent="0.3">
      <c r="A2" t="s">
        <v>152</v>
      </c>
      <c r="B2">
        <v>53</v>
      </c>
      <c r="C2">
        <v>60</v>
      </c>
      <c r="D2">
        <v>70</v>
      </c>
    </row>
    <row r="3" spans="1:4" x14ac:dyDescent="0.3">
      <c r="A3" t="s">
        <v>153</v>
      </c>
      <c r="B3">
        <v>59</v>
      </c>
      <c r="C3">
        <v>79</v>
      </c>
      <c r="D3">
        <v>87</v>
      </c>
    </row>
    <row r="4" spans="1:4" x14ac:dyDescent="0.3">
      <c r="A4" t="s">
        <v>154</v>
      </c>
      <c r="B4">
        <v>40</v>
      </c>
      <c r="C4">
        <v>56</v>
      </c>
      <c r="D4">
        <v>87</v>
      </c>
    </row>
    <row r="5" spans="1:4" x14ac:dyDescent="0.3">
      <c r="A5" t="s">
        <v>155</v>
      </c>
      <c r="B5">
        <v>20</v>
      </c>
      <c r="C5">
        <v>80</v>
      </c>
      <c r="D5">
        <v>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7FE9-1CC0-47AF-9BA9-70AE51C80F32}">
  <dimension ref="B1:L27"/>
  <sheetViews>
    <sheetView topLeftCell="D1" workbookViewId="0">
      <selection activeCell="M19" sqref="M19"/>
    </sheetView>
  </sheetViews>
  <sheetFormatPr defaultRowHeight="14.4" outlineLevelRow="1" x14ac:dyDescent="0.3"/>
  <cols>
    <col min="8" max="8" width="2.21875" customWidth="1"/>
    <col min="9" max="9" width="6.6640625" customWidth="1"/>
  </cols>
  <sheetData>
    <row r="1" spans="2:12" x14ac:dyDescent="0.3">
      <c r="B1" s="63" t="s">
        <v>160</v>
      </c>
      <c r="C1" s="63"/>
      <c r="D1" s="63"/>
    </row>
    <row r="2" spans="2:12" x14ac:dyDescent="0.3">
      <c r="B2">
        <f>SUM('S1:S3'!B2)</f>
        <v>202</v>
      </c>
      <c r="C2">
        <f>SUM('S1:S3'!C2)</f>
        <v>180</v>
      </c>
      <c r="D2">
        <f>SUM('S1:S3'!D2)</f>
        <v>210</v>
      </c>
    </row>
    <row r="3" spans="2:12" x14ac:dyDescent="0.3">
      <c r="B3">
        <f>SUM('S1:S3'!B3)</f>
        <v>177</v>
      </c>
      <c r="C3">
        <f>SUM('S1:S3'!C3)</f>
        <v>237</v>
      </c>
      <c r="D3">
        <f>SUM('S1:S3'!D3)</f>
        <v>261</v>
      </c>
    </row>
    <row r="4" spans="2:12" x14ac:dyDescent="0.3">
      <c r="B4">
        <f>SUM('S1:S3'!B4)</f>
        <v>180</v>
      </c>
      <c r="C4">
        <f>SUM('S1:S3'!C4)</f>
        <v>168</v>
      </c>
      <c r="D4">
        <f>SUM('S1:S3'!D4)</f>
        <v>261</v>
      </c>
      <c r="J4" t="s">
        <v>156</v>
      </c>
      <c r="K4" t="s">
        <v>157</v>
      </c>
      <c r="L4" t="s">
        <v>158</v>
      </c>
    </row>
    <row r="5" spans="2:12" x14ac:dyDescent="0.3">
      <c r="H5" t="s">
        <v>152</v>
      </c>
      <c r="J5">
        <v>199</v>
      </c>
      <c r="K5">
        <v>180</v>
      </c>
      <c r="L5">
        <v>210</v>
      </c>
    </row>
    <row r="6" spans="2:12" x14ac:dyDescent="0.3">
      <c r="H6" t="s">
        <v>153</v>
      </c>
      <c r="J6">
        <v>177</v>
      </c>
      <c r="K6">
        <v>237</v>
      </c>
      <c r="L6">
        <v>261</v>
      </c>
    </row>
    <row r="7" spans="2:12" x14ac:dyDescent="0.3">
      <c r="H7" t="s">
        <v>154</v>
      </c>
      <c r="J7">
        <v>180</v>
      </c>
      <c r="K7">
        <v>168</v>
      </c>
      <c r="L7">
        <v>261</v>
      </c>
    </row>
    <row r="8" spans="2:12" x14ac:dyDescent="0.3">
      <c r="H8" t="s">
        <v>155</v>
      </c>
      <c r="J8">
        <v>120</v>
      </c>
      <c r="K8">
        <v>230</v>
      </c>
      <c r="L8">
        <v>203</v>
      </c>
    </row>
    <row r="11" spans="2:12" x14ac:dyDescent="0.3">
      <c r="J11" t="s">
        <v>156</v>
      </c>
      <c r="K11" t="s">
        <v>157</v>
      </c>
      <c r="L11" t="s">
        <v>158</v>
      </c>
    </row>
    <row r="12" spans="2:12" hidden="1" outlineLevel="1" x14ac:dyDescent="0.3">
      <c r="I12" t="s">
        <v>159</v>
      </c>
      <c r="J12">
        <f>'S1'!$B$2</f>
        <v>50</v>
      </c>
      <c r="K12">
        <f>'S1'!$C$2</f>
        <v>60</v>
      </c>
      <c r="L12">
        <f>'S1'!$D$2</f>
        <v>70</v>
      </c>
    </row>
    <row r="13" spans="2:12" hidden="1" outlineLevel="1" collapsed="1" x14ac:dyDescent="0.3">
      <c r="I13" t="s">
        <v>159</v>
      </c>
      <c r="J13">
        <f>'S2'!$B$2</f>
        <v>99</v>
      </c>
      <c r="K13">
        <f>'S2'!$C$2</f>
        <v>60</v>
      </c>
      <c r="L13">
        <f>'S2'!$D$2</f>
        <v>70</v>
      </c>
    </row>
    <row r="14" spans="2:12" hidden="1" outlineLevel="1" collapsed="1" x14ac:dyDescent="0.3">
      <c r="I14" t="s">
        <v>159</v>
      </c>
      <c r="J14">
        <f>'S3'!$B$2</f>
        <v>53</v>
      </c>
      <c r="K14">
        <f>'S3'!$C$2</f>
        <v>60</v>
      </c>
      <c r="L14">
        <f>'S3'!$D$2</f>
        <v>70</v>
      </c>
    </row>
    <row r="15" spans="2:12" collapsed="1" x14ac:dyDescent="0.3">
      <c r="H15" t="s">
        <v>152</v>
      </c>
      <c r="J15">
        <f>SUM(J12:J14)</f>
        <v>202</v>
      </c>
      <c r="K15">
        <f>SUM(K12:K14)</f>
        <v>180</v>
      </c>
      <c r="L15">
        <f>SUM(L12:L14)</f>
        <v>210</v>
      </c>
    </row>
    <row r="16" spans="2:12" hidden="1" outlineLevel="1" x14ac:dyDescent="0.3">
      <c r="I16" t="s">
        <v>159</v>
      </c>
      <c r="J16">
        <f>'S1'!$B$3</f>
        <v>59</v>
      </c>
      <c r="K16">
        <f>'S1'!$C$3</f>
        <v>79</v>
      </c>
      <c r="L16">
        <f>'S1'!$D$3</f>
        <v>87</v>
      </c>
    </row>
    <row r="17" spans="8:12" hidden="1" outlineLevel="1" collapsed="1" x14ac:dyDescent="0.3">
      <c r="I17" t="s">
        <v>159</v>
      </c>
      <c r="J17">
        <f>'S2'!$B$3</f>
        <v>59</v>
      </c>
      <c r="K17">
        <f>'S2'!$C$3</f>
        <v>79</v>
      </c>
      <c r="L17">
        <f>'S2'!$D$3</f>
        <v>87</v>
      </c>
    </row>
    <row r="18" spans="8:12" hidden="1" outlineLevel="1" collapsed="1" x14ac:dyDescent="0.3">
      <c r="I18" t="s">
        <v>159</v>
      </c>
      <c r="J18">
        <f>'S3'!$B$3</f>
        <v>59</v>
      </c>
      <c r="K18">
        <f>'S3'!$C$3</f>
        <v>79</v>
      </c>
      <c r="L18">
        <f>'S3'!$D$3</f>
        <v>87</v>
      </c>
    </row>
    <row r="19" spans="8:12" collapsed="1" x14ac:dyDescent="0.3">
      <c r="H19" t="s">
        <v>153</v>
      </c>
      <c r="J19">
        <f>SUM(J16:J18)</f>
        <v>177</v>
      </c>
      <c r="K19">
        <f>SUM(K16:K18)</f>
        <v>237</v>
      </c>
      <c r="L19">
        <f>SUM(L16:L18)</f>
        <v>261</v>
      </c>
    </row>
    <row r="20" spans="8:12" hidden="1" outlineLevel="1" x14ac:dyDescent="0.3">
      <c r="I20" t="s">
        <v>159</v>
      </c>
      <c r="J20">
        <f>'S1'!$B$4</f>
        <v>70</v>
      </c>
      <c r="K20">
        <f>'S1'!$C$4</f>
        <v>56</v>
      </c>
      <c r="L20">
        <f>'S1'!$D$4</f>
        <v>87</v>
      </c>
    </row>
    <row r="21" spans="8:12" hidden="1" outlineLevel="1" collapsed="1" x14ac:dyDescent="0.3">
      <c r="I21" t="s">
        <v>159</v>
      </c>
      <c r="J21">
        <f>'S2'!$B$4</f>
        <v>70</v>
      </c>
      <c r="K21">
        <f>'S2'!$C$4</f>
        <v>56</v>
      </c>
      <c r="L21">
        <f>'S2'!$D$4</f>
        <v>87</v>
      </c>
    </row>
    <row r="22" spans="8:12" hidden="1" outlineLevel="1" collapsed="1" x14ac:dyDescent="0.3">
      <c r="I22" t="s">
        <v>159</v>
      </c>
      <c r="J22">
        <f>'S3'!$B$4</f>
        <v>40</v>
      </c>
      <c r="K22">
        <f>'S3'!$C$4</f>
        <v>56</v>
      </c>
      <c r="L22">
        <f>'S3'!$D$4</f>
        <v>87</v>
      </c>
    </row>
    <row r="23" spans="8:12" collapsed="1" x14ac:dyDescent="0.3">
      <c r="H23" t="s">
        <v>154</v>
      </c>
      <c r="J23">
        <f>SUM(J20:J22)</f>
        <v>180</v>
      </c>
      <c r="K23">
        <f>SUM(K20:K22)</f>
        <v>168</v>
      </c>
      <c r="L23">
        <f>SUM(L20:L22)</f>
        <v>261</v>
      </c>
    </row>
    <row r="24" spans="8:12" hidden="1" outlineLevel="1" x14ac:dyDescent="0.3">
      <c r="I24" t="s">
        <v>159</v>
      </c>
      <c r="J24">
        <f>'S1'!$B$5</f>
        <v>40</v>
      </c>
      <c r="K24">
        <f>'S1'!$C$5</f>
        <v>80</v>
      </c>
      <c r="L24">
        <f>'S1'!$D$5</f>
        <v>65</v>
      </c>
    </row>
    <row r="25" spans="8:12" hidden="1" outlineLevel="1" collapsed="1" x14ac:dyDescent="0.3">
      <c r="I25" t="s">
        <v>159</v>
      </c>
      <c r="J25">
        <f>'S2'!$B$5</f>
        <v>40</v>
      </c>
      <c r="K25">
        <f>'S2'!$C$5</f>
        <v>70</v>
      </c>
      <c r="L25">
        <f>'S2'!$D$5</f>
        <v>49</v>
      </c>
    </row>
    <row r="26" spans="8:12" hidden="1" outlineLevel="1" collapsed="1" x14ac:dyDescent="0.3">
      <c r="I26" t="s">
        <v>159</v>
      </c>
      <c r="J26">
        <f>'S3'!$B$5</f>
        <v>20</v>
      </c>
      <c r="K26">
        <f>'S3'!$C$5</f>
        <v>80</v>
      </c>
      <c r="L26">
        <f>'S3'!$D$5</f>
        <v>89</v>
      </c>
    </row>
    <row r="27" spans="8:12" collapsed="1" x14ac:dyDescent="0.3">
      <c r="H27" t="s">
        <v>155</v>
      </c>
      <c r="J27">
        <f>SUM(J24:J26)</f>
        <v>100</v>
      </c>
      <c r="K27">
        <f>SUM(K24:K26)</f>
        <v>230</v>
      </c>
      <c r="L27">
        <f>SUM(L24:L26)</f>
        <v>203</v>
      </c>
    </row>
  </sheetData>
  <dataConsolidate topLabels="1" link="1">
    <dataRefs count="3">
      <dataRef ref="A1:D5" sheet="S1"/>
      <dataRef ref="A1:D5" sheet="S2"/>
      <dataRef ref="A1:D5" sheet="S3"/>
    </dataRefs>
  </dataConsolidate>
  <mergeCells count="1">
    <mergeCell ref="B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BD12-409C-4C16-9CD3-469D0A7C4419}">
  <dimension ref="A2:Y30"/>
  <sheetViews>
    <sheetView tabSelected="1" zoomScale="65" workbookViewId="0">
      <selection activeCell="Q29" sqref="Q29"/>
    </sheetView>
  </sheetViews>
  <sheetFormatPr defaultRowHeight="14.4" x14ac:dyDescent="0.3"/>
  <cols>
    <col min="3" max="3" width="22.6640625" bestFit="1" customWidth="1"/>
    <col min="5" max="5" width="13.109375" bestFit="1" customWidth="1"/>
    <col min="10" max="10" width="15.21875" bestFit="1" customWidth="1"/>
    <col min="14" max="14" width="9.6640625" bestFit="1" customWidth="1"/>
    <col min="16" max="16" width="13.109375" bestFit="1" customWidth="1"/>
  </cols>
  <sheetData>
    <row r="2" spans="1:25" x14ac:dyDescent="0.3">
      <c r="B2" s="1" t="s">
        <v>161</v>
      </c>
      <c r="J2" s="1" t="s">
        <v>139</v>
      </c>
      <c r="K2" s="1" t="s">
        <v>139</v>
      </c>
    </row>
    <row r="3" spans="1:25" x14ac:dyDescent="0.3">
      <c r="B3" s="1">
        <v>0</v>
      </c>
      <c r="C3" s="1">
        <v>110</v>
      </c>
      <c r="J3" s="1" t="b">
        <f>EXACT(J2,K2)</f>
        <v>1</v>
      </c>
      <c r="K3" s="1"/>
    </row>
    <row r="4" spans="1:25" x14ac:dyDescent="0.3">
      <c r="B4" s="1">
        <v>1</v>
      </c>
      <c r="C4" s="1">
        <v>53</v>
      </c>
    </row>
    <row r="5" spans="1:25" x14ac:dyDescent="0.3">
      <c r="B5" s="1">
        <v>20</v>
      </c>
      <c r="C5" s="1">
        <v>98</v>
      </c>
    </row>
    <row r="6" spans="1:25" x14ac:dyDescent="0.3">
      <c r="B6" s="1">
        <v>9</v>
      </c>
      <c r="C6" s="1">
        <v>72</v>
      </c>
    </row>
    <row r="7" spans="1:25" x14ac:dyDescent="0.3">
      <c r="B7" s="1">
        <v>6</v>
      </c>
      <c r="C7" s="1">
        <v>3</v>
      </c>
    </row>
    <row r="8" spans="1:25" x14ac:dyDescent="0.3">
      <c r="B8" s="1">
        <v>15</v>
      </c>
      <c r="C8" s="1">
        <v>18</v>
      </c>
    </row>
    <row r="9" spans="1:25" x14ac:dyDescent="0.3">
      <c r="C9" s="1">
        <v>63</v>
      </c>
    </row>
    <row r="12" spans="1:25" x14ac:dyDescent="0.3">
      <c r="J12" s="1" t="s">
        <v>172</v>
      </c>
      <c r="K12" s="1" t="s">
        <v>165</v>
      </c>
      <c r="L12" s="1" t="s">
        <v>162</v>
      </c>
      <c r="M12" s="1" t="s">
        <v>171</v>
      </c>
      <c r="N12" s="64" t="s">
        <v>176</v>
      </c>
      <c r="O12" s="64" t="s">
        <v>179</v>
      </c>
      <c r="P12" s="64" t="s">
        <v>181</v>
      </c>
    </row>
    <row r="13" spans="1:25" x14ac:dyDescent="0.3">
      <c r="J13" s="2">
        <v>46324</v>
      </c>
      <c r="K13" s="1">
        <v>101</v>
      </c>
      <c r="L13" s="1" t="s">
        <v>163</v>
      </c>
      <c r="M13" s="1"/>
      <c r="N13" s="1" t="s">
        <v>177</v>
      </c>
      <c r="O13" s="1" t="s">
        <v>180</v>
      </c>
      <c r="P13" s="65" t="s">
        <v>182</v>
      </c>
    </row>
    <row r="14" spans="1:25" x14ac:dyDescent="0.3">
      <c r="J14" s="2">
        <v>46325</v>
      </c>
      <c r="K14" s="1">
        <v>102</v>
      </c>
      <c r="L14" s="1" t="s">
        <v>164</v>
      </c>
      <c r="M14" s="1"/>
      <c r="N14" s="1" t="s">
        <v>178</v>
      </c>
      <c r="O14" s="1"/>
      <c r="P14" s="1"/>
      <c r="T14" s="1" t="b">
        <f>LEFT(N13,3)="XYZ"</f>
        <v>1</v>
      </c>
      <c r="V14" t="b">
        <f>LEN(O13)=5</f>
        <v>1</v>
      </c>
      <c r="W14" t="b">
        <f>ISNUMBER(VALUE(RIGHT(O13,4)))</f>
        <v>1</v>
      </c>
      <c r="Y14" t="b">
        <f>NOT(ISNUMBER(VALUE(RIGHT(O13,4))))</f>
        <v>0</v>
      </c>
    </row>
    <row r="15" spans="1:25" x14ac:dyDescent="0.3">
      <c r="J15" s="2">
        <v>46326</v>
      </c>
      <c r="K15" s="1">
        <v>103</v>
      </c>
      <c r="L15" s="1" t="s">
        <v>166</v>
      </c>
      <c r="M15" s="1"/>
      <c r="N15" s="1"/>
      <c r="O15" s="1"/>
      <c r="P15" s="1"/>
    </row>
    <row r="16" spans="1:25" x14ac:dyDescent="0.3">
      <c r="A16" s="1" t="s">
        <v>162</v>
      </c>
      <c r="B16" s="1"/>
      <c r="C16" s="1"/>
      <c r="J16" s="2">
        <v>46327</v>
      </c>
      <c r="K16" s="1">
        <v>100</v>
      </c>
      <c r="L16" s="1" t="s">
        <v>167</v>
      </c>
      <c r="M16" s="1"/>
      <c r="N16" s="1"/>
      <c r="O16" s="1"/>
      <c r="P16" s="1"/>
      <c r="T16" t="b">
        <f>ISNUMBER(VALUE(MID(N13,4,4)))</f>
        <v>1</v>
      </c>
    </row>
    <row r="17" spans="1:24" x14ac:dyDescent="0.3">
      <c r="A17" s="1" t="s">
        <v>174</v>
      </c>
      <c r="B17" s="1"/>
      <c r="C17" s="1" t="s">
        <v>173</v>
      </c>
      <c r="J17" s="2">
        <v>46328</v>
      </c>
      <c r="K17" s="1">
        <v>50</v>
      </c>
      <c r="L17" s="1" t="s">
        <v>168</v>
      </c>
      <c r="M17" s="1"/>
      <c r="N17" s="1"/>
      <c r="O17" s="1"/>
      <c r="P17" s="1"/>
    </row>
    <row r="18" spans="1:24" x14ac:dyDescent="0.3">
      <c r="A18" s="1" t="s">
        <v>175</v>
      </c>
      <c r="B18" s="1"/>
      <c r="C18" s="1" t="b">
        <f>AND(ISTEXT(A17),LEN(A17)&gt;=3,LEN(A17)=10)</f>
        <v>0</v>
      </c>
      <c r="J18" s="2">
        <v>46329</v>
      </c>
      <c r="K18" s="1">
        <v>7</v>
      </c>
      <c r="L18" s="1" t="s">
        <v>169</v>
      </c>
      <c r="M18" s="1"/>
      <c r="N18" s="1"/>
      <c r="O18" s="1"/>
      <c r="P18" s="1"/>
      <c r="T18" t="b">
        <f>RIGHT(N13,1)="A"</f>
        <v>1</v>
      </c>
      <c r="X18" t="b">
        <f>AND(CODE(LEFT(O13,1))&gt;=65,CODE(LEFT(O13,1))&lt;=90)</f>
        <v>1</v>
      </c>
    </row>
    <row r="19" spans="1:24" x14ac:dyDescent="0.3">
      <c r="J19" s="2">
        <v>46330</v>
      </c>
      <c r="K19" s="1">
        <v>9</v>
      </c>
      <c r="L19" s="1" t="s">
        <v>170</v>
      </c>
      <c r="M19" s="1"/>
      <c r="N19" s="1"/>
      <c r="O19" s="1"/>
      <c r="P19" s="1"/>
    </row>
    <row r="20" spans="1:24" x14ac:dyDescent="0.3">
      <c r="T20" t="b">
        <f>LEN(N13)=8</f>
        <v>1</v>
      </c>
    </row>
    <row r="22" spans="1:24" x14ac:dyDescent="0.3">
      <c r="X22" t="b">
        <f>AND(LEN(O13)=5, ISNUMBER(VALUE(RIGHT(O13,4))), AND(CODE(LEFT(O13,1))&gt;=65,CODE(LEFT(O13,1))&lt;=90))</f>
        <v>1</v>
      </c>
    </row>
    <row r="23" spans="1:24" x14ac:dyDescent="0.3">
      <c r="T23" t="b">
        <f>AND(LEFT(N13,3)="XYZ",ISNUMBER(VALUE(MID(N13,3,3))),RIGHT(N13,1)="A",LEN(N13)=8)</f>
        <v>0</v>
      </c>
    </row>
    <row r="24" spans="1:24" x14ac:dyDescent="0.3">
      <c r="N24">
        <f>SEARCH("@",P13)</f>
        <v>4</v>
      </c>
    </row>
    <row r="26" spans="1:24" x14ac:dyDescent="0.3">
      <c r="N26" t="b">
        <f>ISNUMBER(SEARCH("@",P13))</f>
        <v>1</v>
      </c>
    </row>
    <row r="28" spans="1:24" x14ac:dyDescent="0.3">
      <c r="N28" t="b">
        <f>ISERROR(SEARCH(" ",P13))</f>
        <v>1</v>
      </c>
      <c r="Q28" t="b" cm="1">
        <f t="array" aca="1" ref="Q28" ca="1">AND(ISNUMBER(SERACH(".",P13)), ISNUMBER(SEARCH("@",P13)), ISERROR(SERACH(" ",P13)))</f>
        <v>0</v>
      </c>
    </row>
    <row r="30" spans="1:24" x14ac:dyDescent="0.3">
      <c r="N30" t="b">
        <f>ISNUMBER(SEARCH(".",P13))</f>
        <v>1</v>
      </c>
    </row>
  </sheetData>
  <dataValidations count="7">
    <dataValidation type="whole" allowBlank="1" showInputMessage="1" showErrorMessage="1" errorTitle="Error" error="Number should be between 0 to 20" promptTitle="Input Value" prompt="enter between 0to20" sqref="B3 B5:B8" xr:uid="{D52B88B7-C6BC-4CC6-AF91-FC205FBC1F2C}">
      <formula1>0</formula1>
      <formula2>20</formula2>
    </dataValidation>
    <dataValidation type="whole" allowBlank="1" showInputMessage="1" showErrorMessage="1" errorTitle="Error" error="Number should be between 0 to 20" promptTitle="Input Value" prompt="enter between 0 and 20" sqref="B4" xr:uid="{0AFC8196-1DBB-42C3-B010-8C4F040CD1C4}">
      <formula1>0</formula1>
      <formula2>20</formula2>
    </dataValidation>
    <dataValidation type="custom" allowBlank="1" showInputMessage="1" showErrorMessage="1" sqref="L13:L19" xr:uid="{A4099F89-F0AB-4C6C-A160-5616332FE1F7}">
      <formula1>EXACT(UPPER(L13),L13)</formula1>
    </dataValidation>
    <dataValidation type="whole" allowBlank="1" showInputMessage="1" showErrorMessage="1" sqref="E10:E13 C3:C9" xr:uid="{814B1F92-52F5-400C-895D-D65A22B463C2}">
      <formula1>1</formula1>
      <formula2>100</formula2>
    </dataValidation>
    <dataValidation type="custom" allowBlank="1" showInputMessage="1" showErrorMessage="1" sqref="K13:K19" xr:uid="{83F6846D-9A28-4714-9C9E-4BF7C0F7ACEA}">
      <formula1>COUNTIF($K$13:$K$19,K13)=1</formula1>
    </dataValidation>
    <dataValidation type="custom" allowBlank="1" showInputMessage="1" showErrorMessage="1" sqref="J13:J19" xr:uid="{A70A350D-9BA4-40B1-8339-F797E8DCEFF6}">
      <formula1>WEEKDAY(J13,2)&lt;=5</formula1>
    </dataValidation>
    <dataValidation type="custom" allowBlank="1" showInputMessage="1" showErrorMessage="1" sqref="A17:A22" xr:uid="{965A5949-B644-4F4B-8383-A01FED805015}">
      <formula1>AND(ISTEXT(A17),LEN(A17)&gt;=3,LEN(A17)&lt;=10)</formula1>
    </dataValidation>
  </dataValidations>
  <hyperlinks>
    <hyperlink ref="P13" r:id="rId1" xr:uid="{74B43514-4BCD-45CA-AED3-98FF350991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</vt:i4>
      </vt:variant>
    </vt:vector>
  </HeadingPairs>
  <TitlesOfParts>
    <vt:vector size="20" baseType="lpstr">
      <vt:lpstr>Day1 28.09.2026</vt:lpstr>
      <vt:lpstr>Day2 29.09.2026</vt:lpstr>
      <vt:lpstr>Day3 30.09.2026</vt:lpstr>
      <vt:lpstr>Day4 01.10.2026 s&amp;f</vt:lpstr>
      <vt:lpstr>Day4 01.10.2026 s&amp;f1</vt:lpstr>
      <vt:lpstr>Day5 05.10.2026</vt:lpstr>
      <vt:lpstr>Day6.10.26 Flashfill,Text fr. </vt:lpstr>
      <vt:lpstr>Day7.10.26 V-Lookup</vt:lpstr>
      <vt:lpstr>Day7.10.26 H-Lookup</vt:lpstr>
      <vt:lpstr>Day812.10.26ind&amp;match</vt:lpstr>
      <vt:lpstr>Day9 13.10.26 X-lookup</vt:lpstr>
      <vt:lpstr>S1</vt:lpstr>
      <vt:lpstr>S2</vt:lpstr>
      <vt:lpstr>S3</vt:lpstr>
      <vt:lpstr>28.10.2026</vt:lpstr>
      <vt:lpstr>28.10.26 data valid.</vt:lpstr>
      <vt:lpstr>'Day4 01.10.2026 s&amp;f'!Criteria</vt:lpstr>
      <vt:lpstr>'Day4 01.10.2026 s&amp;f1'!Criteria</vt:lpstr>
      <vt:lpstr>'Day4 01.10.2026 s&amp;f'!Extract</vt:lpstr>
      <vt:lpstr>'Day4 01.10.2026 s&amp;f1'!Extract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myselfpriya14@gmail.com</cp:lastModifiedBy>
  <dcterms:created xsi:type="dcterms:W3CDTF">2025-11-28T09:29:24Z</dcterms:created>
  <dcterms:modified xsi:type="dcterms:W3CDTF">2026-10-29T06:25:36Z</dcterms:modified>
</cp:coreProperties>
</file>